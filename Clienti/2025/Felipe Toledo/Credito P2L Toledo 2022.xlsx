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2L\MAT253 + Kiel IV\Clienti\2025\Felipe Toledo\"/>
    </mc:Choice>
  </mc:AlternateContent>
  <xr:revisionPtr revIDLastSave="0" documentId="13_ncr:1_{AEF46398-91BD-4FED-8BF5-D7BE5DDA6FDD}" xr6:coauthVersionLast="47" xr6:coauthVersionMax="47" xr10:uidLastSave="{00000000-0000-0000-0000-000000000000}"/>
  <bookViews>
    <workbookView xWindow="6400" yWindow="790" windowWidth="28220" windowHeight="20370" xr2:uid="{FB8FD41B-96F9-1443-919D-C72A2C52C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3" i="1"/>
  <c r="A4" i="1" s="1"/>
  <c r="A5" i="1" s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<sst xmlns="http://schemas.openxmlformats.org/spreadsheetml/2006/main" count="14" uniqueCount="14">
  <si>
    <t>Date</t>
  </si>
  <si>
    <t>Comment</t>
  </si>
  <si>
    <t>Number of analyses</t>
  </si>
  <si>
    <t>Benthic foraminifera Jose Renato Dernlt analyses performed</t>
  </si>
  <si>
    <t>KF-22 1367,5-1647</t>
  </si>
  <si>
    <t>KF-22 1637-1765</t>
  </si>
  <si>
    <t>KF-22 351-664.5</t>
  </si>
  <si>
    <t>KF-22 413.5-569.5</t>
  </si>
  <si>
    <t>Pagamento taixa Frontiers</t>
  </si>
  <si>
    <t>KF-18 0-2038 "d" and "e"</t>
  </si>
  <si>
    <t>Balance</t>
  </si>
  <si>
    <t>Cost</t>
  </si>
  <si>
    <t>Amostras Mariana Tomazella</t>
  </si>
  <si>
    <t>Amostras Barbara Barros Boquerel KF-16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</si>
</sst>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2" borderId="0" xfId="1"/>
    <xf numFmtId="164" fontId="0" fillId="0" borderId="0" xfId="0" applyNumberFormat="1"/>
    <xf numFmtId="164" fontId="2" fillId="0" borderId="0" xfId="0" applyNumberFormat="1" applyFont="1"/>
  </cellXfs>
  <cellStyles count="2">
    <cellStyle name="60% - Accent3" xfId="1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764-B3B9-8B4C-A02B-3DF2C1697E3C}">
  <dimension ref="A1:E15"/>
  <sheetViews>
    <sheetView tabSelected="1" zoomScale="169" zoomScaleNormal="169" workbookViewId="0">
      <selection activeCell="E11" sqref="E11"/>
    </sheetView>
  </sheetViews>
  <sheetFormatPr defaultColWidth="10.6640625" defaultRowHeight="15.5" x14ac:dyDescent="0.35"/>
  <cols>
    <col min="1" max="1" width="16.9140625" customWidth="1"/>
    <col min="2" max="2" width="17.6640625" bestFit="1" customWidth="1"/>
    <col min="3" max="3" width="12.83203125" bestFit="1" customWidth="1"/>
  </cols>
  <sheetData>
    <row r="1" spans="1:5" ht="44" customHeight="1" x14ac:dyDescent="0.35">
      <c r="A1" s="2" t="s">
        <v>10</v>
      </c>
      <c r="B1" s="2" t="s">
        <v>2</v>
      </c>
      <c r="C1" s="2" t="s">
        <v>11</v>
      </c>
      <c r="D1" s="2" t="s">
        <v>0</v>
      </c>
      <c r="E1" s="2" t="s">
        <v>1</v>
      </c>
    </row>
    <row r="2" spans="1:5" x14ac:dyDescent="0.35">
      <c r="A2" s="3">
        <v>117800</v>
      </c>
      <c r="B2">
        <v>148</v>
      </c>
      <c r="C2" s="3">
        <v>100</v>
      </c>
      <c r="D2" s="1">
        <v>44216</v>
      </c>
      <c r="E2" t="s">
        <v>3</v>
      </c>
    </row>
    <row r="3" spans="1:5" x14ac:dyDescent="0.35">
      <c r="A3" s="3">
        <f t="shared" ref="A3:A8" si="0">A2-(B2*C2)</f>
        <v>103000</v>
      </c>
      <c r="B3">
        <v>48</v>
      </c>
      <c r="C3" s="3">
        <v>100</v>
      </c>
      <c r="D3" s="1">
        <v>44235</v>
      </c>
      <c r="E3" t="s">
        <v>4</v>
      </c>
    </row>
    <row r="4" spans="1:5" x14ac:dyDescent="0.35">
      <c r="A4" s="3">
        <f t="shared" si="0"/>
        <v>98200</v>
      </c>
      <c r="B4">
        <v>48</v>
      </c>
      <c r="C4" s="3">
        <v>100</v>
      </c>
      <c r="D4" s="1">
        <v>44286</v>
      </c>
      <c r="E4" t="s">
        <v>5</v>
      </c>
    </row>
    <row r="5" spans="1:5" x14ac:dyDescent="0.35">
      <c r="A5" s="3">
        <f t="shared" si="0"/>
        <v>93400</v>
      </c>
      <c r="B5">
        <v>42</v>
      </c>
      <c r="C5" s="3">
        <v>100</v>
      </c>
      <c r="D5" s="1">
        <v>44319</v>
      </c>
      <c r="E5" t="s">
        <v>6</v>
      </c>
    </row>
    <row r="6" spans="1:5" x14ac:dyDescent="0.35">
      <c r="A6" s="3">
        <f t="shared" si="0"/>
        <v>89200</v>
      </c>
      <c r="B6">
        <v>39</v>
      </c>
      <c r="C6" s="3">
        <v>120</v>
      </c>
      <c r="D6" s="1">
        <v>44680</v>
      </c>
      <c r="E6" t="s">
        <v>7</v>
      </c>
    </row>
    <row r="7" spans="1:5" x14ac:dyDescent="0.35">
      <c r="A7" s="3">
        <f t="shared" si="0"/>
        <v>84520</v>
      </c>
      <c r="B7">
        <v>93</v>
      </c>
      <c r="C7" s="3">
        <v>132</v>
      </c>
      <c r="D7" s="1">
        <v>44722</v>
      </c>
      <c r="E7" t="s">
        <v>9</v>
      </c>
    </row>
    <row r="8" spans="1:5" x14ac:dyDescent="0.35">
      <c r="A8" s="3">
        <f t="shared" si="0"/>
        <v>72244</v>
      </c>
      <c r="C8" s="3">
        <v>-15881.53</v>
      </c>
      <c r="D8" s="1">
        <v>44760</v>
      </c>
      <c r="E8" t="s">
        <v>8</v>
      </c>
    </row>
    <row r="9" spans="1:5" x14ac:dyDescent="0.35">
      <c r="A9" s="3">
        <f>A8+C8</f>
        <v>56362.47</v>
      </c>
      <c r="B9">
        <v>14</v>
      </c>
      <c r="C9" s="3">
        <v>132</v>
      </c>
      <c r="D9" s="1">
        <v>44837</v>
      </c>
      <c r="E9" t="s">
        <v>12</v>
      </c>
    </row>
    <row r="10" spans="1:5" x14ac:dyDescent="0.35">
      <c r="A10" s="3">
        <f>A9-(B9*C9)</f>
        <v>54514.47</v>
      </c>
      <c r="B10">
        <v>16</v>
      </c>
      <c r="C10" s="3">
        <v>132</v>
      </c>
      <c r="D10" s="1">
        <v>45922</v>
      </c>
      <c r="E10" t="s">
        <v>13</v>
      </c>
    </row>
    <row r="11" spans="1:5" x14ac:dyDescent="0.35">
      <c r="A11" s="3">
        <f t="shared" ref="A11:A15" si="1">A10-(B10*C10)</f>
        <v>52402.47</v>
      </c>
    </row>
    <row r="12" spans="1:5" x14ac:dyDescent="0.35">
      <c r="A12" s="3">
        <f t="shared" si="1"/>
        <v>52402.47</v>
      </c>
    </row>
    <row r="13" spans="1:5" x14ac:dyDescent="0.35">
      <c r="A13" s="3">
        <f t="shared" si="1"/>
        <v>52402.47</v>
      </c>
    </row>
    <row r="14" spans="1:5" x14ac:dyDescent="0.35">
      <c r="A14" s="3">
        <f t="shared" si="1"/>
        <v>52402.47</v>
      </c>
    </row>
    <row r="15" spans="1:5" x14ac:dyDescent="0.35">
      <c r="A15" s="4">
        <f t="shared" si="1"/>
        <v>52402.47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2021-01-19T20:26:23Z</dcterms:created>
  <dcterms:modified xsi:type="dcterms:W3CDTF">2025-09-22T19:40:53Z</dcterms:modified>
</cp:coreProperties>
</file>