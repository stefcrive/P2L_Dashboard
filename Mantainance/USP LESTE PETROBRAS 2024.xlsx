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13_ncr:1_{B3E19E08-7126-4DDF-85F6-DD1981B9A96A}" xr6:coauthVersionLast="47" xr6:coauthVersionMax="47" xr10:uidLastSave="{00000000-0000-0000-0000-000000000000}"/>
  <bookViews>
    <workbookView xWindow="-110" yWindow="-110" windowWidth="38620" windowHeight="21100" xr2:uid="{A4566A55-86F2-4828-8CF0-953BF42550D0}"/>
  </bookViews>
  <sheets>
    <sheet name="PROFORMA IMPORTAÇÃO DIRETA" sheetId="2" r:id="rId1"/>
    <sheet name="ORÇ EM REA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2" l="1"/>
  <c r="H57" i="2"/>
  <c r="H58" i="2"/>
  <c r="I58" i="2" s="1"/>
  <c r="H55" i="2"/>
  <c r="H50" i="2"/>
  <c r="I50" i="2" s="1"/>
  <c r="H51" i="2"/>
  <c r="I57" i="2"/>
  <c r="I58" i="1"/>
  <c r="I57" i="1"/>
  <c r="H40" i="2"/>
  <c r="I40" i="2" s="1"/>
  <c r="H41" i="2"/>
  <c r="H42" i="2"/>
  <c r="H43" i="2"/>
  <c r="H44" i="2"/>
  <c r="I44" i="2" s="1"/>
  <c r="H45" i="2"/>
  <c r="I45" i="2" s="1"/>
  <c r="H46" i="2"/>
  <c r="I46" i="2" s="1"/>
  <c r="H47" i="2"/>
  <c r="H48" i="2"/>
  <c r="I48" i="2" s="1"/>
  <c r="H49" i="2"/>
  <c r="I49" i="2" s="1"/>
  <c r="H39" i="2"/>
  <c r="I39" i="2" s="1"/>
  <c r="I56" i="2"/>
  <c r="I55" i="2"/>
  <c r="I47" i="2"/>
  <c r="I43" i="2"/>
  <c r="I42" i="2"/>
  <c r="I41" i="2"/>
  <c r="I12" i="1"/>
  <c r="I13" i="1"/>
  <c r="I14" i="1"/>
  <c r="I56" i="1"/>
  <c r="I55" i="1"/>
  <c r="I40" i="1"/>
  <c r="I41" i="1"/>
  <c r="I42" i="1"/>
  <c r="I43" i="1"/>
  <c r="I44" i="1"/>
  <c r="I45" i="1"/>
  <c r="I46" i="1"/>
  <c r="I47" i="1"/>
  <c r="I48" i="1"/>
  <c r="I49" i="1"/>
  <c r="I50" i="1"/>
  <c r="I39" i="1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2" i="2"/>
  <c r="I11" i="2"/>
  <c r="I10" i="2"/>
  <c r="I9" i="2"/>
  <c r="I8" i="2"/>
  <c r="I7" i="2"/>
  <c r="I6" i="2"/>
  <c r="I53" i="2" l="1"/>
  <c r="I53" i="1"/>
  <c r="I37" i="2"/>
  <c r="I11" i="1"/>
  <c r="I59" i="2" l="1"/>
  <c r="I60" i="2" s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6" i="1"/>
  <c r="I37" i="1" l="1"/>
  <c r="I59" i="1" s="1"/>
</calcChain>
</file>

<file path=xl/sharedStrings.xml><?xml version="1.0" encoding="utf-8"?>
<sst xmlns="http://schemas.openxmlformats.org/spreadsheetml/2006/main" count="159" uniqueCount="79">
  <si>
    <t>Item</t>
  </si>
  <si>
    <t>PN</t>
  </si>
  <si>
    <t>Descrição</t>
  </si>
  <si>
    <t>Qtde</t>
  </si>
  <si>
    <t>Valor Unit</t>
  </si>
  <si>
    <t>BRE0010679</t>
  </si>
  <si>
    <t>BRE0000957</t>
  </si>
  <si>
    <t>1157670 </t>
  </si>
  <si>
    <t>0653030 </t>
  </si>
  <si>
    <t>1220110 </t>
  </si>
  <si>
    <t>1275740 </t>
  </si>
  <si>
    <t>1275730 </t>
  </si>
  <si>
    <t>0783900 </t>
  </si>
  <si>
    <t>0551600 </t>
  </si>
  <si>
    <t>1097570 </t>
  </si>
  <si>
    <t>1298180 </t>
  </si>
  <si>
    <t>1298080 </t>
  </si>
  <si>
    <t>1298090 </t>
  </si>
  <si>
    <t>1298170 </t>
  </si>
  <si>
    <t>0520910 </t>
  </si>
  <si>
    <t>0520940 </t>
  </si>
  <si>
    <t>SPARE PARTS &amp; CONS.KIEL IV-NEWACID VALVE</t>
  </si>
  <si>
    <t>SPARE PARTS 253 PLUS</t>
  </si>
  <si>
    <t>MAINTENANCE KIT ACID SUPPLY KIEL IV</t>
  </si>
  <si>
    <t>FRIT 1/4 O.D. X 1/32, STAINLESS STEEL </t>
  </si>
  <si>
    <t>O-RING, 12.37 X 2.62 VITON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</si>
  <si>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</si>
  <si>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</si>
  <si>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</si>
  <si>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</si>
  <si>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</si>
  <si>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PISTON </t>
  </si>
  <si>
    <t>HALOGENLAMP 20W 12V - OSRAM </t>
  </si>
  <si>
    <t>OPERATING FUILD RESERVOIR FOR HIPACE 80 </t>
  </si>
  <si>
    <t>OPERATING FUILD RESERVOIR FOR HIPACE 300 </t>
  </si>
  <si>
    <t>TUBE QUARTZ 4X2X23 </t>
  </si>
  <si>
    <t>GASKET GOLD OD117XID115 </t>
  </si>
  <si>
    <t>TUBE PEEK 1/16 "(/)X0.04"(/)" </t>
  </si>
  <si>
    <t>FLANGELESS FERRULE P-200 </t>
  </si>
  <si>
    <t>SHUT-OFF VALVE (P-732) </t>
  </si>
  <si>
    <t>NO TWIST FITTING 1/16" PEEK ZNF1PK </t>
  </si>
  <si>
    <t>SHORT FLANGELESS NUT XP-235 </t>
  </si>
  <si>
    <t>FRONT FERRULE, TUBE O.D. 1/16"" </t>
  </si>
  <si>
    <t>FERRULE SWG BACK 1/16""SS </t>
  </si>
  <si>
    <t>Acid drop counter</t>
  </si>
  <si>
    <t>LIFTING CYLINDER CD85 100 MM TWIST-SAFE</t>
  </si>
  <si>
    <t>ACID CAPILLARY LONG</t>
  </si>
  <si>
    <t>TOTAL EM REAIS</t>
  </si>
  <si>
    <t>TRAPPING VOLUME /double layer</t>
  </si>
  <si>
    <t>Spare Parts Dual Inlet (HiPace ab 03.12)</t>
  </si>
  <si>
    <t>COOLING UNIT / Carbonat</t>
  </si>
  <si>
    <t>TOTAL EUR</t>
  </si>
  <si>
    <t>SAMPLE VIAL KS19/9 50Length Pkg. a 50</t>
  </si>
  <si>
    <t>Ion source assembly</t>
  </si>
  <si>
    <t>79622-500G</t>
  </si>
  <si>
    <t>214701-500G</t>
  </si>
  <si>
    <t>Phosphorus pentoxide</t>
  </si>
  <si>
    <t>Phosphoric acid puriss. p.a., crystallized, ≥99.0% (T)</t>
  </si>
  <si>
    <t xml:space="preserve">Gas helio ultrapuro 99.999% </t>
  </si>
  <si>
    <t>Gas Argon (comparavel com butijao marrom/azul que já temos)</t>
  </si>
  <si>
    <t>Gas CO2 ultrapuro (comparavel com o butijao que já temos, conectado na frente do MAT253)</t>
  </si>
  <si>
    <t>Abastecimentos de LN2 (21600 litros)</t>
  </si>
  <si>
    <t>Isopropyl alcohol natural, ≥98%, FG 1L</t>
  </si>
  <si>
    <t>Acetona 1L</t>
  </si>
  <si>
    <t>Manutencao maquina Miele (com troca resina e consumíveis)</t>
  </si>
  <si>
    <t>Manutencao Nobreak (com troca baterias)</t>
  </si>
  <si>
    <t>Manutençao compressor</t>
  </si>
  <si>
    <t>Peças varias linha ar comprimido</t>
  </si>
  <si>
    <t>00A1078.07.BL</t>
  </si>
  <si>
    <t>Manutencao e consumiveis Liofilizadora</t>
  </si>
  <si>
    <t>Manutencao e consumiveis gerador Triak</t>
  </si>
  <si>
    <t>Prices backup</t>
  </si>
  <si>
    <t>Prices in R$</t>
  </si>
  <si>
    <t>Exchange rate</t>
  </si>
  <si>
    <t>TOTAL R$</t>
  </si>
  <si>
    <t>Manutençao container</t>
  </si>
  <si>
    <t>Manutencao microscopios</t>
  </si>
  <si>
    <t>Manutençao ar condicionado</t>
  </si>
  <si>
    <t>Regulador de pressao ar comprimido e Helio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</si>
</sst>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[$€-2]\ * #,##0.00_-;\-[$€-2]\ * #,##0.00_-;_-[$€-2]\ * &quot;-&quot;??_-;_-@_-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43" fontId="2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3" fontId="2" fillId="0" borderId="4" xfId="1" applyNumberFormat="1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5CF3-456F-4538-ABFE-93851FAC3782}">
  <dimension ref="D4:L60"/>
  <sheetViews>
    <sheetView tabSelected="1" topLeftCell="A29" zoomScale="130" zoomScaleNormal="130" workbookViewId="0">
      <selection activeCell="L62" sqref="L62"/>
    </sheetView>
  </sheetViews>
  <sheetFormatPr defaultRowHeight="14.5" x14ac:dyDescent="0.35"/>
  <cols>
    <col min="4" max="4" width="4" bestFit="1" customWidth="1"/>
    <col min="5" max="5" width="15.6328125" customWidth="1"/>
    <col min="6" max="6" width="74.54296875" bestFit="1" customWidth="1"/>
    <col min="7" max="7" width="6.453125" customWidth="1"/>
    <col min="8" max="9" width="20.453125" customWidth="1"/>
    <col min="10" max="10" width="13.6328125" customWidth="1"/>
    <col min="11" max="11" width="11.26953125" customWidth="1"/>
  </cols>
  <sheetData>
    <row r="4" spans="4:11" x14ac:dyDescent="0.35">
      <c r="D4" s="9" t="s">
        <v>0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4</v>
      </c>
    </row>
    <row r="5" spans="4:11" ht="42.65" customHeight="1" x14ac:dyDescent="0.35">
      <c r="D5" s="10"/>
      <c r="E5" s="10"/>
      <c r="F5" s="10"/>
      <c r="G5" s="10"/>
      <c r="H5" s="10"/>
      <c r="I5" s="10"/>
      <c r="K5" t="s">
        <v>71</v>
      </c>
    </row>
    <row r="6" spans="4:11" x14ac:dyDescent="0.35">
      <c r="D6" s="1">
        <v>1</v>
      </c>
      <c r="E6" s="4">
        <v>1309920</v>
      </c>
      <c r="F6" s="5" t="s">
        <v>21</v>
      </c>
      <c r="G6" s="1">
        <v>2</v>
      </c>
      <c r="H6" s="3">
        <v>3866.11</v>
      </c>
      <c r="I6" s="3">
        <f>G6*H6</f>
        <v>7732.22</v>
      </c>
      <c r="K6" s="3">
        <v>3866.11</v>
      </c>
    </row>
    <row r="7" spans="4:11" x14ac:dyDescent="0.35">
      <c r="D7" s="1">
        <v>2</v>
      </c>
      <c r="E7" s="4">
        <v>1322930</v>
      </c>
      <c r="F7" s="5" t="s">
        <v>22</v>
      </c>
      <c r="G7" s="1">
        <v>2</v>
      </c>
      <c r="H7" s="3">
        <v>5777.7</v>
      </c>
      <c r="I7" s="3">
        <f t="shared" ref="I7:I36" si="0">G7*H7</f>
        <v>11555.4</v>
      </c>
      <c r="K7" s="3">
        <v>5777.7</v>
      </c>
    </row>
    <row r="8" spans="4:11" x14ac:dyDescent="0.35">
      <c r="D8" s="1">
        <v>3</v>
      </c>
      <c r="E8" s="4">
        <v>1322940</v>
      </c>
      <c r="F8" s="6" t="s">
        <v>49</v>
      </c>
      <c r="G8" s="1">
        <v>2</v>
      </c>
      <c r="H8" s="3">
        <v>2861.77</v>
      </c>
      <c r="I8" s="3">
        <f t="shared" si="0"/>
        <v>5723.54</v>
      </c>
      <c r="K8" s="3">
        <v>2861.77</v>
      </c>
    </row>
    <row r="9" spans="4:11" x14ac:dyDescent="0.35">
      <c r="D9" s="1">
        <v>4</v>
      </c>
      <c r="E9" s="4" t="s">
        <v>5</v>
      </c>
      <c r="F9" s="5" t="s">
        <v>23</v>
      </c>
      <c r="G9" s="1">
        <v>2</v>
      </c>
      <c r="H9" s="3">
        <v>356.72</v>
      </c>
      <c r="I9" s="3">
        <f t="shared" si="0"/>
        <v>713.44</v>
      </c>
      <c r="K9" s="3">
        <v>356.72</v>
      </c>
    </row>
    <row r="10" spans="4:11" x14ac:dyDescent="0.35">
      <c r="D10" s="1">
        <v>5</v>
      </c>
      <c r="E10" s="4" t="s">
        <v>6</v>
      </c>
      <c r="F10" s="5" t="s">
        <v>52</v>
      </c>
      <c r="G10" s="1">
        <v>2</v>
      </c>
      <c r="H10" s="3">
        <v>1528.42</v>
      </c>
      <c r="I10" s="3">
        <f t="shared" si="0"/>
        <v>3056.84</v>
      </c>
      <c r="K10" s="3">
        <v>1528.42</v>
      </c>
    </row>
    <row r="11" spans="4:11" x14ac:dyDescent="0.35">
      <c r="D11" s="1">
        <v>6</v>
      </c>
      <c r="E11" s="4">
        <v>1007740</v>
      </c>
      <c r="F11" s="5" t="s">
        <v>48</v>
      </c>
      <c r="G11" s="1">
        <v>2</v>
      </c>
      <c r="H11" s="3">
        <v>2505.12</v>
      </c>
      <c r="I11" s="3">
        <f t="shared" si="0"/>
        <v>5010.24</v>
      </c>
      <c r="K11" s="3">
        <v>2505.12</v>
      </c>
    </row>
    <row r="12" spans="4:11" x14ac:dyDescent="0.35">
      <c r="D12" s="1">
        <v>7</v>
      </c>
      <c r="E12" s="4">
        <v>1244100</v>
      </c>
      <c r="F12" s="5" t="s">
        <v>50</v>
      </c>
      <c r="G12" s="1">
        <v>2</v>
      </c>
      <c r="H12" s="3">
        <v>4024.45</v>
      </c>
      <c r="I12" s="3">
        <f t="shared" si="0"/>
        <v>8048.9</v>
      </c>
      <c r="K12" s="3">
        <v>4024.45</v>
      </c>
    </row>
    <row r="13" spans="4:11" x14ac:dyDescent="0.35">
      <c r="D13" s="1">
        <v>8</v>
      </c>
      <c r="E13" s="4">
        <v>1131480</v>
      </c>
      <c r="F13" s="5" t="s">
        <v>53</v>
      </c>
      <c r="G13" s="1">
        <v>1</v>
      </c>
      <c r="H13" s="3">
        <v>16904.66</v>
      </c>
      <c r="I13" s="3">
        <v>16904.66</v>
      </c>
      <c r="K13" s="3">
        <v>16904.66</v>
      </c>
    </row>
    <row r="14" spans="4:11" x14ac:dyDescent="0.35">
      <c r="D14" s="1">
        <v>9</v>
      </c>
      <c r="E14" s="4" t="s">
        <v>7</v>
      </c>
      <c r="F14" s="5" t="s">
        <v>24</v>
      </c>
      <c r="G14" s="1">
        <v>6</v>
      </c>
      <c r="H14" s="3">
        <v>15.92</v>
      </c>
      <c r="I14" s="3">
        <f t="shared" si="0"/>
        <v>95.52</v>
      </c>
      <c r="K14" s="3">
        <v>15.92</v>
      </c>
    </row>
    <row r="15" spans="4:11" x14ac:dyDescent="0.35">
      <c r="D15" s="1">
        <v>10</v>
      </c>
      <c r="E15" s="4">
        <v>554440</v>
      </c>
      <c r="F15" s="5" t="s">
        <v>25</v>
      </c>
      <c r="G15" s="1">
        <v>100</v>
      </c>
      <c r="H15" s="3">
        <v>1.71</v>
      </c>
      <c r="I15" s="3">
        <f t="shared" si="0"/>
        <v>171</v>
      </c>
      <c r="K15" s="3">
        <v>1.71</v>
      </c>
    </row>
    <row r="16" spans="4:11" x14ac:dyDescent="0.35">
      <c r="D16" s="1">
        <v>11</v>
      </c>
      <c r="E16" s="4">
        <v>453750</v>
      </c>
      <c r="F16" s="5" t="s">
        <v>26</v>
      </c>
      <c r="G16" s="1">
        <v>10</v>
      </c>
      <c r="H16" s="3">
        <v>3.51</v>
      </c>
      <c r="I16" s="3">
        <f t="shared" si="0"/>
        <v>35.099999999999994</v>
      </c>
      <c r="K16" s="3">
        <v>3.51</v>
      </c>
    </row>
    <row r="17" spans="4:11" x14ac:dyDescent="0.35">
      <c r="D17" s="1">
        <v>12</v>
      </c>
      <c r="E17" s="4">
        <v>653041</v>
      </c>
      <c r="F17" s="5" t="s">
        <v>27</v>
      </c>
      <c r="G17" s="1">
        <v>6</v>
      </c>
      <c r="H17" s="3">
        <v>307</v>
      </c>
      <c r="I17" s="3">
        <f t="shared" si="0"/>
        <v>1842</v>
      </c>
      <c r="K17" s="3">
        <v>307</v>
      </c>
    </row>
    <row r="18" spans="4:11" x14ac:dyDescent="0.35">
      <c r="D18" s="1">
        <v>13</v>
      </c>
      <c r="E18" s="4">
        <v>653010</v>
      </c>
      <c r="F18" s="5" t="s">
        <v>28</v>
      </c>
      <c r="G18" s="1">
        <v>6</v>
      </c>
      <c r="H18" s="3">
        <v>59.04</v>
      </c>
      <c r="I18" s="3">
        <f t="shared" si="0"/>
        <v>354.24</v>
      </c>
      <c r="K18" s="3">
        <v>59.04</v>
      </c>
    </row>
    <row r="19" spans="4:11" x14ac:dyDescent="0.35">
      <c r="D19" s="1">
        <v>14</v>
      </c>
      <c r="E19" s="4">
        <v>553140</v>
      </c>
      <c r="F19" s="5" t="s">
        <v>29</v>
      </c>
      <c r="G19" s="1">
        <v>6</v>
      </c>
      <c r="H19" s="3">
        <v>34.68</v>
      </c>
      <c r="I19" s="3">
        <f t="shared" si="0"/>
        <v>208.07999999999998</v>
      </c>
      <c r="K19" s="3">
        <v>34.68</v>
      </c>
    </row>
    <row r="20" spans="4:11" x14ac:dyDescent="0.35">
      <c r="D20" s="1">
        <v>15</v>
      </c>
      <c r="E20" s="4">
        <v>545270</v>
      </c>
      <c r="F20" s="5" t="s">
        <v>30</v>
      </c>
      <c r="G20" s="1">
        <v>6</v>
      </c>
      <c r="H20" s="3">
        <v>245.25</v>
      </c>
      <c r="I20" s="3">
        <f t="shared" si="0"/>
        <v>1471.5</v>
      </c>
      <c r="K20" s="3">
        <v>245.25</v>
      </c>
    </row>
    <row r="21" spans="4:11" x14ac:dyDescent="0.35">
      <c r="D21" s="1">
        <v>16</v>
      </c>
      <c r="E21" s="4" t="s">
        <v>8</v>
      </c>
      <c r="F21" s="5" t="s">
        <v>31</v>
      </c>
      <c r="G21" s="1">
        <v>6</v>
      </c>
      <c r="H21" s="3">
        <v>14.82</v>
      </c>
      <c r="I21" s="3">
        <f t="shared" si="0"/>
        <v>88.92</v>
      </c>
      <c r="K21" s="3">
        <v>14.82</v>
      </c>
    </row>
    <row r="22" spans="4:11" x14ac:dyDescent="0.35">
      <c r="D22" s="1">
        <v>17</v>
      </c>
      <c r="E22" s="4" t="s">
        <v>9</v>
      </c>
      <c r="F22" s="5" t="s">
        <v>32</v>
      </c>
      <c r="G22" s="1">
        <v>10</v>
      </c>
      <c r="H22" s="3">
        <v>4.07</v>
      </c>
      <c r="I22" s="3">
        <f t="shared" si="0"/>
        <v>40.700000000000003</v>
      </c>
      <c r="K22" s="3">
        <v>4.07</v>
      </c>
    </row>
    <row r="23" spans="4:11" x14ac:dyDescent="0.35">
      <c r="D23" s="1">
        <v>18</v>
      </c>
      <c r="E23" s="4" t="s">
        <v>10</v>
      </c>
      <c r="F23" s="5" t="s">
        <v>33</v>
      </c>
      <c r="G23" s="1">
        <v>4</v>
      </c>
      <c r="H23" s="3">
        <v>100.24</v>
      </c>
      <c r="I23" s="3">
        <f t="shared" si="0"/>
        <v>400.96</v>
      </c>
      <c r="K23" s="3">
        <v>100.24</v>
      </c>
    </row>
    <row r="24" spans="4:11" x14ac:dyDescent="0.35">
      <c r="D24" s="1">
        <v>19</v>
      </c>
      <c r="E24" s="4" t="s">
        <v>11</v>
      </c>
      <c r="F24" s="5" t="s">
        <v>34</v>
      </c>
      <c r="G24" s="1">
        <v>4</v>
      </c>
      <c r="H24" s="3">
        <v>100.24</v>
      </c>
      <c r="I24" s="3">
        <f t="shared" si="0"/>
        <v>400.96</v>
      </c>
      <c r="K24" s="3">
        <v>100.24</v>
      </c>
    </row>
    <row r="25" spans="4:11" x14ac:dyDescent="0.35">
      <c r="D25" s="1">
        <v>20</v>
      </c>
      <c r="E25" s="4" t="s">
        <v>12</v>
      </c>
      <c r="F25" s="5" t="s">
        <v>35</v>
      </c>
      <c r="G25" s="1">
        <v>2</v>
      </c>
      <c r="H25" s="3">
        <v>79.66</v>
      </c>
      <c r="I25" s="3">
        <f t="shared" si="0"/>
        <v>159.32</v>
      </c>
      <c r="K25" s="3">
        <v>79.66</v>
      </c>
    </row>
    <row r="26" spans="4:11" x14ac:dyDescent="0.35">
      <c r="D26" s="1">
        <v>21</v>
      </c>
      <c r="E26" s="4" t="s">
        <v>13</v>
      </c>
      <c r="F26" s="5" t="s">
        <v>36</v>
      </c>
      <c r="G26" s="1">
        <v>2</v>
      </c>
      <c r="H26" s="3">
        <v>1117.6099999999999</v>
      </c>
      <c r="I26" s="3">
        <f t="shared" si="0"/>
        <v>2235.2199999999998</v>
      </c>
      <c r="K26" s="3">
        <v>1117.6099999999999</v>
      </c>
    </row>
    <row r="27" spans="4:11" x14ac:dyDescent="0.35">
      <c r="D27" s="1">
        <v>22</v>
      </c>
      <c r="E27" s="4" t="s">
        <v>14</v>
      </c>
      <c r="F27" s="5" t="s">
        <v>37</v>
      </c>
      <c r="G27" s="1">
        <v>4</v>
      </c>
      <c r="H27" s="3">
        <v>23.13</v>
      </c>
      <c r="I27" s="3">
        <f t="shared" si="0"/>
        <v>92.52</v>
      </c>
      <c r="K27" s="3">
        <v>23.13</v>
      </c>
    </row>
    <row r="28" spans="4:11" x14ac:dyDescent="0.35">
      <c r="D28" s="1">
        <v>23</v>
      </c>
      <c r="E28" s="4" t="s">
        <v>15</v>
      </c>
      <c r="F28" s="5" t="s">
        <v>38</v>
      </c>
      <c r="G28" s="1">
        <v>4</v>
      </c>
      <c r="H28" s="3">
        <v>1.86</v>
      </c>
      <c r="I28" s="3">
        <f t="shared" si="0"/>
        <v>7.44</v>
      </c>
      <c r="K28" s="3">
        <v>1.86</v>
      </c>
    </row>
    <row r="29" spans="4:11" x14ac:dyDescent="0.35">
      <c r="D29" s="1">
        <v>24</v>
      </c>
      <c r="E29" s="4" t="s">
        <v>16</v>
      </c>
      <c r="F29" s="5" t="s">
        <v>39</v>
      </c>
      <c r="G29" s="1">
        <v>2</v>
      </c>
      <c r="H29" s="3">
        <v>40.32</v>
      </c>
      <c r="I29" s="3">
        <f t="shared" si="0"/>
        <v>80.64</v>
      </c>
      <c r="K29" s="3">
        <v>40.32</v>
      </c>
    </row>
    <row r="30" spans="4:11" x14ac:dyDescent="0.35">
      <c r="D30" s="1">
        <v>25</v>
      </c>
      <c r="E30" s="4" t="s">
        <v>17</v>
      </c>
      <c r="F30" s="5" t="s">
        <v>40</v>
      </c>
      <c r="G30" s="1">
        <v>4</v>
      </c>
      <c r="H30" s="3">
        <v>60.8</v>
      </c>
      <c r="I30" s="3">
        <f t="shared" si="0"/>
        <v>243.2</v>
      </c>
      <c r="K30" s="3">
        <v>60.8</v>
      </c>
    </row>
    <row r="31" spans="4:11" x14ac:dyDescent="0.35">
      <c r="D31" s="1">
        <v>26</v>
      </c>
      <c r="E31" s="4" t="s">
        <v>18</v>
      </c>
      <c r="F31" s="5" t="s">
        <v>41</v>
      </c>
      <c r="G31" s="1">
        <v>4</v>
      </c>
      <c r="H31" s="3">
        <v>6.22</v>
      </c>
      <c r="I31" s="3">
        <f t="shared" si="0"/>
        <v>24.88</v>
      </c>
      <c r="K31" s="3">
        <v>6.22</v>
      </c>
    </row>
    <row r="32" spans="4:11" x14ac:dyDescent="0.35">
      <c r="D32" s="1">
        <v>27</v>
      </c>
      <c r="E32" s="4" t="s">
        <v>19</v>
      </c>
      <c r="F32" s="5" t="s">
        <v>42</v>
      </c>
      <c r="G32" s="1">
        <v>4</v>
      </c>
      <c r="H32" s="3">
        <v>5.58</v>
      </c>
      <c r="I32" s="3">
        <f t="shared" si="0"/>
        <v>22.32</v>
      </c>
      <c r="K32" s="3">
        <v>5.58</v>
      </c>
    </row>
    <row r="33" spans="4:12" x14ac:dyDescent="0.35">
      <c r="D33" s="1">
        <v>28</v>
      </c>
      <c r="E33" s="4" t="s">
        <v>20</v>
      </c>
      <c r="F33" s="5" t="s">
        <v>43</v>
      </c>
      <c r="G33" s="1">
        <v>4</v>
      </c>
      <c r="H33" s="3">
        <v>4.57</v>
      </c>
      <c r="I33" s="3">
        <f t="shared" si="0"/>
        <v>18.28</v>
      </c>
      <c r="K33" s="3">
        <v>4.57</v>
      </c>
    </row>
    <row r="34" spans="4:12" x14ac:dyDescent="0.35">
      <c r="D34" s="1">
        <v>29</v>
      </c>
      <c r="E34" s="4">
        <v>1283450</v>
      </c>
      <c r="F34" s="5" t="s">
        <v>44</v>
      </c>
      <c r="G34" s="1">
        <v>10</v>
      </c>
      <c r="H34" s="3">
        <v>16.73</v>
      </c>
      <c r="I34" s="3">
        <f t="shared" si="0"/>
        <v>167.3</v>
      </c>
      <c r="K34" s="3">
        <v>16.73</v>
      </c>
    </row>
    <row r="35" spans="4:12" x14ac:dyDescent="0.35">
      <c r="D35" s="1">
        <v>30</v>
      </c>
      <c r="E35" s="4">
        <v>1117210</v>
      </c>
      <c r="F35" s="5" t="s">
        <v>45</v>
      </c>
      <c r="G35" s="1">
        <v>4</v>
      </c>
      <c r="H35" s="3">
        <v>125.26</v>
      </c>
      <c r="I35" s="3">
        <f t="shared" si="0"/>
        <v>501.04</v>
      </c>
      <c r="K35" s="3">
        <v>125.26</v>
      </c>
    </row>
    <row r="36" spans="4:12" x14ac:dyDescent="0.35">
      <c r="D36" s="1">
        <v>31</v>
      </c>
      <c r="E36" s="4">
        <v>1298140</v>
      </c>
      <c r="F36" s="5" t="s">
        <v>46</v>
      </c>
      <c r="G36" s="1">
        <v>4</v>
      </c>
      <c r="H36" s="3">
        <v>585.69000000000005</v>
      </c>
      <c r="I36" s="3">
        <f t="shared" si="0"/>
        <v>2342.7600000000002</v>
      </c>
      <c r="K36" s="3">
        <v>585.69000000000005</v>
      </c>
    </row>
    <row r="37" spans="4:12" x14ac:dyDescent="0.35">
      <c r="D37" s="8" t="s">
        <v>51</v>
      </c>
      <c r="E37" s="8"/>
      <c r="F37" s="8"/>
      <c r="G37" s="8"/>
      <c r="H37" s="8"/>
      <c r="I37" s="7">
        <f>SUM(I6:I36)</f>
        <v>69749.14</v>
      </c>
    </row>
    <row r="38" spans="4:12" x14ac:dyDescent="0.35">
      <c r="K38" t="s">
        <v>72</v>
      </c>
      <c r="L38" t="s">
        <v>73</v>
      </c>
    </row>
    <row r="39" spans="4:12" x14ac:dyDescent="0.35">
      <c r="D39" s="1">
        <v>32</v>
      </c>
      <c r="E39" s="4" t="s">
        <v>54</v>
      </c>
      <c r="F39" s="5" t="s">
        <v>57</v>
      </c>
      <c r="G39" s="1">
        <v>6</v>
      </c>
      <c r="H39" s="3">
        <f>K39/$L$39</f>
        <v>79.0625</v>
      </c>
      <c r="I39" s="3">
        <f>H39*G39</f>
        <v>474.375</v>
      </c>
      <c r="K39" s="3">
        <v>506</v>
      </c>
      <c r="L39" s="11">
        <v>6.4</v>
      </c>
    </row>
    <row r="40" spans="4:12" x14ac:dyDescent="0.35">
      <c r="D40" s="1">
        <v>33</v>
      </c>
      <c r="E40" s="4" t="s">
        <v>55</v>
      </c>
      <c r="F40" s="5" t="s">
        <v>56</v>
      </c>
      <c r="G40" s="1">
        <v>6</v>
      </c>
      <c r="H40" s="3">
        <f t="shared" ref="H40:H51" si="1">K40/$L$39</f>
        <v>85</v>
      </c>
      <c r="I40" s="3">
        <f>H40*G40</f>
        <v>510</v>
      </c>
      <c r="K40" s="3">
        <v>544</v>
      </c>
    </row>
    <row r="41" spans="4:12" x14ac:dyDescent="0.35">
      <c r="D41" s="1">
        <v>34</v>
      </c>
      <c r="E41" s="4"/>
      <c r="F41" s="5" t="s">
        <v>58</v>
      </c>
      <c r="G41" s="1">
        <v>2</v>
      </c>
      <c r="H41" s="3">
        <f t="shared" si="1"/>
        <v>979.0625</v>
      </c>
      <c r="I41" s="3">
        <f>H41*G41</f>
        <v>1958.125</v>
      </c>
      <c r="K41" s="3">
        <v>6266</v>
      </c>
    </row>
    <row r="42" spans="4:12" x14ac:dyDescent="0.35">
      <c r="D42" s="1">
        <v>35</v>
      </c>
      <c r="E42" s="4"/>
      <c r="F42" s="5" t="s">
        <v>59</v>
      </c>
      <c r="G42" s="1">
        <v>1</v>
      </c>
      <c r="H42" s="3">
        <f t="shared" si="1"/>
        <v>0</v>
      </c>
      <c r="I42" s="3">
        <f>H42*G42</f>
        <v>0</v>
      </c>
      <c r="K42" s="3"/>
    </row>
    <row r="43" spans="4:12" x14ac:dyDescent="0.35">
      <c r="D43" s="1">
        <v>36</v>
      </c>
      <c r="E43" s="4"/>
      <c r="F43" s="5" t="s">
        <v>60</v>
      </c>
      <c r="G43" s="1">
        <v>1</v>
      </c>
      <c r="H43" s="3">
        <f t="shared" si="1"/>
        <v>0</v>
      </c>
      <c r="I43" s="3">
        <f>H43*G43</f>
        <v>0</v>
      </c>
      <c r="K43" s="3"/>
    </row>
    <row r="44" spans="4:12" x14ac:dyDescent="0.35">
      <c r="D44" s="1">
        <v>37</v>
      </c>
      <c r="E44" s="4"/>
      <c r="F44" s="5" t="s">
        <v>61</v>
      </c>
      <c r="G44" s="1">
        <v>21600</v>
      </c>
      <c r="H44" s="3">
        <f t="shared" si="1"/>
        <v>2.03125</v>
      </c>
      <c r="I44" s="3">
        <f>H44*G44</f>
        <v>43875</v>
      </c>
      <c r="K44" s="3">
        <v>13</v>
      </c>
    </row>
    <row r="45" spans="4:12" x14ac:dyDescent="0.35">
      <c r="D45" s="1">
        <v>38</v>
      </c>
      <c r="E45" s="4" t="s">
        <v>68</v>
      </c>
      <c r="F45" s="5" t="s">
        <v>62</v>
      </c>
      <c r="G45" s="1">
        <v>6</v>
      </c>
      <c r="H45" s="3">
        <f t="shared" si="1"/>
        <v>0</v>
      </c>
      <c r="I45" s="3">
        <f t="shared" ref="I45:I50" si="2">H45*G45</f>
        <v>0</v>
      </c>
      <c r="K45" s="3"/>
    </row>
    <row r="46" spans="4:12" x14ac:dyDescent="0.35">
      <c r="D46" s="1">
        <v>39</v>
      </c>
      <c r="E46" s="4"/>
      <c r="F46" s="5" t="s">
        <v>63</v>
      </c>
      <c r="G46" s="1">
        <v>6</v>
      </c>
      <c r="H46" s="3">
        <f t="shared" si="1"/>
        <v>0</v>
      </c>
      <c r="I46" s="3">
        <f t="shared" si="2"/>
        <v>0</v>
      </c>
      <c r="K46" s="3"/>
    </row>
    <row r="47" spans="4:12" x14ac:dyDescent="0.35">
      <c r="D47" s="1">
        <v>40</v>
      </c>
      <c r="E47" s="4"/>
      <c r="F47" s="5" t="s">
        <v>64</v>
      </c>
      <c r="G47" s="1">
        <v>2</v>
      </c>
      <c r="H47" s="3">
        <f t="shared" si="1"/>
        <v>0</v>
      </c>
      <c r="I47" s="3">
        <f t="shared" si="2"/>
        <v>0</v>
      </c>
      <c r="K47" s="3"/>
    </row>
    <row r="48" spans="4:12" x14ac:dyDescent="0.35">
      <c r="D48" s="1">
        <v>41</v>
      </c>
      <c r="E48" s="4"/>
      <c r="F48" s="5" t="s">
        <v>65</v>
      </c>
      <c r="G48" s="1">
        <v>2</v>
      </c>
      <c r="H48" s="3">
        <f t="shared" si="1"/>
        <v>0</v>
      </c>
      <c r="I48" s="3">
        <f t="shared" si="2"/>
        <v>0</v>
      </c>
      <c r="K48" s="3"/>
    </row>
    <row r="49" spans="4:11" x14ac:dyDescent="0.35">
      <c r="D49" s="1">
        <v>42</v>
      </c>
      <c r="E49" s="4"/>
      <c r="F49" s="5" t="s">
        <v>66</v>
      </c>
      <c r="G49" s="1">
        <v>3</v>
      </c>
      <c r="H49" s="3">
        <f t="shared" si="1"/>
        <v>0</v>
      </c>
      <c r="I49" s="3">
        <f t="shared" si="2"/>
        <v>0</v>
      </c>
      <c r="K49" s="3"/>
    </row>
    <row r="50" spans="4:11" x14ac:dyDescent="0.35">
      <c r="D50" s="1">
        <v>43</v>
      </c>
      <c r="E50" s="4"/>
      <c r="F50" s="5" t="s">
        <v>67</v>
      </c>
      <c r="G50" s="1">
        <v>1</v>
      </c>
      <c r="H50" s="3">
        <f t="shared" si="1"/>
        <v>0</v>
      </c>
      <c r="I50" s="3">
        <f t="shared" si="2"/>
        <v>0</v>
      </c>
      <c r="K50" s="3"/>
    </row>
    <row r="51" spans="4:11" x14ac:dyDescent="0.35">
      <c r="D51" s="1">
        <v>44</v>
      </c>
      <c r="E51" s="4"/>
      <c r="F51" s="5" t="s">
        <v>78</v>
      </c>
      <c r="G51" s="1">
        <v>2</v>
      </c>
      <c r="H51" s="3">
        <f t="shared" si="1"/>
        <v>0</v>
      </c>
      <c r="I51" s="3"/>
      <c r="K51" s="3"/>
    </row>
    <row r="52" spans="4:11" x14ac:dyDescent="0.35">
      <c r="D52" s="1">
        <v>45</v>
      </c>
      <c r="E52" s="4"/>
      <c r="F52" s="5" t="s">
        <v>77</v>
      </c>
      <c r="G52" s="1"/>
      <c r="H52" s="3"/>
      <c r="I52" s="3"/>
      <c r="K52" s="3"/>
    </row>
    <row r="53" spans="4:11" x14ac:dyDescent="0.35">
      <c r="D53" s="12" t="s">
        <v>51</v>
      </c>
      <c r="E53" s="13"/>
      <c r="F53" s="13"/>
      <c r="G53" s="13"/>
      <c r="H53" s="14"/>
      <c r="I53" s="2">
        <f>SUM(I39:I50)</f>
        <v>46817.5</v>
      </c>
    </row>
    <row r="55" spans="4:11" x14ac:dyDescent="0.35">
      <c r="D55" s="1">
        <v>46</v>
      </c>
      <c r="E55" s="4"/>
      <c r="F55" s="5" t="s">
        <v>69</v>
      </c>
      <c r="G55" s="1"/>
      <c r="H55" s="3">
        <f>K55*$L$39</f>
        <v>0</v>
      </c>
      <c r="I55" s="3">
        <f>H55*G55</f>
        <v>0</v>
      </c>
      <c r="K55" s="3"/>
    </row>
    <row r="56" spans="4:11" x14ac:dyDescent="0.35">
      <c r="D56" s="1">
        <v>47</v>
      </c>
      <c r="E56" s="4"/>
      <c r="F56" s="5" t="s">
        <v>70</v>
      </c>
      <c r="G56" s="1"/>
      <c r="H56" s="3">
        <f t="shared" ref="H56:H58" si="3">K56*$L$39</f>
        <v>0</v>
      </c>
      <c r="I56" s="3">
        <f>H56*G56</f>
        <v>0</v>
      </c>
      <c r="K56" s="3"/>
    </row>
    <row r="57" spans="4:11" x14ac:dyDescent="0.35">
      <c r="D57" s="1">
        <v>48</v>
      </c>
      <c r="E57" s="4"/>
      <c r="F57" s="5" t="s">
        <v>75</v>
      </c>
      <c r="G57" s="1"/>
      <c r="H57" s="3">
        <f t="shared" si="3"/>
        <v>0</v>
      </c>
      <c r="I57" s="3">
        <f t="shared" ref="I57:I58" si="4">H57*G57</f>
        <v>0</v>
      </c>
      <c r="K57" s="3"/>
    </row>
    <row r="58" spans="4:11" x14ac:dyDescent="0.35">
      <c r="D58" s="1">
        <v>49</v>
      </c>
      <c r="E58" s="4"/>
      <c r="F58" s="5" t="s">
        <v>76</v>
      </c>
      <c r="G58" s="1"/>
      <c r="H58" s="3">
        <f t="shared" si="3"/>
        <v>0</v>
      </c>
      <c r="I58" s="3">
        <f t="shared" si="4"/>
        <v>0</v>
      </c>
      <c r="K58" s="3"/>
    </row>
    <row r="59" spans="4:11" x14ac:dyDescent="0.35">
      <c r="D59" s="12" t="s">
        <v>51</v>
      </c>
      <c r="E59" s="13"/>
      <c r="F59" s="13"/>
      <c r="G59" s="13"/>
      <c r="H59" s="14"/>
      <c r="I59" s="2">
        <f>SUM(I55:I56, I53, I37)</f>
        <v>116566.64</v>
      </c>
    </row>
    <row r="60" spans="4:11" x14ac:dyDescent="0.35">
      <c r="D60" s="12" t="s">
        <v>74</v>
      </c>
      <c r="E60" s="13"/>
      <c r="F60" s="13"/>
      <c r="G60" s="13"/>
      <c r="H60" s="14"/>
      <c r="I60" s="2">
        <f>I59*L39</f>
        <v>746026.49600000004</v>
      </c>
    </row>
  </sheetData>
  <mergeCells count="10">
    <mergeCell ref="D53:H53"/>
    <mergeCell ref="D59:H59"/>
    <mergeCell ref="D60:H60"/>
    <mergeCell ref="D37:H37"/>
    <mergeCell ref="I4:I5"/>
    <mergeCell ref="D4:D5"/>
    <mergeCell ref="E4:E5"/>
    <mergeCell ref="F4:F5"/>
    <mergeCell ref="G4:G5"/>
    <mergeCell ref="H4:H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989F-C73B-4390-AF9F-27D65891A766}">
  <dimension ref="D4:K59"/>
  <sheetViews>
    <sheetView topLeftCell="A25" zoomScale="130" zoomScaleNormal="130" workbookViewId="0">
      <selection activeCell="K45" sqref="K45"/>
    </sheetView>
  </sheetViews>
  <sheetFormatPr defaultRowHeight="14.5" x14ac:dyDescent="0.35"/>
  <cols>
    <col min="4" max="4" width="4" bestFit="1" customWidth="1"/>
    <col min="5" max="5" width="14.54296875" bestFit="1" customWidth="1"/>
    <col min="6" max="6" width="74.54296875" bestFit="1" customWidth="1"/>
    <col min="7" max="7" width="4.90625" bestFit="1" customWidth="1"/>
    <col min="8" max="9" width="19.36328125" customWidth="1"/>
    <col min="10" max="10" width="13.6328125" customWidth="1"/>
  </cols>
  <sheetData>
    <row r="4" spans="4:11" x14ac:dyDescent="0.35">
      <c r="D4" s="9" t="s">
        <v>0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4</v>
      </c>
    </row>
    <row r="5" spans="4:11" ht="42.65" customHeight="1" x14ac:dyDescent="0.35">
      <c r="D5" s="10"/>
      <c r="E5" s="10"/>
      <c r="F5" s="10"/>
      <c r="G5" s="10"/>
      <c r="H5" s="10"/>
      <c r="I5" s="10"/>
      <c r="K5" t="s">
        <v>71</v>
      </c>
    </row>
    <row r="6" spans="4:11" x14ac:dyDescent="0.35">
      <c r="D6" s="1">
        <v>1</v>
      </c>
      <c r="E6" s="4">
        <v>1309920</v>
      </c>
      <c r="F6" s="5" t="s">
        <v>21</v>
      </c>
      <c r="G6" s="1">
        <v>2</v>
      </c>
      <c r="H6" s="3">
        <v>60098.080000000002</v>
      </c>
      <c r="I6" s="3">
        <f>G6*H6</f>
        <v>120196.16</v>
      </c>
      <c r="K6" s="3">
        <v>60098.080000000002</v>
      </c>
    </row>
    <row r="7" spans="4:11" x14ac:dyDescent="0.35">
      <c r="D7" s="1">
        <v>2</v>
      </c>
      <c r="E7" s="4">
        <v>1322930</v>
      </c>
      <c r="F7" s="5" t="s">
        <v>22</v>
      </c>
      <c r="G7" s="1">
        <v>2</v>
      </c>
      <c r="H7" s="3">
        <v>89813.47</v>
      </c>
      <c r="I7" s="3">
        <f t="shared" ref="I7:I36" si="0">G7*H7</f>
        <v>179626.94</v>
      </c>
      <c r="K7" s="3">
        <v>89813.47</v>
      </c>
    </row>
    <row r="8" spans="4:11" x14ac:dyDescent="0.35">
      <c r="D8" s="1">
        <v>3</v>
      </c>
      <c r="E8" s="4">
        <v>1322940</v>
      </c>
      <c r="F8" s="6" t="s">
        <v>49</v>
      </c>
      <c r="G8" s="1">
        <v>2</v>
      </c>
      <c r="H8" s="3">
        <v>45597.9</v>
      </c>
      <c r="I8" s="3">
        <f t="shared" si="0"/>
        <v>91195.8</v>
      </c>
      <c r="K8" s="3">
        <v>45597.9</v>
      </c>
    </row>
    <row r="9" spans="4:11" x14ac:dyDescent="0.35">
      <c r="D9" s="1">
        <v>4</v>
      </c>
      <c r="E9" s="4" t="s">
        <v>5</v>
      </c>
      <c r="F9" s="5" t="s">
        <v>23</v>
      </c>
      <c r="G9" s="1">
        <v>2</v>
      </c>
      <c r="H9" s="3">
        <v>5683.78</v>
      </c>
      <c r="I9" s="3">
        <f t="shared" si="0"/>
        <v>11367.56</v>
      </c>
      <c r="K9" s="3">
        <v>5683.78</v>
      </c>
    </row>
    <row r="10" spans="4:11" x14ac:dyDescent="0.35">
      <c r="D10" s="1">
        <v>5</v>
      </c>
      <c r="E10" s="4" t="s">
        <v>6</v>
      </c>
      <c r="F10" s="5" t="s">
        <v>52</v>
      </c>
      <c r="G10" s="1">
        <v>2</v>
      </c>
      <c r="H10" s="3">
        <v>24353.1</v>
      </c>
      <c r="I10" s="3">
        <f t="shared" si="0"/>
        <v>48706.2</v>
      </c>
      <c r="K10" s="3">
        <v>24353.1</v>
      </c>
    </row>
    <row r="11" spans="4:11" x14ac:dyDescent="0.35">
      <c r="D11" s="1">
        <v>6</v>
      </c>
      <c r="E11" s="4">
        <v>1007740</v>
      </c>
      <c r="F11" s="5" t="s">
        <v>48</v>
      </c>
      <c r="G11" s="1">
        <v>2</v>
      </c>
      <c r="H11" s="3">
        <v>39915.19</v>
      </c>
      <c r="I11" s="3">
        <f t="shared" si="0"/>
        <v>79830.38</v>
      </c>
      <c r="K11" s="3">
        <v>39915.19</v>
      </c>
    </row>
    <row r="12" spans="4:11" x14ac:dyDescent="0.35">
      <c r="D12" s="1">
        <v>7</v>
      </c>
      <c r="E12" s="4">
        <v>1244100</v>
      </c>
      <c r="F12" s="5" t="s">
        <v>50</v>
      </c>
      <c r="G12" s="1">
        <v>2</v>
      </c>
      <c r="H12" s="3">
        <v>64123.4</v>
      </c>
      <c r="I12" s="3">
        <f t="shared" si="0"/>
        <v>128246.8</v>
      </c>
      <c r="K12" s="3">
        <v>64123.4</v>
      </c>
    </row>
    <row r="13" spans="4:11" x14ac:dyDescent="0.35">
      <c r="D13" s="1">
        <v>8</v>
      </c>
      <c r="E13" s="4">
        <v>1131480</v>
      </c>
      <c r="F13" s="5" t="s">
        <v>53</v>
      </c>
      <c r="G13" s="1">
        <v>1</v>
      </c>
      <c r="H13" s="3">
        <v>359132.58</v>
      </c>
      <c r="I13" s="3">
        <f t="shared" si="0"/>
        <v>359132.58</v>
      </c>
      <c r="K13" s="3">
        <v>359132.58</v>
      </c>
    </row>
    <row r="14" spans="4:11" x14ac:dyDescent="0.35">
      <c r="D14" s="1">
        <v>9</v>
      </c>
      <c r="E14" s="4" t="s">
        <v>7</v>
      </c>
      <c r="F14" s="5" t="s">
        <v>24</v>
      </c>
      <c r="G14" s="1">
        <v>6</v>
      </c>
      <c r="H14" s="3">
        <v>247.61</v>
      </c>
      <c r="I14" s="3">
        <f t="shared" si="0"/>
        <v>1485.66</v>
      </c>
      <c r="K14" s="3">
        <v>247.61</v>
      </c>
    </row>
    <row r="15" spans="4:11" x14ac:dyDescent="0.35">
      <c r="D15" s="1">
        <v>10</v>
      </c>
      <c r="E15" s="4">
        <v>554440</v>
      </c>
      <c r="F15" s="5" t="s">
        <v>25</v>
      </c>
      <c r="G15" s="1">
        <v>100</v>
      </c>
      <c r="H15" s="3">
        <v>27.19</v>
      </c>
      <c r="I15" s="3">
        <f t="shared" si="0"/>
        <v>2719</v>
      </c>
      <c r="K15" s="3">
        <v>27.19</v>
      </c>
    </row>
    <row r="16" spans="4:11" x14ac:dyDescent="0.35">
      <c r="D16" s="1">
        <v>11</v>
      </c>
      <c r="E16" s="4">
        <v>453750</v>
      </c>
      <c r="F16" s="5" t="s">
        <v>26</v>
      </c>
      <c r="G16" s="1">
        <v>10</v>
      </c>
      <c r="H16" s="3">
        <v>54.6</v>
      </c>
      <c r="I16" s="3">
        <f t="shared" si="0"/>
        <v>546</v>
      </c>
      <c r="K16" s="3">
        <v>54.6</v>
      </c>
    </row>
    <row r="17" spans="4:11" x14ac:dyDescent="0.35">
      <c r="D17" s="1">
        <v>12</v>
      </c>
      <c r="E17" s="4">
        <v>653041</v>
      </c>
      <c r="F17" s="5" t="s">
        <v>27</v>
      </c>
      <c r="G17" s="1">
        <v>6</v>
      </c>
      <c r="H17" s="3">
        <v>4891.57</v>
      </c>
      <c r="I17" s="3">
        <f t="shared" si="0"/>
        <v>29349.42</v>
      </c>
      <c r="K17" s="3">
        <v>4891.57</v>
      </c>
    </row>
    <row r="18" spans="4:11" x14ac:dyDescent="0.35">
      <c r="D18" s="1">
        <v>13</v>
      </c>
      <c r="E18" s="4">
        <v>653010</v>
      </c>
      <c r="F18" s="5" t="s">
        <v>28</v>
      </c>
      <c r="G18" s="1">
        <v>6</v>
      </c>
      <c r="H18" s="3">
        <v>940.71</v>
      </c>
      <c r="I18" s="3">
        <f t="shared" si="0"/>
        <v>5644.26</v>
      </c>
      <c r="K18" s="3">
        <v>940.71</v>
      </c>
    </row>
    <row r="19" spans="4:11" x14ac:dyDescent="0.35">
      <c r="D19" s="1">
        <v>14</v>
      </c>
      <c r="E19" s="4">
        <v>553140</v>
      </c>
      <c r="F19" s="5" t="s">
        <v>29</v>
      </c>
      <c r="G19" s="1">
        <v>6</v>
      </c>
      <c r="H19" s="3">
        <v>552.57000000000005</v>
      </c>
      <c r="I19" s="3">
        <f t="shared" si="0"/>
        <v>3315.42</v>
      </c>
      <c r="K19" s="3">
        <v>552.57000000000005</v>
      </c>
    </row>
    <row r="20" spans="4:11" x14ac:dyDescent="0.35">
      <c r="D20" s="1">
        <v>15</v>
      </c>
      <c r="E20" s="4">
        <v>545270</v>
      </c>
      <c r="F20" s="5" t="s">
        <v>30</v>
      </c>
      <c r="G20" s="1">
        <v>6</v>
      </c>
      <c r="H20" s="3">
        <v>3907.73</v>
      </c>
      <c r="I20" s="3">
        <f t="shared" si="0"/>
        <v>23446.38</v>
      </c>
      <c r="K20" s="3">
        <v>3907.73</v>
      </c>
    </row>
    <row r="21" spans="4:11" x14ac:dyDescent="0.35">
      <c r="D21" s="1">
        <v>16</v>
      </c>
      <c r="E21" s="4" t="s">
        <v>8</v>
      </c>
      <c r="F21" s="5" t="s">
        <v>31</v>
      </c>
      <c r="G21" s="1">
        <v>6</v>
      </c>
      <c r="H21" s="3">
        <v>230.4</v>
      </c>
      <c r="I21" s="3">
        <f t="shared" si="0"/>
        <v>1382.4</v>
      </c>
      <c r="K21" s="3">
        <v>230.4</v>
      </c>
    </row>
    <row r="22" spans="4:11" x14ac:dyDescent="0.35">
      <c r="D22" s="1">
        <v>17</v>
      </c>
      <c r="E22" s="4" t="s">
        <v>9</v>
      </c>
      <c r="F22" s="5" t="s">
        <v>32</v>
      </c>
      <c r="G22" s="1">
        <v>10</v>
      </c>
      <c r="H22" s="3">
        <v>63.42</v>
      </c>
      <c r="I22" s="3">
        <f t="shared" si="0"/>
        <v>634.20000000000005</v>
      </c>
      <c r="K22" s="3">
        <v>63.42</v>
      </c>
    </row>
    <row r="23" spans="4:11" x14ac:dyDescent="0.35">
      <c r="D23" s="1">
        <v>18</v>
      </c>
      <c r="E23" s="4" t="s">
        <v>10</v>
      </c>
      <c r="F23" s="5" t="s">
        <v>33</v>
      </c>
      <c r="G23" s="1">
        <v>4</v>
      </c>
      <c r="H23" s="3">
        <v>1558.29</v>
      </c>
      <c r="I23" s="3">
        <f t="shared" si="0"/>
        <v>6233.16</v>
      </c>
      <c r="K23" s="3">
        <v>1558.29</v>
      </c>
    </row>
    <row r="24" spans="4:11" x14ac:dyDescent="0.35">
      <c r="D24" s="1">
        <v>19</v>
      </c>
      <c r="E24" s="4" t="s">
        <v>11</v>
      </c>
      <c r="F24" s="5" t="s">
        <v>34</v>
      </c>
      <c r="G24" s="1">
        <v>4</v>
      </c>
      <c r="H24" s="3">
        <v>1558.29</v>
      </c>
      <c r="I24" s="3">
        <f t="shared" si="0"/>
        <v>6233.16</v>
      </c>
      <c r="K24" s="3">
        <v>1558.29</v>
      </c>
    </row>
    <row r="25" spans="4:11" x14ac:dyDescent="0.35">
      <c r="D25" s="1">
        <v>20</v>
      </c>
      <c r="E25" s="4" t="s">
        <v>12</v>
      </c>
      <c r="F25" s="5" t="s">
        <v>35</v>
      </c>
      <c r="G25" s="1">
        <v>2</v>
      </c>
      <c r="H25" s="3">
        <v>1238.3499999999999</v>
      </c>
      <c r="I25" s="3">
        <f t="shared" si="0"/>
        <v>2476.6999999999998</v>
      </c>
      <c r="K25" s="3">
        <v>1238.3499999999999</v>
      </c>
    </row>
    <row r="26" spans="4:11" x14ac:dyDescent="0.35">
      <c r="D26" s="1">
        <v>21</v>
      </c>
      <c r="E26" s="4" t="s">
        <v>13</v>
      </c>
      <c r="F26" s="5" t="s">
        <v>36</v>
      </c>
      <c r="G26" s="1">
        <v>2</v>
      </c>
      <c r="H26" s="3">
        <v>17373.189999999999</v>
      </c>
      <c r="I26" s="3">
        <f t="shared" si="0"/>
        <v>34746.379999999997</v>
      </c>
      <c r="K26" s="3">
        <v>17373.189999999999</v>
      </c>
    </row>
    <row r="27" spans="4:11" x14ac:dyDescent="0.35">
      <c r="D27" s="1">
        <v>22</v>
      </c>
      <c r="E27" s="4" t="s">
        <v>14</v>
      </c>
      <c r="F27" s="5" t="s">
        <v>37</v>
      </c>
      <c r="G27" s="1">
        <v>4</v>
      </c>
      <c r="H27" s="3">
        <v>359.62</v>
      </c>
      <c r="I27" s="3">
        <f t="shared" si="0"/>
        <v>1438.48</v>
      </c>
      <c r="K27" s="3">
        <v>359.62</v>
      </c>
    </row>
    <row r="28" spans="4:11" x14ac:dyDescent="0.35">
      <c r="D28" s="1">
        <v>23</v>
      </c>
      <c r="E28" s="4" t="s">
        <v>15</v>
      </c>
      <c r="F28" s="5" t="s">
        <v>38</v>
      </c>
      <c r="G28" s="1">
        <v>4</v>
      </c>
      <c r="H28" s="3">
        <v>29</v>
      </c>
      <c r="I28" s="3">
        <f t="shared" si="0"/>
        <v>116</v>
      </c>
      <c r="K28" s="3">
        <v>29</v>
      </c>
    </row>
    <row r="29" spans="4:11" x14ac:dyDescent="0.35">
      <c r="D29" s="1">
        <v>24</v>
      </c>
      <c r="E29" s="4" t="s">
        <v>16</v>
      </c>
      <c r="F29" s="5" t="s">
        <v>39</v>
      </c>
      <c r="G29" s="1">
        <v>2</v>
      </c>
      <c r="H29" s="3">
        <v>626.82000000000005</v>
      </c>
      <c r="I29" s="3">
        <f t="shared" si="0"/>
        <v>1253.6400000000001</v>
      </c>
      <c r="K29" s="3">
        <v>626.82000000000005</v>
      </c>
    </row>
    <row r="30" spans="4:11" x14ac:dyDescent="0.35">
      <c r="D30" s="1">
        <v>25</v>
      </c>
      <c r="E30" s="4" t="s">
        <v>17</v>
      </c>
      <c r="F30" s="5" t="s">
        <v>40</v>
      </c>
      <c r="G30" s="1">
        <v>4</v>
      </c>
      <c r="H30" s="3">
        <v>945.17</v>
      </c>
      <c r="I30" s="3">
        <f t="shared" si="0"/>
        <v>3780.68</v>
      </c>
      <c r="K30" s="3">
        <v>945.17</v>
      </c>
    </row>
    <row r="31" spans="4:11" x14ac:dyDescent="0.35">
      <c r="D31" s="1">
        <v>26</v>
      </c>
      <c r="E31" s="4" t="s">
        <v>18</v>
      </c>
      <c r="F31" s="5" t="s">
        <v>41</v>
      </c>
      <c r="G31" s="1">
        <v>4</v>
      </c>
      <c r="H31" s="3">
        <v>96.72</v>
      </c>
      <c r="I31" s="3">
        <f t="shared" si="0"/>
        <v>386.88</v>
      </c>
      <c r="K31" s="3">
        <v>96.72</v>
      </c>
    </row>
    <row r="32" spans="4:11" x14ac:dyDescent="0.35">
      <c r="D32" s="1">
        <v>27</v>
      </c>
      <c r="E32" s="4" t="s">
        <v>19</v>
      </c>
      <c r="F32" s="5" t="s">
        <v>42</v>
      </c>
      <c r="G32" s="1">
        <v>4</v>
      </c>
      <c r="H32" s="3">
        <v>86.84</v>
      </c>
      <c r="I32" s="3">
        <f t="shared" si="0"/>
        <v>347.36</v>
      </c>
      <c r="K32" s="3">
        <v>86.84</v>
      </c>
    </row>
    <row r="33" spans="4:11" x14ac:dyDescent="0.35">
      <c r="D33" s="1">
        <v>28</v>
      </c>
      <c r="E33" s="4" t="s">
        <v>20</v>
      </c>
      <c r="F33" s="5" t="s">
        <v>43</v>
      </c>
      <c r="G33" s="1">
        <v>4</v>
      </c>
      <c r="H33" s="3">
        <v>71.06</v>
      </c>
      <c r="I33" s="3">
        <f t="shared" si="0"/>
        <v>284.24</v>
      </c>
      <c r="K33" s="3">
        <v>71.06</v>
      </c>
    </row>
    <row r="34" spans="4:11" x14ac:dyDescent="0.35">
      <c r="D34" s="1">
        <v>29</v>
      </c>
      <c r="E34" s="4">
        <v>1283450</v>
      </c>
      <c r="F34" s="5" t="s">
        <v>44</v>
      </c>
      <c r="G34" s="1">
        <v>10</v>
      </c>
      <c r="H34" s="3">
        <v>266.62</v>
      </c>
      <c r="I34" s="3">
        <f t="shared" si="0"/>
        <v>2666.2</v>
      </c>
      <c r="K34" s="3">
        <v>266.62</v>
      </c>
    </row>
    <row r="35" spans="4:11" x14ac:dyDescent="0.35">
      <c r="D35" s="1">
        <v>30</v>
      </c>
      <c r="E35" s="4">
        <v>1117210</v>
      </c>
      <c r="F35" s="5" t="s">
        <v>45</v>
      </c>
      <c r="G35" s="1">
        <v>4</v>
      </c>
      <c r="H35" s="3">
        <v>1995.93</v>
      </c>
      <c r="I35" s="3">
        <f t="shared" si="0"/>
        <v>7983.72</v>
      </c>
      <c r="K35" s="3">
        <v>1995.93</v>
      </c>
    </row>
    <row r="36" spans="4:11" x14ac:dyDescent="0.35">
      <c r="D36" s="1">
        <v>31</v>
      </c>
      <c r="E36" s="4">
        <v>1298140</v>
      </c>
      <c r="F36" s="5" t="s">
        <v>46</v>
      </c>
      <c r="G36" s="1">
        <v>4</v>
      </c>
      <c r="H36" s="3">
        <v>9332.11</v>
      </c>
      <c r="I36" s="3">
        <f t="shared" si="0"/>
        <v>37328.44</v>
      </c>
      <c r="K36" s="3">
        <v>9332.11</v>
      </c>
    </row>
    <row r="37" spans="4:11" x14ac:dyDescent="0.35">
      <c r="D37" s="8" t="s">
        <v>47</v>
      </c>
      <c r="E37" s="8"/>
      <c r="F37" s="8"/>
      <c r="G37" s="8"/>
      <c r="H37" s="8"/>
      <c r="I37" s="2">
        <f>SUM(I6:I36)</f>
        <v>1192100.1999999993</v>
      </c>
    </row>
    <row r="39" spans="4:11" x14ac:dyDescent="0.35">
      <c r="D39" s="1">
        <v>32</v>
      </c>
      <c r="E39" s="4" t="s">
        <v>54</v>
      </c>
      <c r="F39" s="5" t="s">
        <v>57</v>
      </c>
      <c r="G39" s="1">
        <v>6</v>
      </c>
      <c r="H39" s="3">
        <v>506</v>
      </c>
      <c r="I39" s="3">
        <f>H39*G39</f>
        <v>3036</v>
      </c>
      <c r="K39" s="3">
        <v>506</v>
      </c>
    </row>
    <row r="40" spans="4:11" x14ac:dyDescent="0.35">
      <c r="D40" s="1">
        <v>33</v>
      </c>
      <c r="E40" s="4" t="s">
        <v>55</v>
      </c>
      <c r="F40" s="5" t="s">
        <v>56</v>
      </c>
      <c r="G40" s="1">
        <v>6</v>
      </c>
      <c r="H40" s="3">
        <v>544</v>
      </c>
      <c r="I40" s="3">
        <f t="shared" ref="I40:I50" si="1">H40*G40</f>
        <v>3264</v>
      </c>
      <c r="K40" s="3">
        <v>544</v>
      </c>
    </row>
    <row r="41" spans="4:11" x14ac:dyDescent="0.35">
      <c r="D41" s="1">
        <v>34</v>
      </c>
      <c r="E41" s="4"/>
      <c r="F41" s="5" t="s">
        <v>58</v>
      </c>
      <c r="G41" s="1">
        <v>2</v>
      </c>
      <c r="H41" s="3">
        <v>6266</v>
      </c>
      <c r="I41" s="3">
        <f t="shared" si="1"/>
        <v>12532</v>
      </c>
      <c r="K41" s="3">
        <v>6266</v>
      </c>
    </row>
    <row r="42" spans="4:11" x14ac:dyDescent="0.35">
      <c r="D42" s="1">
        <v>35</v>
      </c>
      <c r="E42" s="4"/>
      <c r="F42" s="5" t="s">
        <v>59</v>
      </c>
      <c r="G42" s="1">
        <v>1</v>
      </c>
      <c r="H42" s="3"/>
      <c r="I42" s="3">
        <f t="shared" si="1"/>
        <v>0</v>
      </c>
      <c r="K42" s="3"/>
    </row>
    <row r="43" spans="4:11" x14ac:dyDescent="0.35">
      <c r="D43" s="1">
        <v>36</v>
      </c>
      <c r="E43" s="4"/>
      <c r="F43" s="5" t="s">
        <v>60</v>
      </c>
      <c r="G43" s="1">
        <v>1</v>
      </c>
      <c r="H43" s="3"/>
      <c r="I43" s="3">
        <f t="shared" si="1"/>
        <v>0</v>
      </c>
      <c r="K43" s="3"/>
    </row>
    <row r="44" spans="4:11" x14ac:dyDescent="0.35">
      <c r="D44" s="1">
        <v>37</v>
      </c>
      <c r="E44" s="4"/>
      <c r="F44" s="5" t="s">
        <v>61</v>
      </c>
      <c r="G44" s="1">
        <v>21600</v>
      </c>
      <c r="H44" s="3">
        <v>13</v>
      </c>
      <c r="I44" s="3">
        <f t="shared" si="1"/>
        <v>280800</v>
      </c>
      <c r="K44" s="3">
        <v>13</v>
      </c>
    </row>
    <row r="45" spans="4:11" x14ac:dyDescent="0.35">
      <c r="D45" s="1">
        <v>38</v>
      </c>
      <c r="E45" s="4" t="s">
        <v>68</v>
      </c>
      <c r="F45" s="5" t="s">
        <v>62</v>
      </c>
      <c r="G45" s="1">
        <v>6</v>
      </c>
      <c r="H45" s="3"/>
      <c r="I45" s="3">
        <f t="shared" si="1"/>
        <v>0</v>
      </c>
    </row>
    <row r="46" spans="4:11" x14ac:dyDescent="0.35">
      <c r="D46" s="1">
        <v>39</v>
      </c>
      <c r="E46" s="4"/>
      <c r="F46" s="5" t="s">
        <v>63</v>
      </c>
      <c r="G46" s="1">
        <v>6</v>
      </c>
      <c r="H46" s="3"/>
      <c r="I46" s="3">
        <f t="shared" si="1"/>
        <v>0</v>
      </c>
    </row>
    <row r="47" spans="4:11" x14ac:dyDescent="0.35">
      <c r="D47" s="1">
        <v>40</v>
      </c>
      <c r="E47" s="4"/>
      <c r="F47" s="5" t="s">
        <v>64</v>
      </c>
      <c r="G47" s="1">
        <v>2</v>
      </c>
      <c r="H47" s="3"/>
      <c r="I47" s="3">
        <f t="shared" si="1"/>
        <v>0</v>
      </c>
    </row>
    <row r="48" spans="4:11" x14ac:dyDescent="0.35">
      <c r="D48" s="1">
        <v>41</v>
      </c>
      <c r="E48" s="4"/>
      <c r="F48" s="5" t="s">
        <v>65</v>
      </c>
      <c r="G48" s="1">
        <v>2</v>
      </c>
      <c r="H48" s="3"/>
      <c r="I48" s="3">
        <f t="shared" si="1"/>
        <v>0</v>
      </c>
    </row>
    <row r="49" spans="4:9" x14ac:dyDescent="0.35">
      <c r="D49" s="1">
        <v>42</v>
      </c>
      <c r="E49" s="4"/>
      <c r="F49" s="5" t="s">
        <v>66</v>
      </c>
      <c r="G49" s="1">
        <v>3</v>
      </c>
      <c r="H49" s="3"/>
      <c r="I49" s="3">
        <f t="shared" si="1"/>
        <v>0</v>
      </c>
    </row>
    <row r="50" spans="4:9" x14ac:dyDescent="0.35">
      <c r="D50" s="1">
        <v>43</v>
      </c>
      <c r="E50" s="4"/>
      <c r="F50" s="5" t="s">
        <v>67</v>
      </c>
      <c r="G50" s="1">
        <v>1</v>
      </c>
      <c r="H50" s="3"/>
      <c r="I50" s="3">
        <f t="shared" si="1"/>
        <v>0</v>
      </c>
    </row>
    <row r="51" spans="4:9" x14ac:dyDescent="0.35">
      <c r="D51" s="1">
        <v>44</v>
      </c>
      <c r="E51" s="4"/>
      <c r="F51" s="5" t="s">
        <v>78</v>
      </c>
      <c r="G51" s="1">
        <v>2</v>
      </c>
      <c r="H51" s="3"/>
      <c r="I51" s="3"/>
    </row>
    <row r="52" spans="4:9" x14ac:dyDescent="0.35">
      <c r="D52" s="1">
        <v>45</v>
      </c>
      <c r="E52" s="4"/>
      <c r="F52" s="5" t="s">
        <v>77</v>
      </c>
      <c r="G52" s="1"/>
      <c r="H52" s="3"/>
      <c r="I52" s="3"/>
    </row>
    <row r="53" spans="4:9" x14ac:dyDescent="0.35">
      <c r="D53" s="8" t="s">
        <v>47</v>
      </c>
      <c r="E53" s="8"/>
      <c r="F53" s="8"/>
      <c r="G53" s="8"/>
      <c r="H53" s="8"/>
      <c r="I53" s="2">
        <f>SUM(I39:I50)</f>
        <v>299632</v>
      </c>
    </row>
    <row r="55" spans="4:9" x14ac:dyDescent="0.35">
      <c r="D55" s="1">
        <v>46</v>
      </c>
      <c r="E55" s="4"/>
      <c r="F55" s="5" t="s">
        <v>69</v>
      </c>
      <c r="G55" s="1"/>
      <c r="H55" s="3"/>
      <c r="I55" s="3">
        <f>H55*G55</f>
        <v>0</v>
      </c>
    </row>
    <row r="56" spans="4:9" x14ac:dyDescent="0.35">
      <c r="D56" s="1">
        <v>47</v>
      </c>
      <c r="E56" s="4"/>
      <c r="F56" s="5" t="s">
        <v>70</v>
      </c>
      <c r="G56" s="1"/>
      <c r="H56" s="3"/>
      <c r="I56" s="3">
        <f t="shared" ref="I56" si="2">H56*G56</f>
        <v>0</v>
      </c>
    </row>
    <row r="57" spans="4:9" x14ac:dyDescent="0.35">
      <c r="D57" s="1">
        <v>48</v>
      </c>
      <c r="E57" s="4"/>
      <c r="F57" s="5" t="s">
        <v>75</v>
      </c>
      <c r="G57" s="1"/>
      <c r="H57" s="3"/>
      <c r="I57" s="3">
        <f t="shared" ref="I57:I58" si="3">H57*G57</f>
        <v>0</v>
      </c>
    </row>
    <row r="58" spans="4:9" x14ac:dyDescent="0.35">
      <c r="D58" s="1">
        <v>49</v>
      </c>
      <c r="E58" s="4"/>
      <c r="F58" s="5" t="s">
        <v>76</v>
      </c>
      <c r="G58" s="1"/>
      <c r="H58" s="3"/>
      <c r="I58" s="3">
        <f t="shared" si="3"/>
        <v>0</v>
      </c>
    </row>
    <row r="59" spans="4:9" x14ac:dyDescent="0.35">
      <c r="D59" s="8" t="s">
        <v>47</v>
      </c>
      <c r="E59" s="8"/>
      <c r="F59" s="8"/>
      <c r="G59" s="8"/>
      <c r="H59" s="8"/>
      <c r="I59" s="2">
        <f>SUM(I55:I56,I53,I37)</f>
        <v>1491732.1999999993</v>
      </c>
    </row>
  </sheetData>
  <mergeCells count="9">
    <mergeCell ref="D53:H53"/>
    <mergeCell ref="D59:H59"/>
    <mergeCell ref="D37:H37"/>
    <mergeCell ref="H4:H5"/>
    <mergeCell ref="I4:I5"/>
    <mergeCell ref="D4:D5"/>
    <mergeCell ref="E4:E5"/>
    <mergeCell ref="F4:F5"/>
    <mergeCell ref="G4:G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PROFORMA IMPORTAÇÃO DIRETA</vt:lpstr>
      <vt:lpstr>ORÇ EM 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Ferreira Lemes</dc:creator>
  <cp:lastModifiedBy>Stefano Crivellari</cp:lastModifiedBy>
  <dcterms:created xsi:type="dcterms:W3CDTF">2024-07-05T11:09:57Z</dcterms:created>
  <dcterms:modified xsi:type="dcterms:W3CDTF">2024-07-26T18:06:22Z</dcterms:modified>
</cp:coreProperties>
</file>