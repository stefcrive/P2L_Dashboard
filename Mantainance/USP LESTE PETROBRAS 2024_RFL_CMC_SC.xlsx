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Mantainance\"/>
    </mc:Choice>
  </mc:AlternateContent>
  <xr:revisionPtr revIDLastSave="0" documentId="8_{F467E745-C92C-45A5-B728-5C74593F253F}" xr6:coauthVersionLast="47" xr6:coauthVersionMax="47" xr10:uidLastSave="{00000000-0000-0000-0000-000000000000}"/>
  <bookViews>
    <workbookView xWindow="4190" yWindow="1100" windowWidth="25400" windowHeight="19050" xr2:uid="{00000000-000D-0000-FFFF-FFFF00000000}"/>
  </bookViews>
  <sheets>
    <sheet name="Importação direta" sheetId="2" r:id="rId1"/>
    <sheet name="Materiais nacionalizad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" i="2"/>
  <c r="F2" i="2"/>
  <c r="F52" i="2"/>
  <c r="F53" i="2"/>
  <c r="F54" i="2"/>
  <c r="F55" i="2"/>
  <c r="F51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35" i="2"/>
  <c r="E49" i="2"/>
  <c r="G49" i="2" s="1"/>
  <c r="E55" i="2"/>
  <c r="G55" i="2" s="1"/>
  <c r="E52" i="2"/>
  <c r="G52" i="2" s="1"/>
  <c r="E53" i="2"/>
  <c r="G53" i="2" s="1"/>
  <c r="E54" i="2"/>
  <c r="G54" i="2" s="1"/>
  <c r="E51" i="2"/>
  <c r="E44" i="2"/>
  <c r="G44" i="2" s="1"/>
  <c r="E50" i="2"/>
  <c r="G50" i="2" s="1"/>
  <c r="E37" i="2"/>
  <c r="F56" i="2" l="1"/>
  <c r="F57" i="2" s="1"/>
  <c r="G51" i="2"/>
  <c r="E47" i="2"/>
  <c r="G47" i="2" s="1"/>
  <c r="E48" i="2"/>
  <c r="G48" i="2" s="1"/>
  <c r="I58" i="1"/>
  <c r="I57" i="1"/>
  <c r="E36" i="2"/>
  <c r="G36" i="2" s="1"/>
  <c r="E38" i="2"/>
  <c r="G38" i="2" s="1"/>
  <c r="E39" i="2"/>
  <c r="G39" i="2" s="1"/>
  <c r="E40" i="2"/>
  <c r="G40" i="2" s="1"/>
  <c r="E41" i="2"/>
  <c r="G41" i="2" s="1"/>
  <c r="E42" i="2"/>
  <c r="G42" i="2" s="1"/>
  <c r="E43" i="2"/>
  <c r="G43" i="2" s="1"/>
  <c r="E45" i="2"/>
  <c r="G45" i="2" s="1"/>
  <c r="E46" i="2"/>
  <c r="G46" i="2" s="1"/>
  <c r="E35" i="2"/>
  <c r="G35" i="2" s="1"/>
  <c r="G56" i="2" s="1"/>
  <c r="G37" i="2"/>
  <c r="I12" i="1"/>
  <c r="I13" i="1"/>
  <c r="I14" i="1"/>
  <c r="I56" i="1"/>
  <c r="I55" i="1"/>
  <c r="I40" i="1"/>
  <c r="I41" i="1"/>
  <c r="I42" i="1"/>
  <c r="I43" i="1"/>
  <c r="I44" i="1"/>
  <c r="I45" i="1"/>
  <c r="I46" i="1"/>
  <c r="I47" i="1"/>
  <c r="I48" i="1"/>
  <c r="I49" i="1"/>
  <c r="I50" i="1"/>
  <c r="I39" i="1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8" i="2"/>
  <c r="G7" i="2"/>
  <c r="G6" i="2"/>
  <c r="G5" i="2"/>
  <c r="G4" i="2"/>
  <c r="G3" i="2"/>
  <c r="G2" i="2"/>
  <c r="I53" i="1" l="1"/>
  <c r="G33" i="2"/>
  <c r="G57" i="2" s="1"/>
  <c r="I11" i="1"/>
  <c r="I7" i="1" l="1"/>
  <c r="I8" i="1"/>
  <c r="I9" i="1"/>
  <c r="I10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6" i="1"/>
  <c r="I37" i="1" l="1"/>
  <c r="I59" i="1" s="1"/>
</calcChain>
</file>

<file path=xl/sharedStrings.xml><?xml version="1.0" encoding="utf-8"?>
<sst xmlns="http://schemas.openxmlformats.org/spreadsheetml/2006/main" count="320" uniqueCount="123">
  <si>
    <t>Item</t>
  </si>
  <si>
    <t>PN</t>
  </si>
  <si>
    <t>Descrição</t>
  </si>
  <si>
    <t>Qtde</t>
  </si>
  <si>
    <t>Valor Unit</t>
  </si>
  <si>
    <t>BRE0010679</t>
  </si>
  <si>
    <t>BRE0000957</t>
  </si>
  <si>
    <t>1157670 </t>
  </si>
  <si>
    <t>0653030 </t>
  </si>
  <si>
    <t>1220110 </t>
  </si>
  <si>
    <t>1275740 </t>
  </si>
  <si>
    <t>1275730 </t>
  </si>
  <si>
    <t>0783900 </t>
  </si>
  <si>
    <t>0551600 </t>
  </si>
  <si>
    <t>1097570 </t>
  </si>
  <si>
    <t>1298180 </t>
  </si>
  <si>
    <t>1298080 </t>
  </si>
  <si>
    <t>1298090 </t>
  </si>
  <si>
    <t>1298170 </t>
  </si>
  <si>
    <t>0520910 </t>
  </si>
  <si>
    <t>0520940 </t>
  </si>
  <si>
    <t>SPARE PARTS &amp; CONS.KIEL IV-NEWACID VALVE</t>
  </si>
  <si>
    <t>SPARE PARTS 253 PLUS</t>
  </si>
  <si>
    <t>MAINTENANCE KIT ACID SUPPLY KIEL IV</t>
  </si>
  <si>
    <t>FRIT 1/4 O.D. X 1/32, STAINLESS STEEL </t>
  </si>
  <si>
    <t>O-RING, 12.37 X 2.62 VITON</t>
  </si>
  <si>
    <t>CYLINDER HEAD SCREW ISO1207-M3X8-NYLON</t>
  </si>
  <si>
    <t>STAMP-AU-SEAL.TIP D=3 9</t>
  </si>
  <si>
    <t>MEMBRANE COMPLETE</t>
  </si>
  <si>
    <t>SET OF SEALING RINGS</t>
  </si>
  <si>
    <t>GASKET GOLD OD38XID36 5</t>
  </si>
  <si>
    <t>PISTON </t>
  </si>
  <si>
    <t>HALOGENLAMP 20W 12V - OSRAM </t>
  </si>
  <si>
    <t>OPERATING FUILD RESERVOIR FOR HIPACE 80 </t>
  </si>
  <si>
    <t>OPERATING FUILD RESERVOIR FOR HIPACE 300 </t>
  </si>
  <si>
    <t>TUBE QUARTZ 4X2X23 </t>
  </si>
  <si>
    <t>GASKET GOLD OD117XID115 </t>
  </si>
  <si>
    <t>TUBE PEEK 1/16 "(/)X0.04"(/)" </t>
  </si>
  <si>
    <t>FLANGELESS FERRULE P-200 </t>
  </si>
  <si>
    <t>SHUT-OFF VALVE (P-732) </t>
  </si>
  <si>
    <t>NO TWIST FITTING 1/16" PEEK ZNF1PK </t>
  </si>
  <si>
    <t>SHORT FLANGELESS NUT XP-235 </t>
  </si>
  <si>
    <t>FRONT FERRULE, TUBE O.D. 1/16"" </t>
  </si>
  <si>
    <t>FERRULE SWG BACK 1/16""SS </t>
  </si>
  <si>
    <t>Acid drop counter</t>
  </si>
  <si>
    <t>LIFTING CYLINDER CD85 100 MM TWIST-SAFE</t>
  </si>
  <si>
    <t>ACID CAPILLARY LONG</t>
  </si>
  <si>
    <t>TOTAL EM REAIS</t>
  </si>
  <si>
    <t>TRAPPING VOLUME /double layer</t>
  </si>
  <si>
    <t>Spare Parts Dual Inlet (HiPace ab 03.12)</t>
  </si>
  <si>
    <t>COOLING UNIT / Carbonat</t>
  </si>
  <si>
    <t>SAMPLE VIAL KS19/9 50Length Pkg. a 50</t>
  </si>
  <si>
    <t>Ion source assembly</t>
  </si>
  <si>
    <t>79622-500G</t>
  </si>
  <si>
    <t>214701-500G</t>
  </si>
  <si>
    <t>Phosphorus pentoxide</t>
  </si>
  <si>
    <t>Phosphoric acid puriss. p.a., crystallized, ≥99.0% (T)</t>
  </si>
  <si>
    <t xml:space="preserve">Gas helio ultrapuro 99.999% </t>
  </si>
  <si>
    <t>Gas Argon (comparavel com butijao marrom/azul que já temos)</t>
  </si>
  <si>
    <t>Gas CO2 ultrapuro (comparavel com o butijao que já temos, conectado na frente do MAT253)</t>
  </si>
  <si>
    <t>Abastecimentos de LN2 (21600 litros)</t>
  </si>
  <si>
    <t>Isopropyl alcohol natural, ≥98%, FG 1L</t>
  </si>
  <si>
    <t>Acetona 1L</t>
  </si>
  <si>
    <t>Manutencao maquina Miele (com troca resina e consumíveis)</t>
  </si>
  <si>
    <t>Manutencao Nobreak (com troca baterias)</t>
  </si>
  <si>
    <t>Manutençao compressor</t>
  </si>
  <si>
    <t>Peças varias linha ar comprimido</t>
  </si>
  <si>
    <t>00A1078.07.BL</t>
  </si>
  <si>
    <t>Manutencao e consumiveis Liofilizadora</t>
  </si>
  <si>
    <t>Manutencao e consumiveis gerador Triak</t>
  </si>
  <si>
    <t>Prices backup</t>
  </si>
  <si>
    <t>Exchange rate</t>
  </si>
  <si>
    <t>Manutençao container</t>
  </si>
  <si>
    <t>Manutencao microscopios</t>
  </si>
  <si>
    <t>Manutençao ar condicionado</t>
  </si>
  <si>
    <t>Regulador de pressao ar comprimido e Helio</t>
  </si>
  <si>
    <t>Manutenção preventiva do Nobreak</t>
  </si>
  <si>
    <t>Manutencao Nobreak (troca baterias)</t>
  </si>
  <si>
    <t>Manutencao e consumiveis da bomba de vácuo da Liofilizadora</t>
  </si>
  <si>
    <t>Sensor de pressão da Liofilizadora</t>
  </si>
  <si>
    <t>Peças de reposição para o contêiner</t>
  </si>
  <si>
    <t>Regulador de pressao ar comprimido e Helio (manômetro simples)</t>
  </si>
  <si>
    <t>Regulador de pressão na saída do Cilindro do Helio (manômentro duplo)</t>
  </si>
  <si>
    <t>Nacional</t>
  </si>
  <si>
    <t>Nacional / Internacional</t>
  </si>
  <si>
    <t>Justificativa</t>
  </si>
  <si>
    <t>Internacional</t>
  </si>
  <si>
    <t>Peça de reposição do espectrômetro de massas MAT253 acoplado à unidade de preparação de carbonatos KielIV</t>
  </si>
  <si>
    <t>Gas Argônio</t>
  </si>
  <si>
    <t xml:space="preserve">Gas Hélio ultrapuro 99.999% </t>
  </si>
  <si>
    <t>Gas CO2 ultrapuro</t>
  </si>
  <si>
    <t>TOTAL</t>
  </si>
  <si>
    <t>GRAND TOTAL</t>
  </si>
  <si>
    <t>Valor unitário</t>
  </si>
  <si>
    <t>Reference</t>
  </si>
  <si>
    <t>Necessária para a realização das análises dos isótopos estáveis de C e O em testas de foraminíferos</t>
  </si>
  <si>
    <t>Valor item (EUR)</t>
  </si>
  <si>
    <t>Valor ítem (BRL)</t>
  </si>
  <si>
    <t>Nitrogênio líquido (21600 litros)</t>
  </si>
  <si>
    <t xml:space="preserve"> Material de consumo </t>
  </si>
  <si>
    <t xml:space="preserve"> Utilizado para liberar CO2 das amostras de carbonato durante a preparação para análise isotópica </t>
  </si>
  <si>
    <t xml:space="preserve"> Agente dessecante para remover umidade das amostras e linhas de gás, evitando interferências nas medições isotópicas </t>
  </si>
  <si>
    <t xml:space="preserve"> Gás de arraste para o transporte das amostras gasosas através do sistema de espectrometria de massas </t>
  </si>
  <si>
    <t xml:space="preserve"> Utilizado como gás de purga em certas etapas da análise para prevenir contaminação atmosférica </t>
  </si>
  <si>
    <t xml:space="preserve"> Empregado para resfriar armadilhas criogênicas, concentrando CO2 durante a preparação da amostra </t>
  </si>
  <si>
    <t xml:space="preserve"> Solvente para limpeza de componentes do sistema e preparação de amostras, evitando contaminação </t>
  </si>
  <si>
    <t xml:space="preserve"> Utilizada para limpeza de vidrarias e componentes, assegurando ausência de contaminantes orgânicos </t>
  </si>
  <si>
    <t xml:space="preserve"> Manutenção de equipamento e periféricos </t>
  </si>
  <si>
    <t xml:space="preserve"> Garante a limpeza adequada de vidrarias e materiais usados na preparação de amostras para análise isotópica </t>
  </si>
  <si>
    <t xml:space="preserve"> Assegura fornecimento ininterrupto de energia, crucial para a estabilidade do espectrômetro de massas </t>
  </si>
  <si>
    <t xml:space="preserve"> Mantém a confiabilidade do sistema de backup de energia durante análises prolongadas </t>
  </si>
  <si>
    <t xml:space="preserve"> Garante o fornecimento constante de ar comprimido necessário para válvulas pneumáticas no sistema </t>
  </si>
  <si>
    <t xml:space="preserve"> Mantém a integridade do sistema de distribuição de ar comprimido, essencial para operação de válvulas </t>
  </si>
  <si>
    <t xml:space="preserve"> Peça de reposição do espectrômetro de massas MAT253 acoplado à unidade de preparação de carbonatos KielIV </t>
  </si>
  <si>
    <t xml:space="preserve"> Controla precisamente a pressão dos gases, crucial para a reprodutibilidade das medições isotópicas </t>
  </si>
  <si>
    <t xml:space="preserve"> Assegura pressão constante do gás hélio, vital para o transporte preciso das amostras no espectrômetro </t>
  </si>
  <si>
    <t xml:space="preserve"> Mantém temperatura estável no laboratório, essencial para a precisão das medições isotópicas </t>
  </si>
  <si>
    <t xml:space="preserve"> Garante eficiência na preparação de amostras secas para análise, prevenindo contaminação por umidade </t>
  </si>
  <si>
    <t xml:space="preserve"> Monitora o processo de secagem das amostras, assegurando preparação adequada para análise isotópica </t>
  </si>
  <si>
    <t xml:space="preserve"> Fornece energia de backup, prevenindo interrupções durante análises isotópicas de longa duração </t>
  </si>
  <si>
    <t xml:space="preserve"> Preserva a integridade de componentes sensíveis do espectrômetro de massas e sistemas auxiliares </t>
  </si>
  <si>
    <t xml:space="preserve"> Mantém o ambiente controlado necessário para o funcionamento ótimo do sistema de espectrometria </t>
  </si>
  <si>
    <t xml:space="preserve"> Usado como gás de referência e para calibração do espectrômetro de massas nas análises de δ13C e d18O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</si>
</sst>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-[$€-2]\ * #,##0.00_-;\-[$€-2]\ * #,##0.00_-;_-[$€-2]\ * &quot;-&quot;??_-;_-@_-"/>
  </numFmts>
  <fonts count="6" x14ac:knownFonts="1">
    <font>
      <sz val="11"/>
      <color theme="1"/>
      <name val="Aptos Narrow"/>
      <family val="2"/>
      <scheme val="minor"/>
    </font>
    <font>
      <b/>
      <sz val="8"/>
      <color rgb="FF000000"/>
      <name val="Century Gothic"/>
      <family val="2"/>
    </font>
    <font>
      <sz val="8"/>
      <color theme="1"/>
      <name val="Century Gothic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/>
    <xf numFmtId="43" fontId="2" fillId="0" borderId="1" xfId="1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165" fontId="4" fillId="0" borderId="1" xfId="0" applyNumberFormat="1" applyFont="1" applyBorder="1"/>
    <xf numFmtId="0" fontId="4" fillId="0" borderId="1" xfId="0" applyFont="1" applyBorder="1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Border="1"/>
    <xf numFmtId="43" fontId="2" fillId="0" borderId="7" xfId="1" applyNumberFormat="1" applyFont="1" applyBorder="1" applyAlignment="1">
      <alignment horizontal="right" vertical="center" wrapText="1"/>
    </xf>
    <xf numFmtId="0" fontId="4" fillId="0" borderId="8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165" fontId="4" fillId="0" borderId="2" xfId="0" applyNumberFormat="1" applyFont="1" applyBorder="1"/>
    <xf numFmtId="0" fontId="4" fillId="0" borderId="0" xfId="0" applyFont="1" applyAlignment="1">
      <alignment horizontal="right"/>
    </xf>
    <xf numFmtId="164" fontId="4" fillId="0" borderId="0" xfId="0" applyNumberFormat="1" applyFont="1"/>
    <xf numFmtId="43" fontId="2" fillId="0" borderId="1" xfId="0" applyNumberFormat="1" applyFont="1" applyBorder="1"/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43" fontId="2" fillId="0" borderId="11" xfId="1" applyNumberFormat="1" applyFont="1" applyFill="1" applyBorder="1" applyAlignment="1">
      <alignment horizontal="right" vertical="center" wrapText="1"/>
    </xf>
    <xf numFmtId="43" fontId="2" fillId="0" borderId="0" xfId="0" applyNumberFormat="1" applyFont="1"/>
    <xf numFmtId="43" fontId="2" fillId="3" borderId="1" xfId="1" applyNumberFormat="1" applyFont="1" applyFill="1" applyBorder="1" applyAlignment="1">
      <alignment horizontal="right" vertical="center" wrapText="1"/>
    </xf>
    <xf numFmtId="165" fontId="4" fillId="3" borderId="1" xfId="0" applyNumberFormat="1" applyFont="1" applyFill="1" applyBorder="1"/>
    <xf numFmtId="43" fontId="2" fillId="3" borderId="1" xfId="0" applyNumberFormat="1" applyFont="1" applyFill="1" applyBorder="1"/>
    <xf numFmtId="164" fontId="4" fillId="3" borderId="0" xfId="0" applyNumberFormat="1" applyFont="1" applyFill="1"/>
    <xf numFmtId="164" fontId="4" fillId="3" borderId="1" xfId="0" applyNumberFormat="1" applyFont="1" applyFill="1" applyBorder="1"/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topLeftCell="D1" zoomScale="130" zoomScaleNormal="130" workbookViewId="0">
      <pane ySplit="1" topLeftCell="A30" activePane="bottomLeft" state="frozen"/>
      <selection pane="bottomLeft" activeCell="M48" sqref="M48"/>
    </sheetView>
  </sheetViews>
  <sheetFormatPr defaultRowHeight="14.5" x14ac:dyDescent="0.35"/>
  <cols>
    <col min="1" max="1" width="4" bestFit="1" customWidth="1"/>
    <col min="2" max="2" width="15.6328125" customWidth="1"/>
    <col min="3" max="3" width="74.453125" bestFit="1" customWidth="1"/>
    <col min="4" max="4" width="6.453125" customWidth="1"/>
    <col min="5" max="5" width="20.453125" customWidth="1"/>
    <col min="6" max="6" width="19.81640625" customWidth="1"/>
    <col min="7" max="7" width="17.54296875" customWidth="1"/>
    <col min="8" max="8" width="11.1796875" customWidth="1"/>
    <col min="10" max="10" width="12.54296875" style="21" customWidth="1"/>
    <col min="11" max="11" width="12.6328125" style="21" customWidth="1"/>
    <col min="12" max="12" width="18.1796875" style="21" customWidth="1"/>
  </cols>
  <sheetData>
    <row r="1" spans="1:12" ht="58.25" customHeight="1" x14ac:dyDescent="0.35">
      <c r="A1" s="19" t="s">
        <v>0</v>
      </c>
      <c r="B1" s="9" t="s">
        <v>1</v>
      </c>
      <c r="C1" s="9" t="s">
        <v>2</v>
      </c>
      <c r="D1" s="9" t="s">
        <v>3</v>
      </c>
      <c r="E1" s="9" t="s">
        <v>93</v>
      </c>
      <c r="F1" s="9" t="s">
        <v>97</v>
      </c>
      <c r="G1" s="9" t="s">
        <v>96</v>
      </c>
      <c r="H1" s="20" t="s">
        <v>94</v>
      </c>
      <c r="J1" s="9" t="s">
        <v>84</v>
      </c>
      <c r="K1" s="9" t="s">
        <v>2</v>
      </c>
      <c r="L1" s="9" t="s">
        <v>85</v>
      </c>
    </row>
    <row r="2" spans="1:12" x14ac:dyDescent="0.35">
      <c r="A2" s="1">
        <v>1</v>
      </c>
      <c r="B2" s="4">
        <v>1309920</v>
      </c>
      <c r="C2" s="5" t="s">
        <v>21</v>
      </c>
      <c r="D2" s="1">
        <v>2</v>
      </c>
      <c r="E2" s="3">
        <v>3866.11</v>
      </c>
      <c r="F2" s="24">
        <f>(D2*E2)*$I$35</f>
        <v>49486.208000000006</v>
      </c>
      <c r="G2" s="25">
        <f t="shared" ref="G2:G8" si="0">D2*E2</f>
        <v>7732.22</v>
      </c>
      <c r="H2" s="3">
        <v>3866.11</v>
      </c>
      <c r="J2" s="22" t="s">
        <v>86</v>
      </c>
      <c r="K2" s="22" t="s">
        <v>87</v>
      </c>
      <c r="L2" s="22" t="s">
        <v>95</v>
      </c>
    </row>
    <row r="3" spans="1:12" x14ac:dyDescent="0.35">
      <c r="A3" s="1">
        <v>2</v>
      </c>
      <c r="B3" s="4">
        <v>1322930</v>
      </c>
      <c r="C3" s="5" t="s">
        <v>22</v>
      </c>
      <c r="D3" s="1">
        <v>2</v>
      </c>
      <c r="E3" s="3">
        <v>5777.7</v>
      </c>
      <c r="F3" s="24">
        <f>(D3*E3)*$I$35</f>
        <v>73954.559999999998</v>
      </c>
      <c r="G3" s="25">
        <f t="shared" si="0"/>
        <v>11555.4</v>
      </c>
      <c r="H3" s="3">
        <v>5777.7</v>
      </c>
      <c r="J3" s="22" t="s">
        <v>86</v>
      </c>
      <c r="K3" s="22" t="s">
        <v>87</v>
      </c>
      <c r="L3" s="22" t="s">
        <v>95</v>
      </c>
    </row>
    <row r="4" spans="1:12" x14ac:dyDescent="0.35">
      <c r="A4" s="1">
        <v>3</v>
      </c>
      <c r="B4" s="4">
        <v>1322940</v>
      </c>
      <c r="C4" s="6" t="s">
        <v>49</v>
      </c>
      <c r="D4" s="1">
        <v>2</v>
      </c>
      <c r="E4" s="3">
        <v>2861.77</v>
      </c>
      <c r="F4" s="24">
        <f t="shared" ref="F4:F32" si="1">(D4*E4)*$I$35</f>
        <v>36630.656000000003</v>
      </c>
      <c r="G4" s="25">
        <f t="shared" si="0"/>
        <v>5723.54</v>
      </c>
      <c r="H4" s="3">
        <v>2861.77</v>
      </c>
      <c r="J4" s="22" t="s">
        <v>86</v>
      </c>
      <c r="K4" s="22" t="s">
        <v>87</v>
      </c>
      <c r="L4" s="22" t="s">
        <v>95</v>
      </c>
    </row>
    <row r="5" spans="1:12" x14ac:dyDescent="0.35">
      <c r="A5" s="1">
        <v>4</v>
      </c>
      <c r="B5" s="4" t="s">
        <v>5</v>
      </c>
      <c r="C5" s="5" t="s">
        <v>23</v>
      </c>
      <c r="D5" s="1">
        <v>2</v>
      </c>
      <c r="E5" s="3">
        <v>356.72</v>
      </c>
      <c r="F5" s="24">
        <f t="shared" si="1"/>
        <v>4566.0160000000005</v>
      </c>
      <c r="G5" s="25">
        <f t="shared" si="0"/>
        <v>713.44</v>
      </c>
      <c r="H5" s="3">
        <v>356.72</v>
      </c>
      <c r="J5" s="22" t="s">
        <v>86</v>
      </c>
      <c r="K5" s="22" t="s">
        <v>87</v>
      </c>
      <c r="L5" s="22" t="s">
        <v>95</v>
      </c>
    </row>
    <row r="6" spans="1:12" x14ac:dyDescent="0.35">
      <c r="A6" s="1">
        <v>5</v>
      </c>
      <c r="B6" s="4" t="s">
        <v>6</v>
      </c>
      <c r="C6" s="5" t="s">
        <v>51</v>
      </c>
      <c r="D6" s="1">
        <v>2</v>
      </c>
      <c r="E6" s="3">
        <v>1528.42</v>
      </c>
      <c r="F6" s="24">
        <f t="shared" si="1"/>
        <v>19563.776000000002</v>
      </c>
      <c r="G6" s="25">
        <f t="shared" si="0"/>
        <v>3056.84</v>
      </c>
      <c r="H6" s="3">
        <v>1528.42</v>
      </c>
      <c r="J6" s="22" t="s">
        <v>86</v>
      </c>
      <c r="K6" s="22" t="s">
        <v>87</v>
      </c>
      <c r="L6" s="22" t="s">
        <v>95</v>
      </c>
    </row>
    <row r="7" spans="1:12" x14ac:dyDescent="0.35">
      <c r="A7" s="1">
        <v>6</v>
      </c>
      <c r="B7" s="4">
        <v>1007740</v>
      </c>
      <c r="C7" s="5" t="s">
        <v>48</v>
      </c>
      <c r="D7" s="1">
        <v>2</v>
      </c>
      <c r="E7" s="3">
        <v>2505.12</v>
      </c>
      <c r="F7" s="24">
        <f t="shared" si="1"/>
        <v>32065.536</v>
      </c>
      <c r="G7" s="25">
        <f t="shared" si="0"/>
        <v>5010.24</v>
      </c>
      <c r="H7" s="3">
        <v>2505.12</v>
      </c>
      <c r="J7" s="22" t="s">
        <v>86</v>
      </c>
      <c r="K7" s="22" t="s">
        <v>87</v>
      </c>
      <c r="L7" s="22" t="s">
        <v>95</v>
      </c>
    </row>
    <row r="8" spans="1:12" x14ac:dyDescent="0.35">
      <c r="A8" s="1">
        <v>7</v>
      </c>
      <c r="B8" s="4">
        <v>1244100</v>
      </c>
      <c r="C8" s="5" t="s">
        <v>50</v>
      </c>
      <c r="D8" s="1">
        <v>2</v>
      </c>
      <c r="E8" s="3">
        <v>4024.45</v>
      </c>
      <c r="F8" s="18">
        <f t="shared" si="1"/>
        <v>51512.959999999999</v>
      </c>
      <c r="G8" s="25">
        <f t="shared" si="0"/>
        <v>8048.9</v>
      </c>
      <c r="H8" s="3">
        <v>4024.45</v>
      </c>
      <c r="J8" s="22" t="s">
        <v>86</v>
      </c>
      <c r="K8" s="22" t="s">
        <v>87</v>
      </c>
      <c r="L8" s="22" t="s">
        <v>95</v>
      </c>
    </row>
    <row r="9" spans="1:12" x14ac:dyDescent="0.35">
      <c r="A9" s="1">
        <v>8</v>
      </c>
      <c r="B9" s="4">
        <v>1131480</v>
      </c>
      <c r="C9" s="5" t="s">
        <v>52</v>
      </c>
      <c r="D9" s="1">
        <v>1</v>
      </c>
      <c r="E9" s="3">
        <v>16904.66</v>
      </c>
      <c r="F9" s="18">
        <f t="shared" si="1"/>
        <v>108189.82400000001</v>
      </c>
      <c r="G9" s="25">
        <v>16904.66</v>
      </c>
      <c r="H9" s="3">
        <v>16904.66</v>
      </c>
      <c r="J9" s="22" t="s">
        <v>86</v>
      </c>
      <c r="K9" s="22" t="s">
        <v>87</v>
      </c>
      <c r="L9" s="22" t="s">
        <v>95</v>
      </c>
    </row>
    <row r="10" spans="1:12" x14ac:dyDescent="0.35">
      <c r="A10" s="1">
        <v>9</v>
      </c>
      <c r="B10" s="4" t="s">
        <v>7</v>
      </c>
      <c r="C10" s="5" t="s">
        <v>24</v>
      </c>
      <c r="D10" s="1">
        <v>6</v>
      </c>
      <c r="E10" s="3">
        <v>15.92</v>
      </c>
      <c r="F10" s="18">
        <f t="shared" si="1"/>
        <v>611.32799999999997</v>
      </c>
      <c r="G10" s="25">
        <f t="shared" ref="G10:G32" si="2">D10*E10</f>
        <v>95.52</v>
      </c>
      <c r="H10" s="3">
        <v>15.92</v>
      </c>
      <c r="J10" s="22" t="s">
        <v>86</v>
      </c>
      <c r="K10" s="22" t="s">
        <v>87</v>
      </c>
      <c r="L10" s="22" t="s">
        <v>95</v>
      </c>
    </row>
    <row r="11" spans="1:12" x14ac:dyDescent="0.35">
      <c r="A11" s="1">
        <v>10</v>
      </c>
      <c r="B11" s="4">
        <v>554440</v>
      </c>
      <c r="C11" s="5" t="s">
        <v>25</v>
      </c>
      <c r="D11" s="1">
        <v>100</v>
      </c>
      <c r="E11" s="3">
        <v>1.71</v>
      </c>
      <c r="F11" s="18">
        <f t="shared" si="1"/>
        <v>1094.4000000000001</v>
      </c>
      <c r="G11" s="25">
        <f t="shared" si="2"/>
        <v>171</v>
      </c>
      <c r="H11" s="3">
        <v>1.71</v>
      </c>
      <c r="J11" s="22" t="s">
        <v>86</v>
      </c>
      <c r="K11" s="22" t="s">
        <v>87</v>
      </c>
      <c r="L11" s="22" t="s">
        <v>95</v>
      </c>
    </row>
    <row r="12" spans="1:12" x14ac:dyDescent="0.35">
      <c r="A12" s="1">
        <v>11</v>
      </c>
      <c r="B12" s="4">
        <v>453750</v>
      </c>
      <c r="C12" s="5" t="s">
        <v>26</v>
      </c>
      <c r="D12" s="1">
        <v>10</v>
      </c>
      <c r="E12" s="3">
        <v>3.51</v>
      </c>
      <c r="F12" s="18">
        <f t="shared" si="1"/>
        <v>224.64</v>
      </c>
      <c r="G12" s="25">
        <f t="shared" si="2"/>
        <v>35.099999999999994</v>
      </c>
      <c r="H12" s="3">
        <v>3.51</v>
      </c>
      <c r="J12" s="22" t="s">
        <v>86</v>
      </c>
      <c r="K12" s="22" t="s">
        <v>87</v>
      </c>
      <c r="L12" s="22" t="s">
        <v>95</v>
      </c>
    </row>
    <row r="13" spans="1:12" x14ac:dyDescent="0.35">
      <c r="A13" s="1">
        <v>12</v>
      </c>
      <c r="B13" s="4">
        <v>653041</v>
      </c>
      <c r="C13" s="5" t="s">
        <v>27</v>
      </c>
      <c r="D13" s="1">
        <v>6</v>
      </c>
      <c r="E13" s="3">
        <v>307</v>
      </c>
      <c r="F13" s="18">
        <f t="shared" si="1"/>
        <v>11788.800000000001</v>
      </c>
      <c r="G13" s="25">
        <f t="shared" si="2"/>
        <v>1842</v>
      </c>
      <c r="H13" s="3">
        <v>307</v>
      </c>
      <c r="J13" s="22" t="s">
        <v>86</v>
      </c>
      <c r="K13" s="22" t="s">
        <v>87</v>
      </c>
      <c r="L13" s="22" t="s">
        <v>95</v>
      </c>
    </row>
    <row r="14" spans="1:12" x14ac:dyDescent="0.35">
      <c r="A14" s="1">
        <v>13</v>
      </c>
      <c r="B14" s="4">
        <v>653010</v>
      </c>
      <c r="C14" s="5" t="s">
        <v>28</v>
      </c>
      <c r="D14" s="1">
        <v>6</v>
      </c>
      <c r="E14" s="3">
        <v>59.04</v>
      </c>
      <c r="F14" s="18">
        <f t="shared" si="1"/>
        <v>2267.136</v>
      </c>
      <c r="G14" s="25">
        <f t="shared" si="2"/>
        <v>354.24</v>
      </c>
      <c r="H14" s="3">
        <v>59.04</v>
      </c>
      <c r="J14" s="22" t="s">
        <v>86</v>
      </c>
      <c r="K14" s="22" t="s">
        <v>87</v>
      </c>
      <c r="L14" s="22" t="s">
        <v>95</v>
      </c>
    </row>
    <row r="15" spans="1:12" x14ac:dyDescent="0.35">
      <c r="A15" s="1">
        <v>14</v>
      </c>
      <c r="B15" s="4">
        <v>553140</v>
      </c>
      <c r="C15" s="5" t="s">
        <v>29</v>
      </c>
      <c r="D15" s="1">
        <v>6</v>
      </c>
      <c r="E15" s="3">
        <v>34.68</v>
      </c>
      <c r="F15" s="18">
        <f t="shared" si="1"/>
        <v>1331.712</v>
      </c>
      <c r="G15" s="25">
        <f t="shared" si="2"/>
        <v>208.07999999999998</v>
      </c>
      <c r="H15" s="3">
        <v>34.68</v>
      </c>
      <c r="J15" s="22" t="s">
        <v>86</v>
      </c>
      <c r="K15" s="22" t="s">
        <v>87</v>
      </c>
      <c r="L15" s="22" t="s">
        <v>95</v>
      </c>
    </row>
    <row r="16" spans="1:12" x14ac:dyDescent="0.35">
      <c r="A16" s="1">
        <v>15</v>
      </c>
      <c r="B16" s="4">
        <v>545270</v>
      </c>
      <c r="C16" s="5" t="s">
        <v>30</v>
      </c>
      <c r="D16" s="1">
        <v>6</v>
      </c>
      <c r="E16" s="3">
        <v>245.25</v>
      </c>
      <c r="F16" s="18">
        <f t="shared" si="1"/>
        <v>9417.6</v>
      </c>
      <c r="G16" s="25">
        <f t="shared" si="2"/>
        <v>1471.5</v>
      </c>
      <c r="H16" s="3">
        <v>245.25</v>
      </c>
      <c r="J16" s="22" t="s">
        <v>86</v>
      </c>
      <c r="K16" s="22" t="s">
        <v>87</v>
      </c>
      <c r="L16" s="22" t="s">
        <v>95</v>
      </c>
    </row>
    <row r="17" spans="1:12" x14ac:dyDescent="0.35">
      <c r="A17" s="1">
        <v>16</v>
      </c>
      <c r="B17" s="4" t="s">
        <v>8</v>
      </c>
      <c r="C17" s="5" t="s">
        <v>31</v>
      </c>
      <c r="D17" s="1">
        <v>6</v>
      </c>
      <c r="E17" s="3">
        <v>14.82</v>
      </c>
      <c r="F17" s="18">
        <f t="shared" si="1"/>
        <v>569.08800000000008</v>
      </c>
      <c r="G17" s="25">
        <f t="shared" si="2"/>
        <v>88.92</v>
      </c>
      <c r="H17" s="3">
        <v>14.82</v>
      </c>
      <c r="J17" s="22" t="s">
        <v>86</v>
      </c>
      <c r="K17" s="22" t="s">
        <v>87</v>
      </c>
      <c r="L17" s="22" t="s">
        <v>95</v>
      </c>
    </row>
    <row r="18" spans="1:12" x14ac:dyDescent="0.35">
      <c r="A18" s="1">
        <v>17</v>
      </c>
      <c r="B18" s="4" t="s">
        <v>9</v>
      </c>
      <c r="C18" s="5" t="s">
        <v>32</v>
      </c>
      <c r="D18" s="1">
        <v>10</v>
      </c>
      <c r="E18" s="3">
        <v>4.07</v>
      </c>
      <c r="F18" s="18">
        <f t="shared" si="1"/>
        <v>260.48</v>
      </c>
      <c r="G18" s="25">
        <f t="shared" si="2"/>
        <v>40.700000000000003</v>
      </c>
      <c r="H18" s="3">
        <v>4.07</v>
      </c>
      <c r="J18" s="22" t="s">
        <v>86</v>
      </c>
      <c r="K18" s="22" t="s">
        <v>87</v>
      </c>
      <c r="L18" s="22" t="s">
        <v>95</v>
      </c>
    </row>
    <row r="19" spans="1:12" x14ac:dyDescent="0.35">
      <c r="A19" s="1">
        <v>18</v>
      </c>
      <c r="B19" s="4" t="s">
        <v>10</v>
      </c>
      <c r="C19" s="5" t="s">
        <v>33</v>
      </c>
      <c r="D19" s="1">
        <v>4</v>
      </c>
      <c r="E19" s="3">
        <v>100.24</v>
      </c>
      <c r="F19" s="18">
        <f t="shared" si="1"/>
        <v>2566.1440000000002</v>
      </c>
      <c r="G19" s="25">
        <f t="shared" si="2"/>
        <v>400.96</v>
      </c>
      <c r="H19" s="3">
        <v>100.24</v>
      </c>
      <c r="J19" s="22" t="s">
        <v>86</v>
      </c>
      <c r="K19" s="22" t="s">
        <v>87</v>
      </c>
      <c r="L19" s="22" t="s">
        <v>95</v>
      </c>
    </row>
    <row r="20" spans="1:12" x14ac:dyDescent="0.35">
      <c r="A20" s="1">
        <v>19</v>
      </c>
      <c r="B20" s="4" t="s">
        <v>11</v>
      </c>
      <c r="C20" s="5" t="s">
        <v>34</v>
      </c>
      <c r="D20" s="1">
        <v>4</v>
      </c>
      <c r="E20" s="3">
        <v>100.24</v>
      </c>
      <c r="F20" s="18">
        <f t="shared" si="1"/>
        <v>2566.1440000000002</v>
      </c>
      <c r="G20" s="25">
        <f t="shared" si="2"/>
        <v>400.96</v>
      </c>
      <c r="H20" s="3">
        <v>100.24</v>
      </c>
      <c r="J20" s="22" t="s">
        <v>86</v>
      </c>
      <c r="K20" s="22" t="s">
        <v>87</v>
      </c>
      <c r="L20" s="22" t="s">
        <v>95</v>
      </c>
    </row>
    <row r="21" spans="1:12" x14ac:dyDescent="0.35">
      <c r="A21" s="1">
        <v>20</v>
      </c>
      <c r="B21" s="4" t="s">
        <v>12</v>
      </c>
      <c r="C21" s="5" t="s">
        <v>35</v>
      </c>
      <c r="D21" s="1">
        <v>2</v>
      </c>
      <c r="E21" s="3">
        <v>79.66</v>
      </c>
      <c r="F21" s="18">
        <f t="shared" si="1"/>
        <v>1019.648</v>
      </c>
      <c r="G21" s="25">
        <f t="shared" si="2"/>
        <v>159.32</v>
      </c>
      <c r="H21" s="3">
        <v>79.66</v>
      </c>
      <c r="J21" s="22" t="s">
        <v>86</v>
      </c>
      <c r="K21" s="22" t="s">
        <v>87</v>
      </c>
      <c r="L21" s="22" t="s">
        <v>95</v>
      </c>
    </row>
    <row r="22" spans="1:12" x14ac:dyDescent="0.35">
      <c r="A22" s="1">
        <v>21</v>
      </c>
      <c r="B22" s="4" t="s">
        <v>13</v>
      </c>
      <c r="C22" s="5" t="s">
        <v>36</v>
      </c>
      <c r="D22" s="1">
        <v>2</v>
      </c>
      <c r="E22" s="3">
        <v>1117.6099999999999</v>
      </c>
      <c r="F22" s="18">
        <f t="shared" si="1"/>
        <v>14305.407999999999</v>
      </c>
      <c r="G22" s="25">
        <f t="shared" si="2"/>
        <v>2235.2199999999998</v>
      </c>
      <c r="H22" s="3">
        <v>1117.6099999999999</v>
      </c>
      <c r="J22" s="22" t="s">
        <v>86</v>
      </c>
      <c r="K22" s="22" t="s">
        <v>87</v>
      </c>
      <c r="L22" s="22" t="s">
        <v>95</v>
      </c>
    </row>
    <row r="23" spans="1:12" x14ac:dyDescent="0.35">
      <c r="A23" s="1">
        <v>22</v>
      </c>
      <c r="B23" s="4" t="s">
        <v>14</v>
      </c>
      <c r="C23" s="5" t="s">
        <v>37</v>
      </c>
      <c r="D23" s="1">
        <v>4</v>
      </c>
      <c r="E23" s="3">
        <v>23.13</v>
      </c>
      <c r="F23" s="18">
        <f t="shared" si="1"/>
        <v>592.12800000000004</v>
      </c>
      <c r="G23" s="25">
        <f t="shared" si="2"/>
        <v>92.52</v>
      </c>
      <c r="H23" s="3">
        <v>23.13</v>
      </c>
      <c r="J23" s="22" t="s">
        <v>86</v>
      </c>
      <c r="K23" s="22" t="s">
        <v>87</v>
      </c>
      <c r="L23" s="22" t="s">
        <v>95</v>
      </c>
    </row>
    <row r="24" spans="1:12" x14ac:dyDescent="0.35">
      <c r="A24" s="1">
        <v>23</v>
      </c>
      <c r="B24" s="4" t="s">
        <v>15</v>
      </c>
      <c r="C24" s="5" t="s">
        <v>38</v>
      </c>
      <c r="D24" s="1">
        <v>4</v>
      </c>
      <c r="E24" s="3">
        <v>1.86</v>
      </c>
      <c r="F24" s="18">
        <f t="shared" si="1"/>
        <v>47.616000000000007</v>
      </c>
      <c r="G24" s="25">
        <f t="shared" si="2"/>
        <v>7.44</v>
      </c>
      <c r="H24" s="3">
        <v>1.86</v>
      </c>
      <c r="J24" s="22" t="s">
        <v>86</v>
      </c>
      <c r="K24" s="22" t="s">
        <v>87</v>
      </c>
      <c r="L24" s="22" t="s">
        <v>95</v>
      </c>
    </row>
    <row r="25" spans="1:12" x14ac:dyDescent="0.35">
      <c r="A25" s="1">
        <v>24</v>
      </c>
      <c r="B25" s="4" t="s">
        <v>16</v>
      </c>
      <c r="C25" s="5" t="s">
        <v>39</v>
      </c>
      <c r="D25" s="1">
        <v>2</v>
      </c>
      <c r="E25" s="3">
        <v>40.32</v>
      </c>
      <c r="F25" s="18">
        <f t="shared" si="1"/>
        <v>516.096</v>
      </c>
      <c r="G25" s="25">
        <f t="shared" si="2"/>
        <v>80.64</v>
      </c>
      <c r="H25" s="3">
        <v>40.32</v>
      </c>
      <c r="J25" s="22" t="s">
        <v>86</v>
      </c>
      <c r="K25" s="22" t="s">
        <v>87</v>
      </c>
      <c r="L25" s="22" t="s">
        <v>95</v>
      </c>
    </row>
    <row r="26" spans="1:12" x14ac:dyDescent="0.35">
      <c r="A26" s="1">
        <v>25</v>
      </c>
      <c r="B26" s="4" t="s">
        <v>17</v>
      </c>
      <c r="C26" s="5" t="s">
        <v>40</v>
      </c>
      <c r="D26" s="1">
        <v>4</v>
      </c>
      <c r="E26" s="3">
        <v>60.8</v>
      </c>
      <c r="F26" s="18">
        <f t="shared" si="1"/>
        <v>1556.48</v>
      </c>
      <c r="G26" s="25">
        <f t="shared" si="2"/>
        <v>243.2</v>
      </c>
      <c r="H26" s="3">
        <v>60.8</v>
      </c>
      <c r="J26" s="22" t="s">
        <v>86</v>
      </c>
      <c r="K26" s="22" t="s">
        <v>87</v>
      </c>
      <c r="L26" s="22" t="s">
        <v>95</v>
      </c>
    </row>
    <row r="27" spans="1:12" x14ac:dyDescent="0.35">
      <c r="A27" s="1">
        <v>26</v>
      </c>
      <c r="B27" s="4" t="s">
        <v>18</v>
      </c>
      <c r="C27" s="5" t="s">
        <v>41</v>
      </c>
      <c r="D27" s="1">
        <v>4</v>
      </c>
      <c r="E27" s="3">
        <v>6.22</v>
      </c>
      <c r="F27" s="18">
        <f t="shared" si="1"/>
        <v>159.232</v>
      </c>
      <c r="G27" s="25">
        <f t="shared" si="2"/>
        <v>24.88</v>
      </c>
      <c r="H27" s="3">
        <v>6.22</v>
      </c>
      <c r="J27" s="22" t="s">
        <v>86</v>
      </c>
      <c r="K27" s="22" t="s">
        <v>87</v>
      </c>
      <c r="L27" s="22" t="s">
        <v>95</v>
      </c>
    </row>
    <row r="28" spans="1:12" x14ac:dyDescent="0.35">
      <c r="A28" s="1">
        <v>27</v>
      </c>
      <c r="B28" s="4" t="s">
        <v>19</v>
      </c>
      <c r="C28" s="5" t="s">
        <v>42</v>
      </c>
      <c r="D28" s="1">
        <v>4</v>
      </c>
      <c r="E28" s="3">
        <v>5.58</v>
      </c>
      <c r="F28" s="18">
        <f t="shared" si="1"/>
        <v>142.84800000000001</v>
      </c>
      <c r="G28" s="25">
        <f t="shared" si="2"/>
        <v>22.32</v>
      </c>
      <c r="H28" s="3">
        <v>5.58</v>
      </c>
      <c r="J28" s="22" t="s">
        <v>86</v>
      </c>
      <c r="K28" s="22" t="s">
        <v>87</v>
      </c>
      <c r="L28" s="22" t="s">
        <v>95</v>
      </c>
    </row>
    <row r="29" spans="1:12" x14ac:dyDescent="0.35">
      <c r="A29" s="1">
        <v>28</v>
      </c>
      <c r="B29" s="4" t="s">
        <v>20</v>
      </c>
      <c r="C29" s="5" t="s">
        <v>43</v>
      </c>
      <c r="D29" s="1">
        <v>4</v>
      </c>
      <c r="E29" s="3">
        <v>4.57</v>
      </c>
      <c r="F29" s="18">
        <f t="shared" si="1"/>
        <v>116.99200000000002</v>
      </c>
      <c r="G29" s="25">
        <f t="shared" si="2"/>
        <v>18.28</v>
      </c>
      <c r="H29" s="3">
        <v>4.57</v>
      </c>
      <c r="J29" s="22" t="s">
        <v>86</v>
      </c>
      <c r="K29" s="22" t="s">
        <v>87</v>
      </c>
      <c r="L29" s="22" t="s">
        <v>95</v>
      </c>
    </row>
    <row r="30" spans="1:12" x14ac:dyDescent="0.35">
      <c r="A30" s="1">
        <v>29</v>
      </c>
      <c r="B30" s="4">
        <v>1283450</v>
      </c>
      <c r="C30" s="5" t="s">
        <v>44</v>
      </c>
      <c r="D30" s="1">
        <v>10</v>
      </c>
      <c r="E30" s="3">
        <v>16.73</v>
      </c>
      <c r="F30" s="18">
        <f t="shared" si="1"/>
        <v>1070.72</v>
      </c>
      <c r="G30" s="25">
        <f t="shared" si="2"/>
        <v>167.3</v>
      </c>
      <c r="H30" s="3">
        <v>16.73</v>
      </c>
      <c r="J30" s="22" t="s">
        <v>86</v>
      </c>
      <c r="K30" s="22" t="s">
        <v>87</v>
      </c>
      <c r="L30" s="22" t="s">
        <v>95</v>
      </c>
    </row>
    <row r="31" spans="1:12" x14ac:dyDescent="0.35">
      <c r="A31" s="1">
        <v>30</v>
      </c>
      <c r="B31" s="4">
        <v>1117210</v>
      </c>
      <c r="C31" s="5" t="s">
        <v>45</v>
      </c>
      <c r="D31" s="1">
        <v>4</v>
      </c>
      <c r="E31" s="3">
        <v>125.26</v>
      </c>
      <c r="F31" s="18">
        <f t="shared" si="1"/>
        <v>3206.6560000000004</v>
      </c>
      <c r="G31" s="25">
        <f t="shared" si="2"/>
        <v>501.04</v>
      </c>
      <c r="H31" s="3">
        <v>125.26</v>
      </c>
      <c r="J31" s="22" t="s">
        <v>86</v>
      </c>
      <c r="K31" s="22" t="s">
        <v>87</v>
      </c>
      <c r="L31" s="22" t="s">
        <v>95</v>
      </c>
    </row>
    <row r="32" spans="1:12" x14ac:dyDescent="0.35">
      <c r="A32" s="1">
        <v>31</v>
      </c>
      <c r="B32" s="4">
        <v>1298140</v>
      </c>
      <c r="C32" s="5" t="s">
        <v>46</v>
      </c>
      <c r="D32" s="1">
        <v>4</v>
      </c>
      <c r="E32" s="3">
        <v>585.69000000000005</v>
      </c>
      <c r="F32" s="18">
        <f t="shared" si="1"/>
        <v>14993.664000000002</v>
      </c>
      <c r="G32" s="25">
        <f t="shared" si="2"/>
        <v>2342.7600000000002</v>
      </c>
      <c r="H32" s="3">
        <v>585.69000000000005</v>
      </c>
      <c r="J32" s="22" t="s">
        <v>86</v>
      </c>
      <c r="K32" s="22" t="s">
        <v>87</v>
      </c>
      <c r="L32" s="22" t="s">
        <v>95</v>
      </c>
    </row>
    <row r="33" spans="1:12" x14ac:dyDescent="0.35">
      <c r="A33" s="33" t="s">
        <v>91</v>
      </c>
      <c r="B33" s="33"/>
      <c r="C33" s="33"/>
      <c r="D33" s="33"/>
      <c r="E33" s="33"/>
      <c r="F33" s="2">
        <f>SUM(F2:F32)</f>
        <v>446394.49599999993</v>
      </c>
      <c r="G33" s="26">
        <f>SUM(G2:G32)</f>
        <v>69749.14</v>
      </c>
      <c r="H33" s="11"/>
    </row>
    <row r="34" spans="1:12" x14ac:dyDescent="0.35">
      <c r="I34" t="s">
        <v>71</v>
      </c>
    </row>
    <row r="35" spans="1:12" x14ac:dyDescent="0.35">
      <c r="A35" s="1">
        <v>32</v>
      </c>
      <c r="B35" s="4" t="s">
        <v>53</v>
      </c>
      <c r="C35" s="5" t="s">
        <v>56</v>
      </c>
      <c r="D35" s="1">
        <v>6</v>
      </c>
      <c r="E35" s="3">
        <f>H35/$I$35</f>
        <v>79.0625</v>
      </c>
      <c r="F35" s="27">
        <f>D35*H35</f>
        <v>3036</v>
      </c>
      <c r="G35" s="3">
        <f t="shared" ref="G35:G55" si="3">E35*D35</f>
        <v>474.375</v>
      </c>
      <c r="H35" s="12">
        <v>506</v>
      </c>
      <c r="I35" s="23">
        <v>6.4</v>
      </c>
      <c r="J35" s="22" t="s">
        <v>83</v>
      </c>
      <c r="K35" s="22" t="s">
        <v>99</v>
      </c>
      <c r="L35" s="22" t="s">
        <v>100</v>
      </c>
    </row>
    <row r="36" spans="1:12" x14ac:dyDescent="0.35">
      <c r="A36" s="1">
        <v>33</v>
      </c>
      <c r="B36" s="4" t="s">
        <v>54</v>
      </c>
      <c r="C36" s="5" t="s">
        <v>55</v>
      </c>
      <c r="D36" s="1">
        <v>6</v>
      </c>
      <c r="E36" s="3">
        <f t="shared" ref="E36:E50" si="4">H36/$I$35</f>
        <v>85</v>
      </c>
      <c r="F36" s="27">
        <f t="shared" ref="F36:F50" si="5">D36*H36</f>
        <v>3264</v>
      </c>
      <c r="G36" s="3">
        <f t="shared" si="3"/>
        <v>510</v>
      </c>
      <c r="H36" s="12">
        <v>544</v>
      </c>
      <c r="J36" s="22" t="s">
        <v>83</v>
      </c>
      <c r="K36" s="22" t="s">
        <v>99</v>
      </c>
      <c r="L36" s="22" t="s">
        <v>101</v>
      </c>
    </row>
    <row r="37" spans="1:12" x14ac:dyDescent="0.35">
      <c r="A37" s="1">
        <v>34</v>
      </c>
      <c r="B37" s="4"/>
      <c r="C37" s="5" t="s">
        <v>89</v>
      </c>
      <c r="D37" s="1">
        <v>2</v>
      </c>
      <c r="E37" s="3">
        <f t="shared" si="4"/>
        <v>1088.4375</v>
      </c>
      <c r="F37" s="27">
        <f t="shared" si="5"/>
        <v>13932</v>
      </c>
      <c r="G37" s="3">
        <f t="shared" si="3"/>
        <v>2176.875</v>
      </c>
      <c r="H37" s="12">
        <v>6966</v>
      </c>
      <c r="J37" s="22" t="s">
        <v>83</v>
      </c>
      <c r="K37" s="22" t="s">
        <v>99</v>
      </c>
      <c r="L37" s="22" t="s">
        <v>102</v>
      </c>
    </row>
    <row r="38" spans="1:12" x14ac:dyDescent="0.35">
      <c r="A38" s="1">
        <v>35</v>
      </c>
      <c r="B38" s="4"/>
      <c r="C38" s="5" t="s">
        <v>88</v>
      </c>
      <c r="D38" s="1">
        <v>1</v>
      </c>
      <c r="E38" s="3">
        <f t="shared" si="4"/>
        <v>262.5</v>
      </c>
      <c r="F38" s="27">
        <f t="shared" si="5"/>
        <v>1680</v>
      </c>
      <c r="G38" s="3">
        <f t="shared" si="3"/>
        <v>262.5</v>
      </c>
      <c r="H38" s="12">
        <v>1680</v>
      </c>
      <c r="J38" s="22" t="s">
        <v>83</v>
      </c>
      <c r="K38" s="22" t="s">
        <v>99</v>
      </c>
      <c r="L38" s="22" t="s">
        <v>103</v>
      </c>
    </row>
    <row r="39" spans="1:12" x14ac:dyDescent="0.35">
      <c r="A39" s="1">
        <v>36</v>
      </c>
      <c r="B39" s="4"/>
      <c r="C39" s="5" t="s">
        <v>90</v>
      </c>
      <c r="D39" s="1">
        <v>1</v>
      </c>
      <c r="E39" s="3">
        <f t="shared" si="4"/>
        <v>373.4375</v>
      </c>
      <c r="F39" s="27">
        <f t="shared" si="5"/>
        <v>2390</v>
      </c>
      <c r="G39" s="3">
        <f t="shared" si="3"/>
        <v>373.4375</v>
      </c>
      <c r="H39" s="12">
        <v>2390</v>
      </c>
      <c r="J39" s="22" t="s">
        <v>83</v>
      </c>
      <c r="K39" s="22" t="s">
        <v>99</v>
      </c>
      <c r="L39" s="22" t="s">
        <v>122</v>
      </c>
    </row>
    <row r="40" spans="1:12" x14ac:dyDescent="0.35">
      <c r="A40" s="1">
        <v>37</v>
      </c>
      <c r="B40" s="4"/>
      <c r="C40" s="5" t="s">
        <v>98</v>
      </c>
      <c r="D40" s="1">
        <v>21600</v>
      </c>
      <c r="E40" s="3">
        <f t="shared" si="4"/>
        <v>2.1875</v>
      </c>
      <c r="F40" s="27">
        <f t="shared" si="5"/>
        <v>302400</v>
      </c>
      <c r="G40" s="3">
        <f t="shared" si="3"/>
        <v>47250</v>
      </c>
      <c r="H40" s="12">
        <v>14</v>
      </c>
      <c r="J40" s="22" t="s">
        <v>83</v>
      </c>
      <c r="K40" s="22" t="s">
        <v>99</v>
      </c>
      <c r="L40" s="22" t="s">
        <v>104</v>
      </c>
    </row>
    <row r="41" spans="1:12" x14ac:dyDescent="0.35">
      <c r="A41" s="1">
        <v>38</v>
      </c>
      <c r="B41" s="4" t="s">
        <v>67</v>
      </c>
      <c r="C41" s="5" t="s">
        <v>61</v>
      </c>
      <c r="D41" s="1">
        <v>6</v>
      </c>
      <c r="E41" s="3">
        <f t="shared" si="4"/>
        <v>9.375</v>
      </c>
      <c r="F41" s="27">
        <f t="shared" si="5"/>
        <v>360</v>
      </c>
      <c r="G41" s="3">
        <f t="shared" si="3"/>
        <v>56.25</v>
      </c>
      <c r="H41" s="12">
        <v>60</v>
      </c>
      <c r="J41" s="22" t="s">
        <v>83</v>
      </c>
      <c r="K41" s="22" t="s">
        <v>99</v>
      </c>
      <c r="L41" s="22" t="s">
        <v>105</v>
      </c>
    </row>
    <row r="42" spans="1:12" x14ac:dyDescent="0.35">
      <c r="A42" s="1">
        <v>39</v>
      </c>
      <c r="B42" s="4"/>
      <c r="C42" s="5" t="s">
        <v>62</v>
      </c>
      <c r="D42" s="1">
        <v>6</v>
      </c>
      <c r="E42" s="3">
        <f t="shared" si="4"/>
        <v>9.3609374999999986</v>
      </c>
      <c r="F42" s="27">
        <f t="shared" si="5"/>
        <v>359.46</v>
      </c>
      <c r="G42" s="3">
        <f t="shared" si="3"/>
        <v>56.165624999999991</v>
      </c>
      <c r="H42" s="12">
        <v>59.91</v>
      </c>
      <c r="J42" s="22" t="s">
        <v>83</v>
      </c>
      <c r="K42" s="22" t="s">
        <v>99</v>
      </c>
      <c r="L42" s="22" t="s">
        <v>106</v>
      </c>
    </row>
    <row r="43" spans="1:12" x14ac:dyDescent="0.35">
      <c r="A43" s="1">
        <v>40</v>
      </c>
      <c r="B43" s="4"/>
      <c r="C43" s="5" t="s">
        <v>63</v>
      </c>
      <c r="D43" s="1">
        <v>2</v>
      </c>
      <c r="E43" s="3">
        <f t="shared" si="4"/>
        <v>2054.6875</v>
      </c>
      <c r="F43" s="27">
        <f t="shared" si="5"/>
        <v>26300</v>
      </c>
      <c r="G43" s="3">
        <f t="shared" si="3"/>
        <v>4109.375</v>
      </c>
      <c r="H43" s="12">
        <v>13150</v>
      </c>
      <c r="J43" s="22" t="s">
        <v>83</v>
      </c>
      <c r="K43" s="22" t="s">
        <v>107</v>
      </c>
      <c r="L43" s="22" t="s">
        <v>108</v>
      </c>
    </row>
    <row r="44" spans="1:12" x14ac:dyDescent="0.35">
      <c r="A44" s="1">
        <v>41</v>
      </c>
      <c r="B44" s="4"/>
      <c r="C44" s="5" t="s">
        <v>76</v>
      </c>
      <c r="D44" s="1">
        <v>3</v>
      </c>
      <c r="E44" s="3">
        <f t="shared" si="4"/>
        <v>252.1875</v>
      </c>
      <c r="F44" s="27">
        <f t="shared" si="5"/>
        <v>4842</v>
      </c>
      <c r="G44" s="3">
        <f t="shared" si="3"/>
        <v>756.5625</v>
      </c>
      <c r="H44" s="12">
        <v>1614</v>
      </c>
      <c r="J44" s="22" t="s">
        <v>83</v>
      </c>
      <c r="K44" s="22" t="s">
        <v>107</v>
      </c>
      <c r="L44" s="22" t="s">
        <v>109</v>
      </c>
    </row>
    <row r="45" spans="1:12" x14ac:dyDescent="0.35">
      <c r="A45" s="1">
        <v>42</v>
      </c>
      <c r="B45" s="4"/>
      <c r="C45" s="5" t="s">
        <v>77</v>
      </c>
      <c r="D45" s="1">
        <v>1</v>
      </c>
      <c r="E45" s="3">
        <f t="shared" si="4"/>
        <v>1059.375</v>
      </c>
      <c r="F45" s="27">
        <f t="shared" si="5"/>
        <v>6780</v>
      </c>
      <c r="G45" s="3">
        <f t="shared" si="3"/>
        <v>1059.375</v>
      </c>
      <c r="H45" s="12">
        <v>6780</v>
      </c>
      <c r="J45" s="22" t="s">
        <v>83</v>
      </c>
      <c r="K45" s="22" t="s">
        <v>107</v>
      </c>
      <c r="L45" s="22" t="s">
        <v>110</v>
      </c>
    </row>
    <row r="46" spans="1:12" x14ac:dyDescent="0.35">
      <c r="A46" s="1">
        <v>43</v>
      </c>
      <c r="B46" s="4"/>
      <c r="C46" s="5" t="s">
        <v>65</v>
      </c>
      <c r="D46" s="1">
        <v>3</v>
      </c>
      <c r="E46" s="3">
        <f t="shared" si="4"/>
        <v>375.703125</v>
      </c>
      <c r="F46" s="27">
        <f t="shared" si="5"/>
        <v>7213.5</v>
      </c>
      <c r="G46" s="3">
        <f t="shared" si="3"/>
        <v>1127.109375</v>
      </c>
      <c r="H46" s="12">
        <v>2404.5</v>
      </c>
      <c r="J46" s="22" t="s">
        <v>83</v>
      </c>
      <c r="K46" s="22" t="s">
        <v>107</v>
      </c>
      <c r="L46" s="22" t="s">
        <v>111</v>
      </c>
    </row>
    <row r="47" spans="1:12" x14ac:dyDescent="0.35">
      <c r="A47" s="1">
        <v>44</v>
      </c>
      <c r="B47" s="4"/>
      <c r="C47" s="5" t="s">
        <v>66</v>
      </c>
      <c r="D47" s="1">
        <v>1</v>
      </c>
      <c r="E47" s="3">
        <f t="shared" si="4"/>
        <v>26.375</v>
      </c>
      <c r="F47" s="27">
        <f t="shared" si="5"/>
        <v>168.8</v>
      </c>
      <c r="G47" s="3">
        <f t="shared" si="3"/>
        <v>26.375</v>
      </c>
      <c r="H47" s="12">
        <v>168.8</v>
      </c>
      <c r="J47" s="22" t="s">
        <v>83</v>
      </c>
      <c r="K47" s="22" t="s">
        <v>107</v>
      </c>
      <c r="L47" s="22" t="s">
        <v>112</v>
      </c>
    </row>
    <row r="48" spans="1:12" x14ac:dyDescent="0.35">
      <c r="A48" s="1">
        <v>45</v>
      </c>
      <c r="B48" s="4"/>
      <c r="C48" s="5" t="s">
        <v>81</v>
      </c>
      <c r="D48" s="1">
        <v>2</v>
      </c>
      <c r="E48" s="3">
        <f t="shared" si="4"/>
        <v>481.25</v>
      </c>
      <c r="F48" s="27">
        <f t="shared" si="5"/>
        <v>6160</v>
      </c>
      <c r="G48" s="3">
        <f t="shared" si="3"/>
        <v>962.5</v>
      </c>
      <c r="H48" s="12">
        <v>3080</v>
      </c>
      <c r="J48" s="22" t="s">
        <v>83</v>
      </c>
      <c r="K48" s="22" t="s">
        <v>113</v>
      </c>
      <c r="L48" s="22" t="s">
        <v>114</v>
      </c>
    </row>
    <row r="49" spans="1:12" x14ac:dyDescent="0.35">
      <c r="A49" s="1">
        <v>46</v>
      </c>
      <c r="B49" s="4"/>
      <c r="C49" s="5" t="s">
        <v>82</v>
      </c>
      <c r="D49" s="1">
        <v>1</v>
      </c>
      <c r="E49" s="3">
        <f t="shared" si="4"/>
        <v>812.5</v>
      </c>
      <c r="F49" s="27">
        <f t="shared" si="5"/>
        <v>5200</v>
      </c>
      <c r="G49" s="3">
        <f t="shared" si="3"/>
        <v>812.5</v>
      </c>
      <c r="H49" s="12">
        <v>5200</v>
      </c>
      <c r="J49" s="22" t="s">
        <v>83</v>
      </c>
      <c r="K49" s="22" t="s">
        <v>113</v>
      </c>
      <c r="L49" s="22" t="s">
        <v>115</v>
      </c>
    </row>
    <row r="50" spans="1:12" x14ac:dyDescent="0.35">
      <c r="A50" s="1">
        <v>47</v>
      </c>
      <c r="B50" s="4"/>
      <c r="C50" s="5" t="s">
        <v>74</v>
      </c>
      <c r="D50" s="1">
        <v>1</v>
      </c>
      <c r="E50" s="3">
        <f t="shared" si="4"/>
        <v>459.375</v>
      </c>
      <c r="F50" s="27">
        <f t="shared" si="5"/>
        <v>2940</v>
      </c>
      <c r="G50" s="3">
        <f t="shared" si="3"/>
        <v>459.375</v>
      </c>
      <c r="H50" s="12">
        <v>2940</v>
      </c>
      <c r="J50" s="22" t="s">
        <v>83</v>
      </c>
      <c r="K50" s="22" t="s">
        <v>107</v>
      </c>
      <c r="L50" s="22" t="s">
        <v>116</v>
      </c>
    </row>
    <row r="51" spans="1:12" x14ac:dyDescent="0.35">
      <c r="A51" s="1">
        <v>48</v>
      </c>
      <c r="B51" s="4"/>
      <c r="C51" s="5" t="s">
        <v>78</v>
      </c>
      <c r="D51" s="1">
        <v>2</v>
      </c>
      <c r="E51" s="3">
        <f>H51/$I$35</f>
        <v>230.85312500000001</v>
      </c>
      <c r="F51" s="27">
        <f>D51*H51</f>
        <v>2954.92</v>
      </c>
      <c r="G51" s="3">
        <f t="shared" si="3"/>
        <v>461.70625000000001</v>
      </c>
      <c r="H51" s="12">
        <v>1477.46</v>
      </c>
      <c r="J51" s="22" t="s">
        <v>83</v>
      </c>
      <c r="K51" s="22" t="s">
        <v>107</v>
      </c>
      <c r="L51" s="22" t="s">
        <v>117</v>
      </c>
    </row>
    <row r="52" spans="1:12" x14ac:dyDescent="0.35">
      <c r="A52" s="1">
        <v>49</v>
      </c>
      <c r="B52" s="4"/>
      <c r="C52" s="10" t="s">
        <v>79</v>
      </c>
      <c r="D52" s="1">
        <v>1</v>
      </c>
      <c r="E52" s="3">
        <f t="shared" ref="E52:E55" si="6">H52/$I$35</f>
        <v>889.6875</v>
      </c>
      <c r="F52" s="27">
        <f t="shared" ref="F52:F55" si="7">D52*H52</f>
        <v>5694</v>
      </c>
      <c r="G52" s="3">
        <f t="shared" si="3"/>
        <v>889.6875</v>
      </c>
      <c r="H52" s="12">
        <v>5694</v>
      </c>
      <c r="J52" s="22" t="s">
        <v>83</v>
      </c>
      <c r="K52" s="22" t="s">
        <v>107</v>
      </c>
      <c r="L52" s="22" t="s">
        <v>118</v>
      </c>
    </row>
    <row r="53" spans="1:12" x14ac:dyDescent="0.35">
      <c r="A53" s="1">
        <v>50</v>
      </c>
      <c r="B53" s="4"/>
      <c r="C53" s="5" t="s">
        <v>69</v>
      </c>
      <c r="D53" s="1">
        <v>3</v>
      </c>
      <c r="E53" s="3">
        <f t="shared" si="6"/>
        <v>1237.5</v>
      </c>
      <c r="F53" s="27">
        <f t="shared" si="7"/>
        <v>23760</v>
      </c>
      <c r="G53" s="3">
        <f t="shared" si="3"/>
        <v>3712.5</v>
      </c>
      <c r="H53" s="12">
        <v>7920</v>
      </c>
      <c r="J53" s="22" t="s">
        <v>83</v>
      </c>
      <c r="K53" s="22" t="s">
        <v>107</v>
      </c>
      <c r="L53" s="22" t="s">
        <v>119</v>
      </c>
    </row>
    <row r="54" spans="1:12" x14ac:dyDescent="0.35">
      <c r="A54" s="1">
        <v>51</v>
      </c>
      <c r="B54" s="4"/>
      <c r="C54" s="5" t="s">
        <v>72</v>
      </c>
      <c r="D54" s="1">
        <v>2</v>
      </c>
      <c r="E54" s="3">
        <f t="shared" si="6"/>
        <v>3796.875</v>
      </c>
      <c r="F54" s="27">
        <f t="shared" si="7"/>
        <v>48600</v>
      </c>
      <c r="G54" s="3">
        <f t="shared" si="3"/>
        <v>7593.75</v>
      </c>
      <c r="H54" s="12">
        <v>24300</v>
      </c>
      <c r="J54" s="22" t="s">
        <v>83</v>
      </c>
      <c r="K54" s="22" t="s">
        <v>107</v>
      </c>
      <c r="L54" s="22" t="s">
        <v>120</v>
      </c>
    </row>
    <row r="55" spans="1:12" x14ac:dyDescent="0.35">
      <c r="A55" s="1">
        <v>52</v>
      </c>
      <c r="B55" s="4"/>
      <c r="C55" s="5" t="s">
        <v>80</v>
      </c>
      <c r="D55" s="1">
        <v>1</v>
      </c>
      <c r="E55" s="3">
        <f t="shared" si="6"/>
        <v>3234.375</v>
      </c>
      <c r="F55" s="27">
        <f t="shared" si="7"/>
        <v>20700</v>
      </c>
      <c r="G55" s="3">
        <f t="shared" si="3"/>
        <v>3234.375</v>
      </c>
      <c r="H55" s="3">
        <v>20700</v>
      </c>
      <c r="J55" s="22" t="s">
        <v>83</v>
      </c>
      <c r="K55" s="22" t="s">
        <v>113</v>
      </c>
      <c r="L55" s="22" t="s">
        <v>121</v>
      </c>
    </row>
    <row r="56" spans="1:12" x14ac:dyDescent="0.35">
      <c r="A56" s="30" t="s">
        <v>91</v>
      </c>
      <c r="B56" s="31"/>
      <c r="C56" s="31"/>
      <c r="D56" s="31"/>
      <c r="E56" s="32"/>
      <c r="F56" s="28">
        <f>SUM(F35:F55)</f>
        <v>488734.68</v>
      </c>
      <c r="G56" s="15">
        <f>SUM(G35:G55)</f>
        <v>76364.793750000012</v>
      </c>
    </row>
    <row r="57" spans="1:12" x14ac:dyDescent="0.35">
      <c r="A57" s="13"/>
      <c r="B57" s="14"/>
      <c r="C57" s="14"/>
      <c r="D57" s="14"/>
      <c r="E57" s="8" t="s">
        <v>92</v>
      </c>
      <c r="F57" s="29">
        <f>SUM(F33+F56)</f>
        <v>935129.17599999998</v>
      </c>
      <c r="G57" s="7">
        <f>SUM(G33,G56)</f>
        <v>146113.93375000003</v>
      </c>
    </row>
    <row r="58" spans="1:12" x14ac:dyDescent="0.35">
      <c r="A58" s="16"/>
      <c r="B58" s="16"/>
      <c r="C58" s="16"/>
      <c r="D58" s="16"/>
      <c r="E58" s="16"/>
      <c r="F58" s="17"/>
    </row>
  </sheetData>
  <mergeCells count="2">
    <mergeCell ref="A56:E56"/>
    <mergeCell ref="A33:E3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K59"/>
  <sheetViews>
    <sheetView topLeftCell="A33" zoomScaleNormal="100" workbookViewId="0">
      <selection activeCell="K45" sqref="K45"/>
    </sheetView>
  </sheetViews>
  <sheetFormatPr defaultRowHeight="14.5" x14ac:dyDescent="0.35"/>
  <cols>
    <col min="4" max="4" width="4" bestFit="1" customWidth="1"/>
    <col min="5" max="5" width="14.453125" bestFit="1" customWidth="1"/>
    <col min="6" max="6" width="74.453125" bestFit="1" customWidth="1"/>
    <col min="7" max="7" width="4.90625" bestFit="1" customWidth="1"/>
    <col min="8" max="9" width="19.36328125" customWidth="1"/>
    <col min="10" max="10" width="13.6328125" customWidth="1"/>
  </cols>
  <sheetData>
    <row r="4" spans="4:11" x14ac:dyDescent="0.35">
      <c r="D4" s="34" t="s">
        <v>0</v>
      </c>
      <c r="E4" s="34" t="s">
        <v>1</v>
      </c>
      <c r="F4" s="34" t="s">
        <v>2</v>
      </c>
      <c r="G4" s="34" t="s">
        <v>3</v>
      </c>
      <c r="H4" s="34" t="s">
        <v>4</v>
      </c>
      <c r="I4" s="34" t="s">
        <v>4</v>
      </c>
    </row>
    <row r="5" spans="4:11" ht="42.65" customHeight="1" x14ac:dyDescent="0.35">
      <c r="D5" s="35"/>
      <c r="E5" s="35"/>
      <c r="F5" s="35"/>
      <c r="G5" s="35"/>
      <c r="H5" s="35"/>
      <c r="I5" s="35"/>
      <c r="K5" t="s">
        <v>70</v>
      </c>
    </row>
    <row r="6" spans="4:11" x14ac:dyDescent="0.35">
      <c r="D6" s="1">
        <v>1</v>
      </c>
      <c r="E6" s="4">
        <v>1309920</v>
      </c>
      <c r="F6" s="5" t="s">
        <v>21</v>
      </c>
      <c r="G6" s="1">
        <v>2</v>
      </c>
      <c r="H6" s="3">
        <v>60098.080000000002</v>
      </c>
      <c r="I6" s="3">
        <f>G6*H6</f>
        <v>120196.16</v>
      </c>
      <c r="K6" s="3">
        <v>60098.080000000002</v>
      </c>
    </row>
    <row r="7" spans="4:11" x14ac:dyDescent="0.35">
      <c r="D7" s="1">
        <v>2</v>
      </c>
      <c r="E7" s="4">
        <v>1322930</v>
      </c>
      <c r="F7" s="5" t="s">
        <v>22</v>
      </c>
      <c r="G7" s="1">
        <v>2</v>
      </c>
      <c r="H7" s="3">
        <v>89813.47</v>
      </c>
      <c r="I7" s="3">
        <f t="shared" ref="I7:I36" si="0">G7*H7</f>
        <v>179626.94</v>
      </c>
      <c r="K7" s="3">
        <v>89813.47</v>
      </c>
    </row>
    <row r="8" spans="4:11" x14ac:dyDescent="0.35">
      <c r="D8" s="1">
        <v>3</v>
      </c>
      <c r="E8" s="4">
        <v>1322940</v>
      </c>
      <c r="F8" s="6" t="s">
        <v>49</v>
      </c>
      <c r="G8" s="1">
        <v>2</v>
      </c>
      <c r="H8" s="3">
        <v>45597.9</v>
      </c>
      <c r="I8" s="3">
        <f t="shared" si="0"/>
        <v>91195.8</v>
      </c>
      <c r="K8" s="3">
        <v>45597.9</v>
      </c>
    </row>
    <row r="9" spans="4:11" x14ac:dyDescent="0.35">
      <c r="D9" s="1">
        <v>4</v>
      </c>
      <c r="E9" s="4" t="s">
        <v>5</v>
      </c>
      <c r="F9" s="5" t="s">
        <v>23</v>
      </c>
      <c r="G9" s="1">
        <v>2</v>
      </c>
      <c r="H9" s="3">
        <v>5683.78</v>
      </c>
      <c r="I9" s="3">
        <f t="shared" si="0"/>
        <v>11367.56</v>
      </c>
      <c r="K9" s="3">
        <v>5683.78</v>
      </c>
    </row>
    <row r="10" spans="4:11" x14ac:dyDescent="0.35">
      <c r="D10" s="1">
        <v>5</v>
      </c>
      <c r="E10" s="4" t="s">
        <v>6</v>
      </c>
      <c r="F10" s="5" t="s">
        <v>51</v>
      </c>
      <c r="G10" s="1">
        <v>2</v>
      </c>
      <c r="H10" s="3">
        <v>24353.1</v>
      </c>
      <c r="I10" s="3">
        <f t="shared" si="0"/>
        <v>48706.2</v>
      </c>
      <c r="K10" s="3">
        <v>24353.1</v>
      </c>
    </row>
    <row r="11" spans="4:11" x14ac:dyDescent="0.35">
      <c r="D11" s="1">
        <v>6</v>
      </c>
      <c r="E11" s="4">
        <v>1007740</v>
      </c>
      <c r="F11" s="5" t="s">
        <v>48</v>
      </c>
      <c r="G11" s="1">
        <v>2</v>
      </c>
      <c r="H11" s="3">
        <v>39915.19</v>
      </c>
      <c r="I11" s="3">
        <f t="shared" si="0"/>
        <v>79830.38</v>
      </c>
      <c r="K11" s="3">
        <v>39915.19</v>
      </c>
    </row>
    <row r="12" spans="4:11" x14ac:dyDescent="0.35">
      <c r="D12" s="1">
        <v>7</v>
      </c>
      <c r="E12" s="4">
        <v>1244100</v>
      </c>
      <c r="F12" s="5" t="s">
        <v>50</v>
      </c>
      <c r="G12" s="1">
        <v>2</v>
      </c>
      <c r="H12" s="3">
        <v>64123.4</v>
      </c>
      <c r="I12" s="3">
        <f t="shared" si="0"/>
        <v>128246.8</v>
      </c>
      <c r="K12" s="3">
        <v>64123.4</v>
      </c>
    </row>
    <row r="13" spans="4:11" x14ac:dyDescent="0.35">
      <c r="D13" s="1">
        <v>8</v>
      </c>
      <c r="E13" s="4">
        <v>1131480</v>
      </c>
      <c r="F13" s="5" t="s">
        <v>52</v>
      </c>
      <c r="G13" s="1">
        <v>1</v>
      </c>
      <c r="H13" s="3">
        <v>359132.58</v>
      </c>
      <c r="I13" s="3">
        <f t="shared" si="0"/>
        <v>359132.58</v>
      </c>
      <c r="K13" s="3">
        <v>359132.58</v>
      </c>
    </row>
    <row r="14" spans="4:11" x14ac:dyDescent="0.35">
      <c r="D14" s="1">
        <v>9</v>
      </c>
      <c r="E14" s="4" t="s">
        <v>7</v>
      </c>
      <c r="F14" s="5" t="s">
        <v>24</v>
      </c>
      <c r="G14" s="1">
        <v>6</v>
      </c>
      <c r="H14" s="3">
        <v>247.61</v>
      </c>
      <c r="I14" s="3">
        <f t="shared" si="0"/>
        <v>1485.66</v>
      </c>
      <c r="K14" s="3">
        <v>247.61</v>
      </c>
    </row>
    <row r="15" spans="4:11" x14ac:dyDescent="0.35">
      <c r="D15" s="1">
        <v>10</v>
      </c>
      <c r="E15" s="4">
        <v>554440</v>
      </c>
      <c r="F15" s="5" t="s">
        <v>25</v>
      </c>
      <c r="G15" s="1">
        <v>100</v>
      </c>
      <c r="H15" s="3">
        <v>27.19</v>
      </c>
      <c r="I15" s="3">
        <f t="shared" si="0"/>
        <v>2719</v>
      </c>
      <c r="K15" s="3">
        <v>27.19</v>
      </c>
    </row>
    <row r="16" spans="4:11" x14ac:dyDescent="0.35">
      <c r="D16" s="1">
        <v>11</v>
      </c>
      <c r="E16" s="4">
        <v>453750</v>
      </c>
      <c r="F16" s="5" t="s">
        <v>26</v>
      </c>
      <c r="G16" s="1">
        <v>10</v>
      </c>
      <c r="H16" s="3">
        <v>54.6</v>
      </c>
      <c r="I16" s="3">
        <f t="shared" si="0"/>
        <v>546</v>
      </c>
      <c r="K16" s="3">
        <v>54.6</v>
      </c>
    </row>
    <row r="17" spans="4:11" x14ac:dyDescent="0.35">
      <c r="D17" s="1">
        <v>12</v>
      </c>
      <c r="E17" s="4">
        <v>653041</v>
      </c>
      <c r="F17" s="5" t="s">
        <v>27</v>
      </c>
      <c r="G17" s="1">
        <v>6</v>
      </c>
      <c r="H17" s="3">
        <v>4891.57</v>
      </c>
      <c r="I17" s="3">
        <f t="shared" si="0"/>
        <v>29349.42</v>
      </c>
      <c r="K17" s="3">
        <v>4891.57</v>
      </c>
    </row>
    <row r="18" spans="4:11" x14ac:dyDescent="0.35">
      <c r="D18" s="1">
        <v>13</v>
      </c>
      <c r="E18" s="4">
        <v>653010</v>
      </c>
      <c r="F18" s="5" t="s">
        <v>28</v>
      </c>
      <c r="G18" s="1">
        <v>6</v>
      </c>
      <c r="H18" s="3">
        <v>940.71</v>
      </c>
      <c r="I18" s="3">
        <f t="shared" si="0"/>
        <v>5644.26</v>
      </c>
      <c r="K18" s="3">
        <v>940.71</v>
      </c>
    </row>
    <row r="19" spans="4:11" x14ac:dyDescent="0.35">
      <c r="D19" s="1">
        <v>14</v>
      </c>
      <c r="E19" s="4">
        <v>553140</v>
      </c>
      <c r="F19" s="5" t="s">
        <v>29</v>
      </c>
      <c r="G19" s="1">
        <v>6</v>
      </c>
      <c r="H19" s="3">
        <v>552.57000000000005</v>
      </c>
      <c r="I19" s="3">
        <f t="shared" si="0"/>
        <v>3315.42</v>
      </c>
      <c r="K19" s="3">
        <v>552.57000000000005</v>
      </c>
    </row>
    <row r="20" spans="4:11" x14ac:dyDescent="0.35">
      <c r="D20" s="1">
        <v>15</v>
      </c>
      <c r="E20" s="4">
        <v>545270</v>
      </c>
      <c r="F20" s="5" t="s">
        <v>30</v>
      </c>
      <c r="G20" s="1">
        <v>6</v>
      </c>
      <c r="H20" s="3">
        <v>3907.73</v>
      </c>
      <c r="I20" s="3">
        <f t="shared" si="0"/>
        <v>23446.38</v>
      </c>
      <c r="K20" s="3">
        <v>3907.73</v>
      </c>
    </row>
    <row r="21" spans="4:11" x14ac:dyDescent="0.35">
      <c r="D21" s="1">
        <v>16</v>
      </c>
      <c r="E21" s="4" t="s">
        <v>8</v>
      </c>
      <c r="F21" s="5" t="s">
        <v>31</v>
      </c>
      <c r="G21" s="1">
        <v>6</v>
      </c>
      <c r="H21" s="3">
        <v>230.4</v>
      </c>
      <c r="I21" s="3">
        <f t="shared" si="0"/>
        <v>1382.4</v>
      </c>
      <c r="K21" s="3">
        <v>230.4</v>
      </c>
    </row>
    <row r="22" spans="4:11" x14ac:dyDescent="0.35">
      <c r="D22" s="1">
        <v>17</v>
      </c>
      <c r="E22" s="4" t="s">
        <v>9</v>
      </c>
      <c r="F22" s="5" t="s">
        <v>32</v>
      </c>
      <c r="G22" s="1">
        <v>10</v>
      </c>
      <c r="H22" s="3">
        <v>63.42</v>
      </c>
      <c r="I22" s="3">
        <f t="shared" si="0"/>
        <v>634.20000000000005</v>
      </c>
      <c r="K22" s="3">
        <v>63.42</v>
      </c>
    </row>
    <row r="23" spans="4:11" x14ac:dyDescent="0.35">
      <c r="D23" s="1">
        <v>18</v>
      </c>
      <c r="E23" s="4" t="s">
        <v>10</v>
      </c>
      <c r="F23" s="5" t="s">
        <v>33</v>
      </c>
      <c r="G23" s="1">
        <v>4</v>
      </c>
      <c r="H23" s="3">
        <v>1558.29</v>
      </c>
      <c r="I23" s="3">
        <f t="shared" si="0"/>
        <v>6233.16</v>
      </c>
      <c r="K23" s="3">
        <v>1558.29</v>
      </c>
    </row>
    <row r="24" spans="4:11" x14ac:dyDescent="0.35">
      <c r="D24" s="1">
        <v>19</v>
      </c>
      <c r="E24" s="4" t="s">
        <v>11</v>
      </c>
      <c r="F24" s="5" t="s">
        <v>34</v>
      </c>
      <c r="G24" s="1">
        <v>4</v>
      </c>
      <c r="H24" s="3">
        <v>1558.29</v>
      </c>
      <c r="I24" s="3">
        <f t="shared" si="0"/>
        <v>6233.16</v>
      </c>
      <c r="K24" s="3">
        <v>1558.29</v>
      </c>
    </row>
    <row r="25" spans="4:11" x14ac:dyDescent="0.35">
      <c r="D25" s="1">
        <v>20</v>
      </c>
      <c r="E25" s="4" t="s">
        <v>12</v>
      </c>
      <c r="F25" s="5" t="s">
        <v>35</v>
      </c>
      <c r="G25" s="1">
        <v>2</v>
      </c>
      <c r="H25" s="3">
        <v>1238.3499999999999</v>
      </c>
      <c r="I25" s="3">
        <f t="shared" si="0"/>
        <v>2476.6999999999998</v>
      </c>
      <c r="K25" s="3">
        <v>1238.3499999999999</v>
      </c>
    </row>
    <row r="26" spans="4:11" x14ac:dyDescent="0.35">
      <c r="D26" s="1">
        <v>21</v>
      </c>
      <c r="E26" s="4" t="s">
        <v>13</v>
      </c>
      <c r="F26" s="5" t="s">
        <v>36</v>
      </c>
      <c r="G26" s="1">
        <v>2</v>
      </c>
      <c r="H26" s="3">
        <v>17373.189999999999</v>
      </c>
      <c r="I26" s="3">
        <f t="shared" si="0"/>
        <v>34746.379999999997</v>
      </c>
      <c r="K26" s="3">
        <v>17373.189999999999</v>
      </c>
    </row>
    <row r="27" spans="4:11" x14ac:dyDescent="0.35">
      <c r="D27" s="1">
        <v>22</v>
      </c>
      <c r="E27" s="4" t="s">
        <v>14</v>
      </c>
      <c r="F27" s="5" t="s">
        <v>37</v>
      </c>
      <c r="G27" s="1">
        <v>4</v>
      </c>
      <c r="H27" s="3">
        <v>359.62</v>
      </c>
      <c r="I27" s="3">
        <f t="shared" si="0"/>
        <v>1438.48</v>
      </c>
      <c r="K27" s="3">
        <v>359.62</v>
      </c>
    </row>
    <row r="28" spans="4:11" x14ac:dyDescent="0.35">
      <c r="D28" s="1">
        <v>23</v>
      </c>
      <c r="E28" s="4" t="s">
        <v>15</v>
      </c>
      <c r="F28" s="5" t="s">
        <v>38</v>
      </c>
      <c r="G28" s="1">
        <v>4</v>
      </c>
      <c r="H28" s="3">
        <v>29</v>
      </c>
      <c r="I28" s="3">
        <f t="shared" si="0"/>
        <v>116</v>
      </c>
      <c r="K28" s="3">
        <v>29</v>
      </c>
    </row>
    <row r="29" spans="4:11" x14ac:dyDescent="0.35">
      <c r="D29" s="1">
        <v>24</v>
      </c>
      <c r="E29" s="4" t="s">
        <v>16</v>
      </c>
      <c r="F29" s="5" t="s">
        <v>39</v>
      </c>
      <c r="G29" s="1">
        <v>2</v>
      </c>
      <c r="H29" s="3">
        <v>626.82000000000005</v>
      </c>
      <c r="I29" s="3">
        <f t="shared" si="0"/>
        <v>1253.6400000000001</v>
      </c>
      <c r="K29" s="3">
        <v>626.82000000000005</v>
      </c>
    </row>
    <row r="30" spans="4:11" x14ac:dyDescent="0.35">
      <c r="D30" s="1">
        <v>25</v>
      </c>
      <c r="E30" s="4" t="s">
        <v>17</v>
      </c>
      <c r="F30" s="5" t="s">
        <v>40</v>
      </c>
      <c r="G30" s="1">
        <v>4</v>
      </c>
      <c r="H30" s="3">
        <v>945.17</v>
      </c>
      <c r="I30" s="3">
        <f t="shared" si="0"/>
        <v>3780.68</v>
      </c>
      <c r="K30" s="3">
        <v>945.17</v>
      </c>
    </row>
    <row r="31" spans="4:11" x14ac:dyDescent="0.35">
      <c r="D31" s="1">
        <v>26</v>
      </c>
      <c r="E31" s="4" t="s">
        <v>18</v>
      </c>
      <c r="F31" s="5" t="s">
        <v>41</v>
      </c>
      <c r="G31" s="1">
        <v>4</v>
      </c>
      <c r="H31" s="3">
        <v>96.72</v>
      </c>
      <c r="I31" s="3">
        <f t="shared" si="0"/>
        <v>386.88</v>
      </c>
      <c r="K31" s="3">
        <v>96.72</v>
      </c>
    </row>
    <row r="32" spans="4:11" x14ac:dyDescent="0.35">
      <c r="D32" s="1">
        <v>27</v>
      </c>
      <c r="E32" s="4" t="s">
        <v>19</v>
      </c>
      <c r="F32" s="5" t="s">
        <v>42</v>
      </c>
      <c r="G32" s="1">
        <v>4</v>
      </c>
      <c r="H32" s="3">
        <v>86.84</v>
      </c>
      <c r="I32" s="3">
        <f t="shared" si="0"/>
        <v>347.36</v>
      </c>
      <c r="K32" s="3">
        <v>86.84</v>
      </c>
    </row>
    <row r="33" spans="4:11" x14ac:dyDescent="0.35">
      <c r="D33" s="1">
        <v>28</v>
      </c>
      <c r="E33" s="4" t="s">
        <v>20</v>
      </c>
      <c r="F33" s="5" t="s">
        <v>43</v>
      </c>
      <c r="G33" s="1">
        <v>4</v>
      </c>
      <c r="H33" s="3">
        <v>71.06</v>
      </c>
      <c r="I33" s="3">
        <f t="shared" si="0"/>
        <v>284.24</v>
      </c>
      <c r="K33" s="3">
        <v>71.06</v>
      </c>
    </row>
    <row r="34" spans="4:11" x14ac:dyDescent="0.35">
      <c r="D34" s="1">
        <v>29</v>
      </c>
      <c r="E34" s="4">
        <v>1283450</v>
      </c>
      <c r="F34" s="5" t="s">
        <v>44</v>
      </c>
      <c r="G34" s="1">
        <v>10</v>
      </c>
      <c r="H34" s="3">
        <v>266.62</v>
      </c>
      <c r="I34" s="3">
        <f t="shared" si="0"/>
        <v>2666.2</v>
      </c>
      <c r="K34" s="3">
        <v>266.62</v>
      </c>
    </row>
    <row r="35" spans="4:11" x14ac:dyDescent="0.35">
      <c r="D35" s="1">
        <v>30</v>
      </c>
      <c r="E35" s="4">
        <v>1117210</v>
      </c>
      <c r="F35" s="5" t="s">
        <v>45</v>
      </c>
      <c r="G35" s="1">
        <v>4</v>
      </c>
      <c r="H35" s="3">
        <v>1995.93</v>
      </c>
      <c r="I35" s="3">
        <f t="shared" si="0"/>
        <v>7983.72</v>
      </c>
      <c r="K35" s="3">
        <v>1995.93</v>
      </c>
    </row>
    <row r="36" spans="4:11" x14ac:dyDescent="0.35">
      <c r="D36" s="1">
        <v>31</v>
      </c>
      <c r="E36" s="4">
        <v>1298140</v>
      </c>
      <c r="F36" s="5" t="s">
        <v>46</v>
      </c>
      <c r="G36" s="1">
        <v>4</v>
      </c>
      <c r="H36" s="3">
        <v>9332.11</v>
      </c>
      <c r="I36" s="3">
        <f t="shared" si="0"/>
        <v>37328.44</v>
      </c>
      <c r="K36" s="3">
        <v>9332.11</v>
      </c>
    </row>
    <row r="37" spans="4:11" x14ac:dyDescent="0.35">
      <c r="D37" s="33" t="s">
        <v>47</v>
      </c>
      <c r="E37" s="33"/>
      <c r="F37" s="33"/>
      <c r="G37" s="33"/>
      <c r="H37" s="33"/>
      <c r="I37" s="2">
        <f>SUM(I6:I36)</f>
        <v>1192100.1999999993</v>
      </c>
    </row>
    <row r="39" spans="4:11" x14ac:dyDescent="0.35">
      <c r="D39" s="1">
        <v>32</v>
      </c>
      <c r="E39" s="4" t="s">
        <v>53</v>
      </c>
      <c r="F39" s="5" t="s">
        <v>56</v>
      </c>
      <c r="G39" s="1">
        <v>6</v>
      </c>
      <c r="H39" s="3">
        <v>506</v>
      </c>
      <c r="I39" s="3">
        <f>H39*G39</f>
        <v>3036</v>
      </c>
      <c r="K39" s="3">
        <v>506</v>
      </c>
    </row>
    <row r="40" spans="4:11" x14ac:dyDescent="0.35">
      <c r="D40" s="1">
        <v>33</v>
      </c>
      <c r="E40" s="4" t="s">
        <v>54</v>
      </c>
      <c r="F40" s="5" t="s">
        <v>55</v>
      </c>
      <c r="G40" s="1">
        <v>6</v>
      </c>
      <c r="H40" s="3">
        <v>544</v>
      </c>
      <c r="I40" s="3">
        <f t="shared" ref="I40:I50" si="1">H40*G40</f>
        <v>3264</v>
      </c>
      <c r="K40" s="3">
        <v>544</v>
      </c>
    </row>
    <row r="41" spans="4:11" x14ac:dyDescent="0.35">
      <c r="D41" s="1">
        <v>34</v>
      </c>
      <c r="E41" s="4"/>
      <c r="F41" s="5" t="s">
        <v>57</v>
      </c>
      <c r="G41" s="1">
        <v>2</v>
      </c>
      <c r="H41" s="3">
        <v>6266</v>
      </c>
      <c r="I41" s="3">
        <f t="shared" si="1"/>
        <v>12532</v>
      </c>
      <c r="K41" s="3">
        <v>6266</v>
      </c>
    </row>
    <row r="42" spans="4:11" x14ac:dyDescent="0.35">
      <c r="D42" s="1">
        <v>35</v>
      </c>
      <c r="E42" s="4"/>
      <c r="F42" s="5" t="s">
        <v>58</v>
      </c>
      <c r="G42" s="1">
        <v>1</v>
      </c>
      <c r="H42" s="3"/>
      <c r="I42" s="3">
        <f t="shared" si="1"/>
        <v>0</v>
      </c>
      <c r="K42" s="3"/>
    </row>
    <row r="43" spans="4:11" x14ac:dyDescent="0.35">
      <c r="D43" s="1">
        <v>36</v>
      </c>
      <c r="E43" s="4"/>
      <c r="F43" s="5" t="s">
        <v>59</v>
      </c>
      <c r="G43" s="1">
        <v>1</v>
      </c>
      <c r="H43" s="3"/>
      <c r="I43" s="3">
        <f t="shared" si="1"/>
        <v>0</v>
      </c>
      <c r="K43" s="3"/>
    </row>
    <row r="44" spans="4:11" x14ac:dyDescent="0.35">
      <c r="D44" s="1">
        <v>37</v>
      </c>
      <c r="E44" s="4"/>
      <c r="F44" s="5" t="s">
        <v>60</v>
      </c>
      <c r="G44" s="1">
        <v>21600</v>
      </c>
      <c r="H44" s="3">
        <v>13</v>
      </c>
      <c r="I44" s="3">
        <f t="shared" si="1"/>
        <v>280800</v>
      </c>
      <c r="K44" s="3">
        <v>13</v>
      </c>
    </row>
    <row r="45" spans="4:11" x14ac:dyDescent="0.35">
      <c r="D45" s="1">
        <v>38</v>
      </c>
      <c r="E45" s="4" t="s">
        <v>67</v>
      </c>
      <c r="F45" s="5" t="s">
        <v>61</v>
      </c>
      <c r="G45" s="1">
        <v>6</v>
      </c>
      <c r="H45" s="3"/>
      <c r="I45" s="3">
        <f t="shared" si="1"/>
        <v>0</v>
      </c>
    </row>
    <row r="46" spans="4:11" x14ac:dyDescent="0.35">
      <c r="D46" s="1">
        <v>39</v>
      </c>
      <c r="E46" s="4"/>
      <c r="F46" s="5" t="s">
        <v>62</v>
      </c>
      <c r="G46" s="1">
        <v>6</v>
      </c>
      <c r="H46" s="3"/>
      <c r="I46" s="3">
        <f t="shared" si="1"/>
        <v>0</v>
      </c>
    </row>
    <row r="47" spans="4:11" x14ac:dyDescent="0.35">
      <c r="D47" s="1">
        <v>40</v>
      </c>
      <c r="E47" s="4"/>
      <c r="F47" s="5" t="s">
        <v>63</v>
      </c>
      <c r="G47" s="1">
        <v>2</v>
      </c>
      <c r="H47" s="3"/>
      <c r="I47" s="3">
        <f t="shared" si="1"/>
        <v>0</v>
      </c>
    </row>
    <row r="48" spans="4:11" x14ac:dyDescent="0.35">
      <c r="D48" s="1">
        <v>41</v>
      </c>
      <c r="E48" s="4"/>
      <c r="F48" s="5" t="s">
        <v>64</v>
      </c>
      <c r="G48" s="1">
        <v>2</v>
      </c>
      <c r="H48" s="3"/>
      <c r="I48" s="3">
        <f t="shared" si="1"/>
        <v>0</v>
      </c>
    </row>
    <row r="49" spans="4:9" x14ac:dyDescent="0.35">
      <c r="D49" s="1">
        <v>42</v>
      </c>
      <c r="E49" s="4"/>
      <c r="F49" s="5" t="s">
        <v>65</v>
      </c>
      <c r="G49" s="1">
        <v>3</v>
      </c>
      <c r="H49" s="3"/>
      <c r="I49" s="3">
        <f t="shared" si="1"/>
        <v>0</v>
      </c>
    </row>
    <row r="50" spans="4:9" x14ac:dyDescent="0.35">
      <c r="D50" s="1">
        <v>43</v>
      </c>
      <c r="E50" s="4"/>
      <c r="F50" s="5" t="s">
        <v>66</v>
      </c>
      <c r="G50" s="1">
        <v>1</v>
      </c>
      <c r="H50" s="3"/>
      <c r="I50" s="3">
        <f t="shared" si="1"/>
        <v>0</v>
      </c>
    </row>
    <row r="51" spans="4:9" x14ac:dyDescent="0.35">
      <c r="D51" s="1">
        <v>44</v>
      </c>
      <c r="E51" s="4"/>
      <c r="F51" s="5" t="s">
        <v>75</v>
      </c>
      <c r="G51" s="1">
        <v>2</v>
      </c>
      <c r="H51" s="3"/>
      <c r="I51" s="3"/>
    </row>
    <row r="52" spans="4:9" x14ac:dyDescent="0.35">
      <c r="D52" s="1">
        <v>45</v>
      </c>
      <c r="E52" s="4"/>
      <c r="F52" s="5" t="s">
        <v>74</v>
      </c>
      <c r="G52" s="1"/>
      <c r="H52" s="3"/>
      <c r="I52" s="3"/>
    </row>
    <row r="53" spans="4:9" x14ac:dyDescent="0.35">
      <c r="D53" s="33" t="s">
        <v>47</v>
      </c>
      <c r="E53" s="33"/>
      <c r="F53" s="33"/>
      <c r="G53" s="33"/>
      <c r="H53" s="33"/>
      <c r="I53" s="2">
        <f>SUM(I39:I50)</f>
        <v>299632</v>
      </c>
    </row>
    <row r="55" spans="4:9" x14ac:dyDescent="0.35">
      <c r="D55" s="1">
        <v>46</v>
      </c>
      <c r="E55" s="4"/>
      <c r="F55" s="5" t="s">
        <v>68</v>
      </c>
      <c r="G55" s="1"/>
      <c r="H55" s="3"/>
      <c r="I55" s="3">
        <f>H55*G55</f>
        <v>0</v>
      </c>
    </row>
    <row r="56" spans="4:9" x14ac:dyDescent="0.35">
      <c r="D56" s="1">
        <v>47</v>
      </c>
      <c r="E56" s="4"/>
      <c r="F56" s="5" t="s">
        <v>69</v>
      </c>
      <c r="G56" s="1"/>
      <c r="H56" s="3"/>
      <c r="I56" s="3">
        <f t="shared" ref="I56" si="2">H56*G56</f>
        <v>0</v>
      </c>
    </row>
    <row r="57" spans="4:9" x14ac:dyDescent="0.35">
      <c r="D57" s="1">
        <v>48</v>
      </c>
      <c r="E57" s="4"/>
      <c r="F57" s="5" t="s">
        <v>72</v>
      </c>
      <c r="G57" s="1"/>
      <c r="H57" s="3"/>
      <c r="I57" s="3">
        <f t="shared" ref="I57:I58" si="3">H57*G57</f>
        <v>0</v>
      </c>
    </row>
    <row r="58" spans="4:9" x14ac:dyDescent="0.35">
      <c r="D58" s="1">
        <v>49</v>
      </c>
      <c r="E58" s="4"/>
      <c r="F58" s="5" t="s">
        <v>73</v>
      </c>
      <c r="G58" s="1"/>
      <c r="H58" s="3"/>
      <c r="I58" s="3">
        <f t="shared" si="3"/>
        <v>0</v>
      </c>
    </row>
    <row r="59" spans="4:9" x14ac:dyDescent="0.35">
      <c r="D59" s="33" t="s">
        <v>47</v>
      </c>
      <c r="E59" s="33"/>
      <c r="F59" s="33"/>
      <c r="G59" s="33"/>
      <c r="H59" s="33"/>
      <c r="I59" s="2">
        <f>SUM(I55:I56,I53,I37)</f>
        <v>1491732.1999999993</v>
      </c>
    </row>
  </sheetData>
  <mergeCells count="9">
    <mergeCell ref="D53:H53"/>
    <mergeCell ref="D59:H59"/>
    <mergeCell ref="D37:H37"/>
    <mergeCell ref="H4:H5"/>
    <mergeCell ref="I4:I5"/>
    <mergeCell ref="D4:D5"/>
    <mergeCell ref="E4:E5"/>
    <mergeCell ref="F4:F5"/>
    <mergeCell ref="G4:G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Importação direta</vt:lpstr>
      <vt:lpstr>Materiais nacionalizados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Ferreira Lemes</dc:creator>
  <cp:lastModifiedBy>Stefano Crivellari</cp:lastModifiedBy>
  <dcterms:created xsi:type="dcterms:W3CDTF">2024-07-05T11:09:57Z</dcterms:created>
  <dcterms:modified xsi:type="dcterms:W3CDTF">2024-08-01T12:55:57Z</dcterms:modified>
</cp:coreProperties>
</file>