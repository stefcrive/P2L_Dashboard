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34a40154e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27d77d496c49b0"/>
    <x:sheet xmlns:r="http://schemas.openxmlformats.org/officeDocument/2006/relationships" name="Materials" sheetId="2" r:id="Rff2e11d24906479a"/>
    <x:sheet xmlns:r="http://schemas.openxmlformats.org/officeDocument/2006/relationships" name="Providers" sheetId="3" r:id="R000ea6cd772344b3"/>
    <x:sheet xmlns:r="http://schemas.openxmlformats.org/officeDocument/2006/relationships" name="Equipment Assets" sheetId="4" r:id="Rc47a6c45f0f34e25"/>
    <x:sheet xmlns:r="http://schemas.openxmlformats.org/officeDocument/2006/relationships" name="Source Audit" sheetId="5" r:id="R0e532355f77c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12B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sz val="11"/>
      <x:color rgb="FF17212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7F1"/>
      </x:patternFill>
    </x:fill>
    <x:fill>
      <x:patternFill patternType="solid">
        <x:fgColor rgb="FF0F766E"/>
      </x:patternFill>
    </x:fill>
    <x:fill>
      <x:patternFill patternType="solid">
        <x:fgColor rgb="FFE7F3F2"/>
      </x:patternFill>
    </x:fill>
  </x:fills>
  <x:borders count="10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0F766E"/>
      </x:left>
      <x:top style="thin">
        <x:color rgb="FF0F766E"/>
      </x:top>
    </x:border>
    <x:border>
      <x:top style="thin">
        <x:color rgb="FF0F766E"/>
      </x:top>
    </x:border>
    <x:border>
      <x:right style="thin">
        <x:color rgb="FF0F766E"/>
      </x:right>
      <x:top style="thin">
        <x:color rgb="FF0F766E"/>
      </x:top>
    </x:border>
    <x:border>
      <x:left style="thin">
        <x:color rgb="FF0F766E"/>
      </x:left>
    </x:border>
    <x:border>
      <x:right style="thin">
        <x:color rgb="FF0F766E"/>
      </x:right>
    </x:border>
    <x:border>
      <x:left style="thin">
        <x:color rgb="FF0F766E"/>
      </x:left>
      <x:bottom style="thin">
        <x:color rgb="FF0F766E"/>
      </x:bottom>
    </x:border>
    <x:border>
      <x:bottom style="thin">
        <x:color rgb="FF0F766E"/>
      </x:bottom>
    </x:border>
    <x:border>
      <x:right style="thin">
        <x:color rgb="FF0F766E"/>
      </x:right>
      <x:bottom style="thin">
        <x:color rgb="FF0F766E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top" wrapText="1"/>
    </x:xf>
    <x:xf numFmtId="202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3ade8b4a147ff" /><Relationship Type="http://schemas.openxmlformats.org/officeDocument/2006/relationships/theme" Target="/xl/theme/theme1.xml" Id="Rf3bc33111c804cf5" /><Relationship Type="http://schemas.microsoft.com/office/2022/11/relationships/FeaturePropertyBag" Target="/xl/featurePropertyBag/featurePropertyBag.xml" Id="R3e7fb68ecee54fdc" /><Relationship Type="http://schemas.openxmlformats.org/officeDocument/2006/relationships/sharedStrings" Target="/xl/sharedStrings.xml" Id="R6754867e7b8c4ebc" /><Relationship Type="http://schemas.openxmlformats.org/officeDocument/2006/relationships/worksheet" Target="/xl/worksheets/sheet1.xml" Id="Rc827d77d496c49b0" /><Relationship Type="http://schemas.openxmlformats.org/officeDocument/2006/relationships/worksheet" Target="/xl/worksheets/sheet2.xml" Id="Rff2e11d24906479a" /><Relationship Type="http://schemas.openxmlformats.org/officeDocument/2006/relationships/worksheet" Target="/xl/worksheets/sheet3.xml" Id="R000ea6cd772344b3" /><Relationship Type="http://schemas.openxmlformats.org/officeDocument/2006/relationships/worksheet" Target="/xl/worksheets/sheet4.xml" Id="Rc47a6c45f0f34e25" /><Relationship Type="http://schemas.openxmlformats.org/officeDocument/2006/relationships/worksheet" Target="/xl/worksheets/sheet5.xml" Id="R0e532355f77c41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a06e42459b45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Catalog records by type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'Summary'!$A$6:$A$9</c:f>
              <c:strCache>
                <c:ptCount val="0"/>
              </c:strCache>
            </c:strRef>
          </c:cat>
          <c:val>
            <c:numRef>
              <c:f>'Summary'!$B$6:$B$9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a06e42459b459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eanMaterialsTable" displayName="CleanMaterialsTable" ref="A1:R124" headerRowCount="1" totalsRowCount="0" totalsRowShown="0">
  <x:tableColumns count="18">
    <x:tableColumn id="1" name="Type"/>
    <x:tableColumn id="2" name="Name"/>
    <x:tableColumn id="3" name="Part number"/>
    <x:tableColumn id="4" name="Equipment"/>
    <x:tableColumn id="5" name="Suggested stock"/>
    <x:tableColumn id="6" name="Unit"/>
    <x:tableColumn id="7" name="Current stock"/>
    <x:tableColumn id="8" name="Minimum stock"/>
    <x:tableColumn id="9" name="Unit cost"/>
    <x:tableColumn id="10" name="Currency"/>
    <x:tableColumn id="11" name="Provider"/>
    <x:tableColumn id="12" name="Supplier reference"/>
    <x:tableColumn id="13" name="Source file"/>
    <x:tableColumn id="14" name="Source sheet"/>
    <x:tableColumn id="15" name="Availability"/>
    <x:tableColumn id="16" name="Normalized key"/>
    <x:tableColumn id="17" name="Evidence records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ProvidersTable" displayName="CleanProvidersTable" ref="A1:H11" headerRowCount="1" totalsRowCount="0" totalsRowShown="0">
  <x:tableColumns count="8">
    <x:tableColumn id="1" name="Name"/>
    <x:tableColumn id="2" name="Contact"/>
    <x:tableColumn id="3" name="Email"/>
    <x:tableColumn id="4" name="Phone"/>
    <x:tableColumn id="5" name="Website"/>
    <x:tableColumn id="6" name="Address"/>
    <x:tableColumn id="7" name="Categories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eanAssetsTable" displayName="CleanAssetsTable" ref="A1:G4" headerRowCount="1" totalsRowCount="0" totalsRowShown="0">
  <x:tableColumns count="7">
    <x:tableColumn id="1" name="Asset code"/>
    <x:tableColumn id="2" name="Name"/>
    <x:tableColumn id="3" name="Manufacturer"/>
    <x:tableColumn id="4" name="Model"/>
    <x:tableColumn id="5" name="Status"/>
    <x:tableColumn id="6" name="Provider"/>
    <x:tableColumn id="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AuditTable" displayName="SourceAuditTable" ref="A1:F28" headerRowCount="1" totalsRowCount="0" totalsRowShown="0">
  <x:tableColumns count="6">
    <x:tableColumn id="1" name="Source file"/>
    <x:tableColumn id="2" name="Kind"/>
    <x:tableColumn id="3" name="Bytes"/>
    <x:tableColumn id="4" name="SHA-256"/>
    <x:tableColumn id="5" name="Classification"/>
    <x:tableColumn id="6" name="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903cbd3bcd48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4de3c4952049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6729a314374d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9983603a6947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aee14c526944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3" t="str">
        <x:v>P2L Maintenance Catalog — Clean Refresh</x:v>
      </x:c>
      <x:c r="B1" s="3"/>
      <x:c r="C1" s="3"/>
      <x:c r="D1" s="3"/>
      <x:c r="E1" s="3"/>
      <x:c r="F1" s="3"/>
      <x:c r="G1" s="3"/>
      <x:c r="H1" s="3"/>
    </x:row>
    <x:row r="2" ht="27" customHeight="1">
      <x:c r="A2" s="6" t="str">
        <x:v>Audited output from 27 maintenance files. Planning quantities are not treated as physical stock counts.</x:v>
      </x:c>
      <x:c r="B2" s="6" t="str">
        <x:v>Audited output from 27 maintenance files. Planning quantities are not treated as physical stock counts.</x:v>
      </x:c>
      <x:c r="C2" s="6" t="str">
        <x:v>Audited output from 27 maintenance files. Planning quantities are not treated as physical stock counts.</x:v>
      </x:c>
      <x:c r="D2" s="6" t="str">
        <x:v>Audited output from 27 maintenance files. Planning quantities are not treated as physical stock counts.</x:v>
      </x:c>
      <x:c r="E2" s="6" t="str">
        <x:v>Audited output from 27 maintenance files. Planning quantities are not treated as physical stock counts.</x:v>
      </x:c>
      <x:c r="F2" s="6" t="str">
        <x:v>Audited output from 27 maintenance files. Planning quantities are not treated as physical stock counts.</x:v>
      </x:c>
      <x:c r="G2" s="6" t="str">
        <x:v>Audited output from 27 maintenance files. Planning quantities are not treated as physical stock counts.</x:v>
      </x:c>
      <x:c r="H2" s="6" t="str">
        <x:v>Audited output from 27 maintenance files. Planning quantities are not treated as physical stock counts.</x:v>
      </x:c>
    </x:row>
    <x:row r="4" ht="32" customHeight="1">
      <x:c r="A4" s="11" t="str">
        <x:v>Metric</x:v>
      </x:c>
      <x:c r="B4" s="11" t="str">
        <x:v>Value</x:v>
      </x:c>
    </x:row>
    <x:row r="5">
      <x:c r="A5" s="15" t="str">
        <x:v>Clean catalog records</x:v>
      </x:c>
      <x:c r="B5" s="16" t="n">
        <x:f>COUNTA(Materials!$B$2:$B$124)</x:f>
        <x:v>123</x:v>
      </x:c>
    </x:row>
    <x:row r="6">
      <x:c r="A6" s="15" t="str">
        <x:v>Consumables</x:v>
      </x:c>
      <x:c r="B6" s="16" t="n">
        <x:f>COUNTIF(Materials!$A$2:$A$124,"consumable")</x:f>
        <x:v>43</x:v>
      </x:c>
    </x:row>
    <x:row r="7">
      <x:c r="A7" s="15" t="str">
        <x:v>Spare parts</x:v>
      </x:c>
      <x:c r="B7" s="16" t="n">
        <x:f>COUNTIF(Materials!$A$2:$A$124,"spare_part")</x:f>
        <x:v>43</x:v>
      </x:c>
    </x:row>
    <x:row r="8">
      <x:c r="A8" s="15" t="str">
        <x:v>Equipment</x:v>
      </x:c>
      <x:c r="B8" s="16" t="n">
        <x:f>COUNTIF(Materials!$A$2:$A$124,"equipment")</x:f>
        <x:v>23</x:v>
      </x:c>
    </x:row>
    <x:row r="9">
      <x:c r="A9" s="15" t="str">
        <x:v>Services / other</x:v>
      </x:c>
      <x:c r="B9" s="16" t="n">
        <x:f>COUNTIF(Materials!$A$2:$A$124,"other")</x:f>
        <x:v>14</x:v>
      </x:c>
    </x:row>
    <x:row r="10">
      <x:c r="A10" s="15" t="str">
        <x:v>Providers</x:v>
      </x:c>
      <x:c r="B10" s="16" t="n">
        <x:f>COUNTA(Providers!$A$2:$A$11)</x:f>
        <x:v>10</x:v>
      </x:c>
    </x:row>
    <x:row r="11">
      <x:c r="A11" s="15" t="str">
        <x:v>Source files processed</x:v>
      </x:c>
      <x:c r="B11" s="16" t="n">
        <x:f>COUNTA('Source Audit'!$A$2:$A$28)</x:f>
        <x:v>27</x:v>
      </x:c>
    </x:row>
    <x:row r="12">
      <x:c r="A12" s="15" t="str">
        <x:v>Rows with current stock</x:v>
      </x:c>
      <x:c r="B12" s="16" t="n">
        <x:f>COUNT(Materials!$G$2:$G$124)</x:f>
        <x:v>0</x:v>
      </x:c>
    </x:row>
    <x:row r="14" ht="32" customHeight="1">
      <x:c r="A14" s="11" t="str">
        <x:v>Validation check</x:v>
      </x:c>
      <x:c r="B14" s="11" t="str">
        <x:v>Result</x:v>
      </x:c>
    </x:row>
    <x:row r="15">
      <x:c r="A15" s="15" t="str">
        <x:v>123 unique records</x:v>
      </x:c>
      <x:c r="B15" s="15" t="str">
        <x:f>IF(B5=123,"PASS","CHECK")</x:f>
        <x:v>PASS</x:v>
      </x:c>
    </x:row>
    <x:row r="16">
      <x:c r="A16" s="15" t="str">
        <x:v>27 files covered</x:v>
      </x:c>
      <x:c r="B16" s="15" t="str">
        <x:f>IF(B11=27,"PASS","CHECK")</x:f>
        <x:v>PASS</x:v>
      </x:c>
    </x:row>
    <x:row r="17">
      <x:c r="A17" s="15" t="str">
        <x:v>No current-stock claims</x:v>
      </x:c>
      <x:c r="B17" s="15" t="str">
        <x:f>IF(B12=0,"PASS","CHECK")</x:f>
        <x:v>PASS</x:v>
      </x:c>
    </x:row>
    <x:row r="18">
      <x:c r="A18" s="15" t="str">
        <x:v>No duplicate normalized keys</x:v>
      </x:c>
      <x:c r="B18" s="21" t="b">
        <x:v>1</x:v>
      </x:c>
    </x:row>
    <x:row r="20">
      <x:c r="A20" s="41" t="str">
        <x:v>Policy: suggested_stock comes from the consolidated planning lists. current_stock is intentionally blank because none of the files is a verified stock count. Latest quoted prices come from USP LESTE PETROBRAS 2024_RFL_CMC_SC.xlsx; historical invoices and quotations remain in the evidence trail.</x:v>
      </x:c>
      <x:c r="B20" s="42"/>
      <x:c r="C20" s="42"/>
      <x:c r="D20" s="42"/>
      <x:c r="E20" s="42"/>
      <x:c r="F20" s="42"/>
      <x:c r="G20" s="42"/>
      <x:c r="H20" s="43"/>
    </x:row>
    <x:row r="21">
      <x:c r="A21" s="44"/>
      <x:c r="B21" s="45"/>
      <x:c r="C21" s="45"/>
      <x:c r="D21" s="45"/>
      <x:c r="E21" s="45"/>
      <x:c r="F21" s="45"/>
      <x:c r="G21" s="45"/>
      <x:c r="H21" s="46"/>
    </x:row>
    <x:row r="22">
      <x:c r="A22" s="47"/>
      <x:c r="B22" s="48"/>
      <x:c r="C22" s="48"/>
      <x:c r="D22" s="48"/>
      <x:c r="E22" s="48"/>
      <x:c r="F22" s="48"/>
      <x:c r="G22" s="48"/>
      <x:c r="H22" s="49"/>
    </x:row>
  </x:sheetData>
  <x:mergeCells>
    <x:mergeCell ref="A1:H1"/>
    <x:mergeCell ref="A2:H2"/>
    <x:mergeCell ref="A20:H22"/>
  </x:mergeCells>
  <x:pageMargins left="0.7" right="0.7" top="0.75" bottom="0.75" header="0.3" footer="0.3"/>
  <x:drawing xmlns:r="http://schemas.openxmlformats.org/officeDocument/2006/relationships" r:id="Rab903cbd3bcd48a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0" hidden="0" customWidth="1"/>
    <x:col min="3" max="3" width="18" hidden="0" customWidth="1"/>
    <x:col min="4" max="4" width="2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30" hidden="0" customWidth="1"/>
    <x:col min="12" max="12" width="38" hidden="0" customWidth="1"/>
    <x:col min="13" max="13" width="28" hidden="0" customWidth="1"/>
    <x:col min="14" max="14" width="28" hidden="0" customWidth="1"/>
    <x:col min="15" max="15" width="19" hidden="0" customWidth="1"/>
    <x:col min="16" max="16" width="19" hidden="0" customWidth="1"/>
    <x:col min="17" max="17" width="19" hidden="0" customWidth="1"/>
    <x:col min="18" max="18" width="55" hidden="0" customWidth="1"/>
  </x:cols>
  <x:sheetData>
    <x:row r="1" ht="32" customHeight="1">
      <x:c r="A1" s="11" t="str">
        <x:v>Type</x:v>
      </x:c>
      <x:c r="B1" s="11" t="str">
        <x:v>Name</x:v>
      </x:c>
      <x:c r="C1" s="11" t="str">
        <x:v>Part number</x:v>
      </x:c>
      <x:c r="D1" s="11" t="str">
        <x:v>Equipment</x:v>
      </x:c>
      <x:c r="E1" s="11" t="str">
        <x:v>Suggested stock</x:v>
      </x:c>
      <x:c r="F1" s="11" t="str">
        <x:v>Unit</x:v>
      </x:c>
      <x:c r="G1" s="11" t="str">
        <x:v>Current stock</x:v>
      </x:c>
      <x:c r="H1" s="11" t="str">
        <x:v>Minimum stock</x:v>
      </x:c>
      <x:c r="I1" s="11" t="str">
        <x:v>Unit cost</x:v>
      </x:c>
      <x:c r="J1" s="11" t="str">
        <x:v>Currency</x:v>
      </x:c>
      <x:c r="K1" s="11" t="str">
        <x:v>Provider</x:v>
      </x:c>
      <x:c r="L1" s="11" t="str">
        <x:v>Supplier reference</x:v>
      </x:c>
      <x:c r="M1" s="11" t="str">
        <x:v>Source file</x:v>
      </x:c>
      <x:c r="N1" s="11" t="str">
        <x:v>Source sheet</x:v>
      </x:c>
      <x:c r="O1" s="11" t="str">
        <x:v>Availability</x:v>
      </x:c>
      <x:c r="P1" s="11" t="str">
        <x:v>Normalized key</x:v>
      </x:c>
      <x:c r="Q1" s="11" t="str">
        <x:v>Evidence records</x:v>
      </x:c>
      <x:c r="R1" s="11" t="str">
        <x:v>Notes</x:v>
      </x:c>
    </x:row>
    <x:row r="2">
      <x:c r="A2" s="15" t="str">
        <x:v>consumable</x:v>
      </x:c>
      <x:c r="B2" s="15" t="str">
        <x:v>Acetona 1L</x:v>
      </x:c>
      <x:c r="C2" s="15"/>
      <x:c r="D2" s="15" t="str">
        <x:v>General laboratory</x:v>
      </x:c>
      <x:c r="E2" s="50" t="n">
        <x:v>6</x:v>
      </x:c>
      <x:c r="F2" s="50" t="str">
        <x:v>unit</x:v>
      </x:c>
      <x:c r="G2" s="50"/>
      <x:c r="H2" s="50" t="n">
        <x:v>2</x:v>
      </x:c>
      <x:c r="I2" s="50" t="n">
        <x:v>59.91</x:v>
      </x:c>
      <x:c r="J2" s="50" t="str">
        <x:v>BRL</x:v>
      </x:c>
      <x:c r="K2" s="15"/>
      <x:c r="L2" s="15"/>
      <x:c r="M2" s="15" t="str">
        <x:v>USP LESTE PETROBRAS 2024_RFL_CMC_SC.xlsx</x:v>
      </x:c>
      <x:c r="N2" s="15" t="str">
        <x:v>Importação direta</x:v>
      </x:c>
      <x:c r="O2" s="15" t="str">
        <x:v>available</x:v>
      </x:c>
      <x:c r="P2" s="15" t="str">
        <x:v>name::acetona-1l</x:v>
      </x:c>
      <x:c r="Q2" s="16" t="n">
        <x:v>1</x:v>
      </x:c>
      <x:c r="R2" s="15" t="str">
        <x:v>Suggested stock is sourced from a planning/list quantity; stock on hand was not stated in the source files and remains blank.</x:v>
      </x:c>
    </x:row>
    <x:row r="3">
      <x:c r="A3" s="15" t="str">
        <x:v>consumable</x:v>
      </x:c>
      <x:c r="B3" s="15" t="str">
        <x:v>ACID CONT CARBODEVICE (int rem!)</x:v>
      </x:c>
      <x:c r="C3" s="15" t="str">
        <x:v>599081</x:v>
      </x:c>
      <x:c r="D3" s="15" t="str">
        <x:v>Kiel IV</x:v>
      </x:c>
      <x:c r="E3" s="50" t="n">
        <x:v>1</x:v>
      </x:c>
      <x:c r="F3" s="50"/>
      <x:c r="G3" s="50"/>
      <x:c r="H3" s="50" t="n">
        <x:v>1</x:v>
      </x:c>
      <x:c r="I3" s="50"/>
      <x:c r="J3" s="50" t="str">
        <x:v>BRL</x:v>
      </x:c>
      <x:c r="K3" s="15" t="str">
        <x:v>SENS Representações Comerciais Ltda.</x:v>
      </x:c>
      <x:c r="L3" s="15"/>
      <x:c r="M3" s="15" t="str">
        <x:v>Spares and consumable main list.xlsx</x:v>
      </x:c>
      <x:c r="N3" s="15" t="str">
        <x:v>Sheet1</x:v>
      </x:c>
      <x:c r="O3" s="15" t="str">
        <x:v>available</x:v>
      </x:c>
      <x:c r="P3" s="15" t="str">
        <x:v>pn::599081</x:v>
      </x:c>
      <x:c r="Q3" s="16" t="n">
        <x:v>1</x:v>
      </x:c>
      <x:c r="R3" s="15" t="str">
        <x:v>Suggested stock is sourced from a planning/list quantity; stock on hand was not stated in the source files and remains blank.</x:v>
      </x:c>
    </x:row>
    <x:row r="4">
      <x:c r="A4" s="15" t="str">
        <x:v>consumable</x:v>
      </x:c>
      <x:c r="B4" s="15" t="str">
        <x:v>Acido fosforico puriss. p.a., crystallized, ≥99.0%</x:v>
      </x:c>
      <x:c r="C4" s="15" t="str">
        <x:v>79622</x:v>
      </x:c>
      <x:c r="D4" s="15" t="str">
        <x:v>General laboratory</x:v>
      </x:c>
      <x:c r="E4" s="50"/>
      <x:c r="F4" s="50"/>
      <x:c r="G4" s="50"/>
      <x:c r="H4" s="50"/>
      <x:c r="I4" s="50"/>
      <x:c r="J4" s="50" t="str">
        <x:v>BRL</x:v>
      </x:c>
      <x:c r="K4" s="15" t="str">
        <x:v>Merck / Sigma-Aldrich</x:v>
      </x:c>
      <x:c r="L4" s="15" t="str">
        <x:v>https://www.sigmaaldrich.com/BR/pt/product/sigald/79622</x:v>
      </x:c>
      <x:c r="M4" s="15" t="str">
        <x:v>Spares and consumable main list.xlsx</x:v>
      </x:c>
      <x:c r="N4" s="15" t="str">
        <x:v>Sheet1</x:v>
      </x:c>
      <x:c r="O4" s="15" t="str">
        <x:v>available</x:v>
      </x:c>
      <x:c r="P4" s="15" t="str">
        <x:v>pn::79622</x:v>
      </x:c>
      <x:c r="Q4" s="16" t="n">
        <x:v>1</x:v>
      </x:c>
      <x:c r="R4" s="15" t="str">
        <x:v>Suggested stock is sourced from a planning/list quantity; stock on hand was not stated in the source files and remains blank.</x:v>
      </x:c>
    </x:row>
    <x:row r="5">
      <x:c r="A5" s="15" t="str">
        <x:v>consumable</x:v>
      </x:c>
      <x:c r="B5" s="15" t="str">
        <x:v>Acido nitrico 70% PA ACS</x:v>
      </x:c>
      <x:c r="C5" s="15" t="str">
        <x:v>QMG00004121611000</x:v>
      </x:c>
      <x:c r="D5" s="15" t="str">
        <x:v>General laboratory</x:v>
      </x:c>
      <x:c r="E5" s="50" t="n">
        <x:v>2</x:v>
      </x:c>
      <x:c r="F5" s="50" t="str">
        <x:v>L</x:v>
      </x:c>
      <x:c r="G5" s="50"/>
      <x:c r="H5" s="50" t="n">
        <x:v>1</x:v>
      </x:c>
      <x:c r="I5" s="50"/>
      <x:c r="J5" s="50" t="str">
        <x:v>BRL</x:v>
      </x:c>
      <x:c r="K5" s="15" t="str">
        <x:v>Química Moderna</x:v>
      </x:c>
      <x:c r="L5" s="15" t="str">
        <x:v>http://www.quimicamoderna.net.br/?page_id=296&amp;mycart_pid=26</x:v>
      </x:c>
      <x:c r="M5" s="15" t="str">
        <x:v>Spares and consumable main list.xlsx</x:v>
      </x:c>
      <x:c r="N5" s="15" t="str">
        <x:v>Sheet1</x:v>
      </x:c>
      <x:c r="O5" s="15" t="str">
        <x:v>available</x:v>
      </x:c>
      <x:c r="P5" s="15" t="str">
        <x:v>pn::qmg00004121611000</x:v>
      </x:c>
      <x:c r="Q5" s="16" t="n">
        <x:v>2</x:v>
      </x:c>
      <x:c r="R5" s="15" t="str">
        <x:v>Suggested stock is sourced from a planning/list quantity; stock on hand was not stated in the source files and remains blank.</x:v>
      </x:c>
    </x:row>
    <x:row r="6">
      <x:c r="A6" s="15" t="str">
        <x:v>consumable</x:v>
      </x:c>
      <x:c r="B6" s="15" t="str">
        <x:v>Acido oxalico 2H20 PA ACS</x:v>
      </x:c>
      <x:c r="C6" s="15" t="str">
        <x:v>QMA00001121700500</x:v>
      </x:c>
      <x:c r="D6" s="15" t="str">
        <x:v>General laboratory</x:v>
      </x:c>
      <x:c r="E6" s="50" t="n">
        <x:v>1000</x:v>
      </x:c>
      <x:c r="F6" s="50" t="str">
        <x:v>g</x:v>
      </x:c>
      <x:c r="G6" s="50"/>
      <x:c r="H6" s="50" t="n">
        <x:v>200</x:v>
      </x:c>
      <x:c r="I6" s="50"/>
      <x:c r="J6" s="50" t="str">
        <x:v>BRL</x:v>
      </x:c>
      <x:c r="K6" s="15" t="str">
        <x:v>Química Moderna</x:v>
      </x:c>
      <x:c r="L6" s="15" t="str">
        <x:v>http://www.quimicamoderna.net.br/?page_id=296&amp;mycart_pid=241</x:v>
      </x:c>
      <x:c r="M6" s="15" t="str">
        <x:v>Spares and consumable main list.xlsx</x:v>
      </x:c>
      <x:c r="N6" s="15" t="str">
        <x:v>Sheet1</x:v>
      </x:c>
      <x:c r="O6" s="15" t="str">
        <x:v>available</x:v>
      </x:c>
      <x:c r="P6" s="15" t="str">
        <x:v>pn::qma00001121700500</x:v>
      </x:c>
      <x:c r="Q6" s="16" t="n">
        <x:v>2</x:v>
      </x:c>
      <x:c r="R6" s="15" t="str">
        <x:v>Suggested stock is sourced from a planning/list quantity; stock on hand was not stated in the source files and remains blank.</x:v>
      </x:c>
    </x:row>
    <x:row r="7">
      <x:c r="A7" s="15" t="str">
        <x:v>consumable</x:v>
      </x:c>
      <x:c r="B7" s="15" t="str">
        <x:v>Adesivos LOCTITE 416</x:v>
      </x:c>
      <x:c r="C7" s="15"/>
      <x:c r="D7" s="15" t="str">
        <x:v>General laboratory</x:v>
      </x:c>
      <x:c r="E7" s="50"/>
      <x:c r="F7" s="50"/>
      <x:c r="G7" s="50"/>
      <x:c r="H7" s="50"/>
      <x:c r="I7" s="50"/>
      <x:c r="J7" s="50" t="str">
        <x:v>BRL</x:v>
      </x:c>
      <x:c r="K7" s="15" t="str">
        <x:v>Elastim</x:v>
      </x:c>
      <x:c r="L7" s="15" t="str">
        <x:v>http://www.elastim.com.br/site/</x:v>
      </x:c>
      <x:c r="M7" s="15" t="str">
        <x:v>Lista material laboratorio P2L.csv</x:v>
      </x:c>
      <x:c r="N7" s="15"/>
      <x:c r="O7" s="15" t="str">
        <x:v>available</x:v>
      </x:c>
      <x:c r="P7" s="15" t="str">
        <x:v>name::adesivos-loctite-416</x:v>
      </x:c>
      <x:c r="Q7" s="16" t="n">
        <x:v>1</x:v>
      </x:c>
      <x:c r="R7" s="15" t="str">
        <x:v>Suggested stock is sourced from a planning/list quantity; stock on hand was not stated in the source files and remains blank.</x:v>
      </x:c>
    </x:row>
    <x:row r="8">
      <x:c r="A8" s="15" t="str">
        <x:v>consumable</x:v>
      </x:c>
      <x:c r="B8" s="15" t="str">
        <x:v>Carbonato de calcio</x:v>
      </x:c>
      <x:c r="C8" s="15" t="str">
        <x:v>01C1004.01.AH</x:v>
      </x:c>
      <x:c r="D8" s="15" t="str">
        <x:v>General laboratory</x:v>
      </x:c>
      <x:c r="E8" s="50" t="n">
        <x:v>1</x:v>
      </x:c>
      <x:c r="F8" s="50" t="str">
        <x:v>kg</x:v>
      </x:c>
      <x:c r="G8" s="50"/>
      <x:c r="H8" s="50" t="n">
        <x:v>1</x:v>
      </x:c>
      <x:c r="I8" s="50"/>
      <x:c r="J8" s="50" t="str">
        <x:v>BRL</x:v>
      </x:c>
      <x:c r="K8" s="15" t="str">
        <x:v>Labsynth Produtos para Laboratórios Ltda.</x:v>
      </x:c>
      <x:c r="L8" s="15" t="str">
        <x:v>https://www.labsynth.com.br/produtos.php?pag=reagentes&amp;seletor=produto&amp;pesquisa=carbonato&amp;busca_reagentes=Submit+Query</x:v>
      </x:c>
      <x:c r="M8" s="15" t="str">
        <x:v>Lista material laboratorio P2L.csv</x:v>
      </x:c>
      <x:c r="N8" s="15"/>
      <x:c r="O8" s="15" t="str">
        <x:v>available</x:v>
      </x:c>
      <x:c r="P8" s="15" t="str">
        <x:v>pn::01c100401ah</x:v>
      </x:c>
      <x:c r="Q8" s="16" t="n">
        <x:v>1</x:v>
      </x:c>
      <x:c r="R8" s="15" t="str">
        <x:v>Suggested stock is sourced from a planning/list quantity; stock on hand was not stated in the source files and remains blank.</x:v>
      </x:c>
    </x:row>
    <x:row r="9">
      <x:c r="A9" s="15" t="str">
        <x:v>consumable</x:v>
      </x:c>
      <x:c r="B9" s="15" t="str">
        <x:v>Chloridric acid 37%</x:v>
      </x:c>
      <x:c r="C9" s="15" t="str">
        <x:v>QMA00001120901000</x:v>
      </x:c>
      <x:c r="D9" s="15" t="str">
        <x:v>General laboratory</x:v>
      </x:c>
      <x:c r="E9" s="50" t="n">
        <x:v>2</x:v>
      </x:c>
      <x:c r="F9" s="50" t="str">
        <x:v>L</x:v>
      </x:c>
      <x:c r="G9" s="50"/>
      <x:c r="H9" s="50" t="n">
        <x:v>1</x:v>
      </x:c>
      <x:c r="I9" s="50"/>
      <x:c r="J9" s="50" t="str">
        <x:v>BRL</x:v>
      </x:c>
      <x:c r="K9" s="15" t="str">
        <x:v>Química Moderna</x:v>
      </x:c>
      <x:c r="L9" s="15" t="str">
        <x:v>http://www.quimicamoderna.net.br/?page_id=296&amp;mycart_pid=219</x:v>
      </x:c>
      <x:c r="M9" s="15" t="str">
        <x:v>Spares and consumable main list.xlsx</x:v>
      </x:c>
      <x:c r="N9" s="15" t="str">
        <x:v>Sheet1</x:v>
      </x:c>
      <x:c r="O9" s="15" t="str">
        <x:v>available</x:v>
      </x:c>
      <x:c r="P9" s="15" t="str">
        <x:v>pn::qma00001120901000</x:v>
      </x:c>
      <x:c r="Q9" s="16" t="n">
        <x:v>2</x:v>
      </x:c>
      <x:c r="R9" s="15" t="str">
        <x:v>Suggested stock is sourced from a planning/list quantity; stock on hand was not stated in the source files and remains blank.</x:v>
      </x:c>
    </x:row>
    <x:row r="10">
      <x:c r="A10" s="15" t="str">
        <x:v>consumable</x:v>
      </x:c>
      <x:c r="B10" s="15" t="str">
        <x:v>Clumped CO2 collector</x:v>
      </x:c>
      <x:c r="C10" s="15" t="str">
        <x:v>BRE0003990</x:v>
      </x:c>
      <x:c r="D10" s="15" t="str">
        <x:v>General laboratory</x:v>
      </x:c>
      <x:c r="E10" s="50" t="n">
        <x:v>1</x:v>
      </x:c>
      <x:c r="F10" s="50" t="str">
        <x:v>unit</x:v>
      </x:c>
      <x:c r="G10" s="50"/>
      <x:c r="H10" s="50" t="n">
        <x:v>1</x:v>
      </x:c>
      <x:c r="I10" s="50" t="n">
        <x:v>27278</x:v>
      </x:c>
      <x:c r="J10" s="50" t="str">
        <x:v>EUR</x:v>
      </x:c>
      <x:c r="K10" s="15" t="str">
        <x:v>SENS Representações Comerciais Ltda.</x:v>
      </x:c>
      <x:c r="L10" s="15"/>
      <x:c r="M10" s="15" t="str">
        <x:v>SENS administration/USP_EACH_MAT253_050521.pdf</x:v>
      </x:c>
      <x:c r="N10" s="15"/>
      <x:c r="O10" s="15" t="str">
        <x:v>available</x:v>
      </x:c>
      <x:c r="P10" s="15" t="str">
        <x:v>pn::bre0003990</x:v>
      </x:c>
      <x:c r="Q10" s="16" t="n">
        <x:v>1</x:v>
      </x:c>
      <x:c r="R10" s="15" t="str">
        <x:v>Suggested stock is sourced from a planning/list quantity; stock on hand was not stated in the source files and remains blank.</x:v>
      </x:c>
    </x:row>
    <x:row r="11">
      <x:c r="A11" s="15" t="str">
        <x:v>consumable</x:v>
      </x:c>
      <x:c r="B11" s="15" t="str">
        <x:v>Diatomaceous earth</x:v>
      </x:c>
      <x:c r="C11" s="15" t="str">
        <x:v>00D1015.08.AH</x:v>
      </x:c>
      <x:c r="D11" s="15" t="str">
        <x:v>General laboratory</x:v>
      </x:c>
      <x:c r="E11" s="50"/>
      <x:c r="F11" s="50"/>
      <x:c r="G11" s="50"/>
      <x:c r="H11" s="50"/>
      <x:c r="I11" s="50"/>
      <x:c r="J11" s="50" t="str">
        <x:v>BRL</x:v>
      </x:c>
      <x:c r="K11" s="15" t="str">
        <x:v>Labsynth Produtos para Laboratórios Ltda.</x:v>
      </x:c>
      <x:c r="L11" s="15" t="str">
        <x:v>https://www.labsynth.com.br/produtos.php?pag=reagentes&amp;seletor=produto&amp;pesquisa=diatom&amp;busca_reagentes=Submit+Query</x:v>
      </x:c>
      <x:c r="M11" s="15" t="str">
        <x:v>Lista material laboratorio P2L.csv</x:v>
      </x:c>
      <x:c r="N11" s="15"/>
      <x:c r="O11" s="15" t="str">
        <x:v>available</x:v>
      </x:c>
      <x:c r="P11" s="15" t="str">
        <x:v>pn::00d101508ah</x:v>
      </x:c>
      <x:c r="Q11" s="16" t="n">
        <x:v>1</x:v>
      </x:c>
      <x:c r="R11" s="15" t="str">
        <x:v>Suggested stock is sourced from a planning/list quantity; stock on hand was not stated in the source files and remains blank.</x:v>
      </x:c>
    </x:row>
    <x:row r="12">
      <x:c r="A12" s="15" t="str">
        <x:v>consumable</x:v>
      </x:c>
      <x:c r="B12" s="15" t="str">
        <x:v>DIMETILGLIOXIMA PA ACS 25G</x:v>
      </x:c>
      <x:c r="C12" s="15" t="str">
        <x:v>QMA00001132000025</x:v>
      </x:c>
      <x:c r="D12" s="15" t="str">
        <x:v>General laboratory</x:v>
      </x:c>
      <x:c r="E12" s="50" t="n">
        <x:v>25</x:v>
      </x:c>
      <x:c r="F12" s="50" t="str">
        <x:v>g</x:v>
      </x:c>
      <x:c r="G12" s="50"/>
      <x:c r="H12" s="50" t="n">
        <x:v>5</x:v>
      </x:c>
      <x:c r="I12" s="50"/>
      <x:c r="J12" s="50" t="str">
        <x:v>BRL</x:v>
      </x:c>
      <x:c r="K12" s="15" t="str">
        <x:v>Química Moderna</x:v>
      </x:c>
      <x:c r="L12" s="15" t="str">
        <x:v>http://www.quimicamoderna.net.br/?page_id=296&amp;mycart_pid=363</x:v>
      </x:c>
      <x:c r="M12" s="15" t="str">
        <x:v>Lista material laboratorio P2L.csv</x:v>
      </x:c>
      <x:c r="N12" s="15"/>
      <x:c r="O12" s="15" t="str">
        <x:v>available</x:v>
      </x:c>
      <x:c r="P12" s="15" t="str">
        <x:v>pn::qma00001132000025</x:v>
      </x:c>
      <x:c r="Q12" s="16" t="n">
        <x:v>1</x:v>
      </x:c>
      <x:c r="R12" s="15" t="str">
        <x:v>Suggested stock is sourced from a planning/list quantity; stock on hand was not stated in the source files and remains blank.</x:v>
      </x:c>
    </x:row>
    <x:row r="13">
      <x:c r="A13" s="15" t="str">
        <x:v>consumable</x:v>
      </x:c>
      <x:c r="B13" s="15" t="str">
        <x:v>ETER DE PETROLEO (30-70) P.A.-A.C.S. (650g) 100%</x:v>
      </x:c>
      <x:c r="C13" s="15" t="str">
        <x:v>01E1015.01.BJ</x:v>
      </x:c>
      <x:c r="D13" s="15" t="str">
        <x:v>General laboratory</x:v>
      </x:c>
      <x:c r="E13" s="50" t="n">
        <x:v>2</x:v>
      </x:c>
      <x:c r="F13" s="50" t="str">
        <x:v>unidades (2L</x:v>
      </x:c>
      <x:c r="G13" s="50"/>
      <x:c r="H13" s="50" t="n">
        <x:v>1</x:v>
      </x:c>
      <x:c r="I13" s="50"/>
      <x:c r="J13" s="50" t="str">
        <x:v>BRL</x:v>
      </x:c>
      <x:c r="K13" s="15" t="str">
        <x:v>Labsynth Produtos para Laboratórios Ltda.</x:v>
      </x:c>
      <x:c r="L13" s="15" t="str">
        <x:v>https://www.labsynth.com.br/busca.php?pesquisa=eter&amp;busca=Enviar</x:v>
      </x:c>
      <x:c r="M13" s="15" t="str">
        <x:v>Lista material laboratorio P2L.csv</x:v>
      </x:c>
      <x:c r="N13" s="15"/>
      <x:c r="O13" s="15" t="str">
        <x:v>available</x:v>
      </x:c>
      <x:c r="P13" s="15" t="str">
        <x:v>pn::01e101501bj</x:v>
      </x:c>
      <x:c r="Q13" s="16" t="n">
        <x:v>1</x:v>
      </x:c>
      <x:c r="R13" s="15" t="str">
        <x:v>Suggested stock is sourced from a planning/list quantity; stock on hand was not stated in the source files and remains blank.</x:v>
      </x:c>
    </x:row>
    <x:row r="14">
      <x:c r="A14" s="15" t="str">
        <x:v>consumable</x:v>
      </x:c>
      <x:c r="B14" s="15" t="str">
        <x:v>FILTRO PARA SERINGA MEMBRANA PES 0,22uM 30MM K18-230 - R$ 11,90</x:v>
      </x:c>
      <x:c r="C14" s="15" t="str">
        <x:v>K18-230</x:v>
      </x:c>
      <x:c r="D14" s="15" t="str">
        <x:v>General laboratory</x:v>
      </x:c>
      <x:c r="E14" s="50" t="n">
        <x:v>10</x:v>
      </x:c>
      <x:c r="F14" s="50" t="str">
        <x:v>unit</x:v>
      </x:c>
      <x:c r="G14" s="50"/>
      <x:c r="H14" s="50" t="n">
        <x:v>2</x:v>
      </x:c>
      <x:c r="I14" s="50"/>
      <x:c r="J14" s="50" t="str">
        <x:v>BRL</x:v>
      </x:c>
      <x:c r="K14" s="15" t="str">
        <x:v>Netlab</x:v>
      </x:c>
      <x:c r="L14" s="15" t="str">
        <x:v>https://www.lojanetlab.com.br/filtrantes/filtro-para-seringa/filtro-para-seringa-membrana-pes-0-22-m-30-mm-ref-k18-230-kasvi</x:v>
      </x:c>
      <x:c r="M14" s="15" t="str">
        <x:v>Lista material laboratorio P2L.csv</x:v>
      </x:c>
      <x:c r="N14" s="15"/>
      <x:c r="O14" s="15" t="str">
        <x:v>available</x:v>
      </x:c>
      <x:c r="P14" s="15" t="str">
        <x:v>pn::k18230</x:v>
      </x:c>
      <x:c r="Q14" s="16" t="n">
        <x:v>1</x:v>
      </x:c>
      <x:c r="R14" s="15" t="str">
        <x:v>Suggested stock is sourced from a planning/list quantity; stock on hand was not stated in the source files and remains blank.</x:v>
      </x:c>
    </x:row>
    <x:row r="15">
      <x:c r="A15" s="15" t="str">
        <x:v>consumable</x:v>
      </x:c>
      <x:c r="B15" s="15" t="str">
        <x:v>Gas Argônio</x:v>
      </x:c>
      <x:c r="C15" s="15"/>
      <x:c r="D15" s="15" t="str">
        <x:v>General laboratory</x:v>
      </x:c>
      <x:c r="E15" s="50" t="n">
        <x:v>1</x:v>
      </x:c>
      <x:c r="F15" s="50" t="str">
        <x:v>unit</x:v>
      </x:c>
      <x:c r="G15" s="50"/>
      <x:c r="H15" s="50" t="n">
        <x:v>1</x:v>
      </x:c>
      <x:c r="I15" s="50" t="n">
        <x:v>1680</x:v>
      </x:c>
      <x:c r="J15" s="50" t="str">
        <x:v>BRL</x:v>
      </x:c>
      <x:c r="K15" s="15"/>
      <x:c r="L15" s="15"/>
      <x:c r="M15" s="15" t="str">
        <x:v>USP LESTE PETROBRAS 2024_RFL_CMC_SC.xlsx</x:v>
      </x:c>
      <x:c r="N15" s="15" t="str">
        <x:v>Importação direta</x:v>
      </x:c>
      <x:c r="O15" s="15" t="str">
        <x:v>available</x:v>
      </x:c>
      <x:c r="P15" s="15" t="str">
        <x:v>name::gas-argonio</x:v>
      </x:c>
      <x:c r="Q15" s="16" t="n">
        <x:v>1</x:v>
      </x:c>
      <x:c r="R15" s="15" t="str">
        <x:v>Suggested stock is sourced from a planning/list quantity; stock on hand was not stated in the source files and remains blank.</x:v>
      </x:c>
    </x:row>
    <x:row r="16">
      <x:c r="A16" s="15" t="str">
        <x:v>consumable</x:v>
      </x:c>
      <x:c r="B16" s="15" t="str">
        <x:v>Gas CO2 ultrapuro</x:v>
      </x:c>
      <x:c r="C16" s="15"/>
      <x:c r="D16" s="15" t="str">
        <x:v>General laboratory</x:v>
      </x:c>
      <x:c r="E16" s="50" t="n">
        <x:v>1</x:v>
      </x:c>
      <x:c r="F16" s="50" t="str">
        <x:v>unit</x:v>
      </x:c>
      <x:c r="G16" s="50"/>
      <x:c r="H16" s="50" t="n">
        <x:v>1</x:v>
      </x:c>
      <x:c r="I16" s="50" t="n">
        <x:v>2390</x:v>
      </x:c>
      <x:c r="J16" s="50" t="str">
        <x:v>BRL</x:v>
      </x:c>
      <x:c r="K16" s="15"/>
      <x:c r="L16" s="15"/>
      <x:c r="M16" s="15" t="str">
        <x:v>USP LESTE PETROBRAS 2024_RFL_CMC_SC.xlsx</x:v>
      </x:c>
      <x:c r="N16" s="15" t="str">
        <x:v>Importação direta</x:v>
      </x:c>
      <x:c r="O16" s="15" t="str">
        <x:v>available</x:v>
      </x:c>
      <x:c r="P16" s="15" t="str">
        <x:v>name::gas-co2-ultrapuro</x:v>
      </x:c>
      <x:c r="Q16" s="16" t="n">
        <x:v>1</x:v>
      </x:c>
      <x:c r="R16" s="15" t="str">
        <x:v>Suggested stock is sourced from a planning/list quantity; stock on hand was not stated in the source files and remains blank.</x:v>
      </x:c>
    </x:row>
    <x:row r="17">
      <x:c r="A17" s="15" t="str">
        <x:v>consumable</x:v>
      </x:c>
      <x:c r="B17" s="15" t="str">
        <x:v>Gas helio ultrapuro 99.999%</x:v>
      </x:c>
      <x:c r="C17" s="15" t="str">
        <x:v>11U54990</x:v>
      </x:c>
      <x:c r="D17" s="15" t="str">
        <x:v>General laboratory</x:v>
      </x:c>
      <x:c r="E17" s="50" t="n">
        <x:v>20</x:v>
      </x:c>
      <x:c r="F17" s="50" t="str">
        <x:v>m³</x:v>
      </x:c>
      <x:c r="G17" s="50"/>
      <x:c r="H17" s="50" t="n">
        <x:v>4</x:v>
      </x:c>
      <x:c r="I17" s="50" t="n">
        <x:v>6966</x:v>
      </x:c>
      <x:c r="J17" s="50" t="str">
        <x:v>BRL</x:v>
      </x:c>
      <x:c r="K17" s="15" t="str">
        <x:v>Gama Gases</x:v>
      </x:c>
      <x:c r="L17" s="15" t="str">
        <x:v>http://www.gamagases.com.br/</x:v>
      </x:c>
      <x:c r="M17" s="15" t="str">
        <x:v>Spares and consumable main list.xlsx</x:v>
      </x:c>
      <x:c r="N17" s="15" t="str">
        <x:v>Sheet1</x:v>
      </x:c>
      <x:c r="O17" s="15" t="str">
        <x:v>available</x:v>
      </x:c>
      <x:c r="P17" s="15" t="str">
        <x:v>pn::11u54990</x:v>
      </x:c>
      <x:c r="Q17" s="16" t="n">
        <x:v>3</x:v>
      </x:c>
      <x:c r="R17" s="15" t="str">
        <x:v>Suggested stock is sourced from a planning/list quantity; stock on hand was not stated in the source files and remains blank.</x:v>
      </x:c>
    </x:row>
    <x:row r="18">
      <x:c r="A18" s="15" t="str">
        <x:v>consumable</x:v>
      </x:c>
      <x:c r="B18" s="15" t="str">
        <x:v>Graxa silicone</x:v>
      </x:c>
      <x:c r="C18" s="15" t="str">
        <x:v>00S1017.08.AG</x:v>
      </x:c>
      <x:c r="D18" s="15" t="str">
        <x:v>General laboratory</x:v>
      </x:c>
      <x:c r="E18" s="50" t="n">
        <x:v>500</x:v>
      </x:c>
      <x:c r="F18" s="50" t="str">
        <x:v>g</x:v>
      </x:c>
      <x:c r="G18" s="50"/>
      <x:c r="H18" s="50" t="n">
        <x:v>100</x:v>
      </x:c>
      <x:c r="I18" s="50"/>
      <x:c r="J18" s="50" t="str">
        <x:v>BRL</x:v>
      </x:c>
      <x:c r="K18" s="15" t="str">
        <x:v>Labsynth Produtos para Laboratórios Ltda.</x:v>
      </x:c>
      <x:c r="L18" s="15" t="str">
        <x:v>https://www.labsynth.com.br/produtos.php?pag=reagentes&amp;seletor=produto&amp;pesquisa=graxa&amp;busca_reagentes=Submit+Query</x:v>
      </x:c>
      <x:c r="M18" s="15" t="str">
        <x:v>Lista material laboratorio P2L.csv</x:v>
      </x:c>
      <x:c r="N18" s="15"/>
      <x:c r="O18" s="15" t="str">
        <x:v>available</x:v>
      </x:c>
      <x:c r="P18" s="15" t="str">
        <x:v>pn::00s101708ag</x:v>
      </x:c>
      <x:c r="Q18" s="16" t="n">
        <x:v>1</x:v>
      </x:c>
      <x:c r="R18" s="15" t="str">
        <x:v>Suggested stock is sourced from a planning/list quantity; stock on hand was not stated in the source files and remains blank.</x:v>
      </x:c>
    </x:row>
    <x:row r="19">
      <x:c r="A19" s="15" t="str">
        <x:v>consumable</x:v>
      </x:c>
      <x:c r="B19" s="15" t="str">
        <x:v>Isopropyl alcohol</x:v>
      </x:c>
      <x:c r="C19" s="15" t="str">
        <x:v>00A1078.07.BL</x:v>
      </x:c>
      <x:c r="D19" s="15" t="str">
        <x:v>General laboratory</x:v>
      </x:c>
      <x:c r="E19" s="50" t="n">
        <x:v>780</x:v>
      </x:c>
      <x:c r="F19" s="50" t="str">
        <x:v>g</x:v>
      </x:c>
      <x:c r="G19" s="50"/>
      <x:c r="H19" s="50" t="n">
        <x:v>156</x:v>
      </x:c>
      <x:c r="I19" s="50" t="n">
        <x:v>60</x:v>
      </x:c>
      <x:c r="J19" s="50" t="str">
        <x:v>BRL</x:v>
      </x:c>
      <x:c r="K19" s="15" t="str">
        <x:v>Labsynth Produtos para Laboratórios Ltda.</x:v>
      </x:c>
      <x:c r="L19" s="15" t="str">
        <x:v>https://www.labsynth.com.br/produtos.php?pag=reagentes&amp;seletor=produto&amp;pesquisa=ALCOOL+PROPILICO+%28ISO%29+P.A.-A.C.S.+%28780g%29+100%25&amp;busca_reagentes=Submit+Query</x:v>
      </x:c>
      <x:c r="M19" s="15" t="str">
        <x:v>Spares and consumable main list.xlsx</x:v>
      </x:c>
      <x:c r="N19" s="15" t="str">
        <x:v>Sheet1</x:v>
      </x:c>
      <x:c r="O19" s="15" t="str">
        <x:v>available</x:v>
      </x:c>
      <x:c r="P19" s="15" t="str">
        <x:v>pn::00a107807bl</x:v>
      </x:c>
      <x:c r="Q19" s="16" t="n">
        <x:v>3</x:v>
      </x:c>
      <x:c r="R19" s="15" t="str">
        <x:v>Suggested stock is sourced from a planning/list quantity; stock on hand was not stated in the source files and remains blank.</x:v>
      </x:c>
    </x:row>
    <x:row r="20">
      <x:c r="A20" s="15" t="str">
        <x:v>consumable</x:v>
      </x:c>
      <x:c r="B20" s="15" t="str">
        <x:v>Liquid nitrogen container, 90 L</x:v>
      </x:c>
      <x:c r="C20" s="15" t="str">
        <x:v>0543090</x:v>
      </x:c>
      <x:c r="D20" s="15" t="str">
        <x:v>General laboratory</x:v>
      </x:c>
      <x:c r="E20" s="50" t="n">
        <x:v>1</x:v>
      </x:c>
      <x:c r="F20" s="50" t="str">
        <x:v>unit</x:v>
      </x:c>
      <x:c r="G20" s="50"/>
      <x:c r="H20" s="50" t="n">
        <x:v>1</x:v>
      </x:c>
      <x:c r="I20" s="50" t="n">
        <x:v>11972</x:v>
      </x:c>
      <x:c r="J20" s="50" t="str">
        <x:v>EUR</x:v>
      </x:c>
      <x:c r="K20" s="15" t="str">
        <x:v>SENS Representações Comerciais Ltda.</x:v>
      </x:c>
      <x:c r="L20" s="15"/>
      <x:c r="M20" s="15" t="str">
        <x:v>SENS administration/USP_EACH_MAT253_050521.pdf</x:v>
      </x:c>
      <x:c r="N20" s="15"/>
      <x:c r="O20" s="15" t="str">
        <x:v>available</x:v>
      </x:c>
      <x:c r="P20" s="15" t="str">
        <x:v>pn::543090</x:v>
      </x:c>
      <x:c r="Q20" s="16" t="n">
        <x:v>1</x:v>
      </x:c>
      <x:c r="R20" s="15" t="str">
        <x:v>Suggested stock is sourced from a planning/list quantity; stock on hand was not stated in the source files and remains blank.</x:v>
      </x:c>
    </x:row>
    <x:row r="21">
      <x:c r="A21" s="15" t="str">
        <x:v>consumable</x:v>
      </x:c>
      <x:c r="B21" s="15" t="str">
        <x:v>Maçarico Manual Vonder Para Gás Mapp</x:v>
      </x:c>
      <x:c r="C21" s="15" t="str">
        <x:v>VONDER-7299100000</x:v>
      </x:c>
      <x:c r="D21" s="15" t="str">
        <x:v>General laboratory</x:v>
      </x:c>
      <x:c r="E21" s="50" t="n">
        <x:v>2</x:v>
      </x:c>
      <x:c r="F21" s="50"/>
      <x:c r="G21" s="50"/>
      <x:c r="H21" s="50" t="n">
        <x:v>1</x:v>
      </x:c>
      <x:c r="I21" s="50"/>
      <x:c r="J21" s="50" t="str">
        <x:v>BRL</x:v>
      </x:c>
      <x:c r="K21" s="15" t="str">
        <x:v>Loja do Mecânico</x:v>
      </x:c>
      <x:c r="L21" s="15" t="str">
        <x:v>https://www.lojadomecanico.com.br/produto/126851/21/774/macarico-manual-para-gas-mapp-vonder-7299100000</x:v>
      </x:c>
      <x:c r="M21" s="15" t="str">
        <x:v>Spares and consumable main list.xlsx</x:v>
      </x:c>
      <x:c r="N21" s="15" t="str">
        <x:v>Sheet1</x:v>
      </x:c>
      <x:c r="O21" s="15" t="str">
        <x:v>available</x:v>
      </x:c>
      <x:c r="P21" s="15" t="str">
        <x:v>pn::vonder7299100000</x:v>
      </x:c>
      <x:c r="Q21" s="16" t="n">
        <x:v>2</x:v>
      </x:c>
      <x:c r="R21" s="15" t="str">
        <x:v>Suggested stock is sourced from a planning/list quantity; stock on hand was not stated in the source files and remains blank.</x:v>
      </x:c>
    </x:row>
    <x:row r="22">
      <x:c r="A22" s="15" t="str">
        <x:v>consumable</x:v>
      </x:c>
      <x:c r="B22" s="15" t="str">
        <x:v>Nitrogênio líquido (21600 litros)</x:v>
      </x:c>
      <x:c r="C22" s="15"/>
      <x:c r="D22" s="15" t="str">
        <x:v>General laboratory</x:v>
      </x:c>
      <x:c r="E22" s="50" t="n">
        <x:v>21600</x:v>
      </x:c>
      <x:c r="F22" s="50" t="str">
        <x:v>unit</x:v>
      </x:c>
      <x:c r="G22" s="50"/>
      <x:c r="H22" s="50" t="n">
        <x:v>4320</x:v>
      </x:c>
      <x:c r="I22" s="50" t="n">
        <x:v>14</x:v>
      </x:c>
      <x:c r="J22" s="50" t="str">
        <x:v>BRL</x:v>
      </x:c>
      <x:c r="K22" s="15"/>
      <x:c r="L22" s="15"/>
      <x:c r="M22" s="15" t="str">
        <x:v>USP LESTE PETROBRAS 2024_RFL_CMC_SC.xlsx</x:v>
      </x:c>
      <x:c r="N22" s="15" t="str">
        <x:v>Importação direta</x:v>
      </x:c>
      <x:c r="O22" s="15" t="str">
        <x:v>available</x:v>
      </x:c>
      <x:c r="P22" s="15" t="str">
        <x:v>name::nitrogenio-liquido-21600-litros</x:v>
      </x:c>
      <x:c r="Q22" s="16" t="n">
        <x:v>1</x:v>
      </x:c>
      <x:c r="R22" s="15" t="str">
        <x:v>Suggested stock is sourced from a planning/list quantity; stock on hand was not stated in the source files and remains blank.</x:v>
      </x:c>
    </x:row>
    <x:row r="23">
      <x:c r="A23" s="15" t="str">
        <x:v>consumable</x:v>
      </x:c>
      <x:c r="B23" s="15" t="str">
        <x:v>Peças de reposição para o contêiner</x:v>
      </x:c>
      <x:c r="C23" s="15"/>
      <x:c r="D23" s="15" t="str">
        <x:v>Kiel IV</x:v>
      </x:c>
      <x:c r="E23" s="50" t="n">
        <x:v>1</x:v>
      </x:c>
      <x:c r="F23" s="50" t="str">
        <x:v>unit</x:v>
      </x:c>
      <x:c r="G23" s="50"/>
      <x:c r="H23" s="50" t="n">
        <x:v>1</x:v>
      </x:c>
      <x:c r="I23" s="50" t="n">
        <x:v>20700</x:v>
      </x:c>
      <x:c r="J23" s="50" t="str">
        <x:v>BRL</x:v>
      </x:c>
      <x:c r="K23" s="15"/>
      <x:c r="L23" s="15"/>
      <x:c r="M23" s="15" t="str">
        <x:v>USP LESTE PETROBRAS 2024_RFL_CMC_SC.xlsx</x:v>
      </x:c>
      <x:c r="N23" s="15" t="str">
        <x:v>Importação direta</x:v>
      </x:c>
      <x:c r="O23" s="15" t="str">
        <x:v>available</x:v>
      </x:c>
      <x:c r="P23" s="15" t="str">
        <x:v>name::pecas-de-reposicao-para-o-conteiner</x:v>
      </x:c>
      <x:c r="Q23" s="16" t="n">
        <x:v>1</x:v>
      </x:c>
      <x:c r="R23" s="15" t="str">
        <x:v>Suggested stock is sourced from a planning/list quantity; stock on hand was not stated in the source files and remains blank.</x:v>
      </x:c>
    </x:row>
    <x:row r="24">
      <x:c r="A24" s="15" t="str">
        <x:v>consumable</x:v>
      </x:c>
      <x:c r="B24" s="15" t="str">
        <x:v>Peptone</x:v>
      </x:c>
      <x:c r="C24" s="15" t="str">
        <x:v>91249-500G</x:v>
      </x:c>
      <x:c r="D24" s="15" t="str">
        <x:v>General laboratory</x:v>
      </x:c>
      <x:c r="E24" s="50" t="n">
        <x:v>500</x:v>
      </x:c>
      <x:c r="F24" s="50" t="str">
        <x:v>g</x:v>
      </x:c>
      <x:c r="G24" s="50"/>
      <x:c r="H24" s="50" t="n">
        <x:v>100</x:v>
      </x:c>
      <x:c r="I24" s="50"/>
      <x:c r="J24" s="50" t="str">
        <x:v>BRL</x:v>
      </x:c>
      <x:c r="K24" s="15" t="str">
        <x:v>Merck / Sigma-Aldrich</x:v>
      </x:c>
      <x:c r="L24" s="15" t="str">
        <x:v>https://www.sigmaaldrich.com/BR/pt/search/peptona?focus=products&amp;page=1&amp;perPage=30&amp;sort=relevance&amp;term=peptona&amp;type=product</x:v>
      </x:c>
      <x:c r="M24" s="15" t="str">
        <x:v>Lista material laboratorio P2L.csv</x:v>
      </x:c>
      <x:c r="N24" s="15"/>
      <x:c r="O24" s="15" t="str">
        <x:v>available</x:v>
      </x:c>
      <x:c r="P24" s="15" t="str">
        <x:v>pn::91249500g</x:v>
      </x:c>
      <x:c r="Q24" s="16" t="n">
        <x:v>1</x:v>
      </x:c>
      <x:c r="R24" s="15" t="str">
        <x:v>Suggested stock is sourced from a planning/list quantity; stock on hand was not stated in the source files and remains blank.</x:v>
      </x:c>
    </x:row>
    <x:row r="25">
      <x:c r="A25" s="15" t="str">
        <x:v>consumable</x:v>
      </x:c>
      <x:c r="B25" s="15" t="str">
        <x:v>Phosphoric acid puriss. p.a., crystallized, ≥99.0% (T)</x:v>
      </x:c>
      <x:c r="C25" s="15" t="str">
        <x:v>79622-500G</x:v>
      </x:c>
      <x:c r="D25" s="15" t="str">
        <x:v>General laboratory</x:v>
      </x:c>
      <x:c r="E25" s="50" t="n">
        <x:v>500</x:v>
      </x:c>
      <x:c r="F25" s="50" t="str">
        <x:v>g</x:v>
      </x:c>
      <x:c r="G25" s="50"/>
      <x:c r="H25" s="50" t="n">
        <x:v>100</x:v>
      </x:c>
      <x:c r="I25" s="50" t="n">
        <x:v>506</x:v>
      </x:c>
      <x:c r="J25" s="50" t="str">
        <x:v>BRL</x:v>
      </x:c>
      <x:c r="K25" s="15" t="str">
        <x:v>Merck / Sigma-Aldrich</x:v>
      </x:c>
      <x:c r="L25" s="15" t="str">
        <x:v>https://www.sigmaaldrich.com/BR/pt/product/sigald/79622?context=product</x:v>
      </x:c>
      <x:c r="M25" s="15" t="str">
        <x:v>Lista material laboratorio P2L.csv</x:v>
      </x:c>
      <x:c r="N25" s="15"/>
      <x:c r="O25" s="15" t="str">
        <x:v>available</x:v>
      </x:c>
      <x:c r="P25" s="15" t="str">
        <x:v>pn::79622500g</x:v>
      </x:c>
      <x:c r="Q25" s="16" t="n">
        <x:v>2</x:v>
      </x:c>
      <x:c r="R25" s="15" t="str">
        <x:v>Suggested stock is sourced from a planning/list quantity; stock on hand was not stated in the source files and remains blank.</x:v>
      </x:c>
    </x:row>
    <x:row r="26">
      <x:c r="A26" s="15" t="str">
        <x:v>consumable</x:v>
      </x:c>
      <x:c r="B26" s="15" t="str">
        <x:v>Phosphorus pentoxide</x:v>
      </x:c>
      <x:c r="C26" s="15" t="str">
        <x:v>214701-500G</x:v>
      </x:c>
      <x:c r="D26" s="15" t="str">
        <x:v>General laboratory</x:v>
      </x:c>
      <x:c r="E26" s="50" t="n">
        <x:v>6</x:v>
      </x:c>
      <x:c r="F26" s="50" t="str">
        <x:v>unit</x:v>
      </x:c>
      <x:c r="G26" s="50"/>
      <x:c r="H26" s="50" t="n">
        <x:v>2</x:v>
      </x:c>
      <x:c r="I26" s="50" t="n">
        <x:v>544</x:v>
      </x:c>
      <x:c r="J26" s="50" t="str">
        <x:v>BRL</x:v>
      </x:c>
      <x:c r="K26" s="15"/>
      <x:c r="L26" s="15"/>
      <x:c r="M26" s="15" t="str">
        <x:v>USP LESTE PETROBRAS 2024_RFL_CMC_SC.xlsx</x:v>
      </x:c>
      <x:c r="N26" s="15" t="str">
        <x:v>Importação direta</x:v>
      </x:c>
      <x:c r="O26" s="15" t="str">
        <x:v>available</x:v>
      </x:c>
      <x:c r="P26" s="15" t="str">
        <x:v>pn::214701500g</x:v>
      </x:c>
      <x:c r="Q26" s="16" t="n">
        <x:v>1</x:v>
      </x:c>
      <x:c r="R26" s="15" t="str">
        <x:v>Suggested stock is sourced from a planning/list quantity; stock on hand was not stated in the source files and remains blank.</x:v>
      </x:c>
    </x:row>
    <x:row r="27">
      <x:c r="A27" s="15" t="str">
        <x:v>consumable</x:v>
      </x:c>
      <x:c r="B27" s="15" t="str">
        <x:v>Refil para Maçarico Gás Mapp 400g</x:v>
      </x:c>
      <x:c r="C27" s="15" t="str">
        <x:v>ROTHENBERGER-R35539</x:v>
      </x:c>
      <x:c r="D27" s="15" t="str">
        <x:v>General laboratory</x:v>
      </x:c>
      <x:c r="E27" s="50" t="n">
        <x:v>5</x:v>
      </x:c>
      <x:c r="F27" s="50"/>
      <x:c r="G27" s="50"/>
      <x:c r="H27" s="50" t="n">
        <x:v>1</x:v>
      </x:c>
      <x:c r="I27" s="50"/>
      <x:c r="J27" s="50" t="str">
        <x:v>BRL</x:v>
      </x:c>
      <x:c r="K27" s="15" t="str">
        <x:v>Loja do Mecânico</x:v>
      </x:c>
      <x:c r="L27" s="15" t="str">
        <x:v>https://www.lojadomecanico.com.br/produto/177797/21/774/refil-para-macarico-gas-mapp-400g-rothenberger-r35539</x:v>
      </x:c>
      <x:c r="M27" s="15" t="str">
        <x:v>Spares and consumable main list.xlsx</x:v>
      </x:c>
      <x:c r="N27" s="15" t="str">
        <x:v>Sheet1</x:v>
      </x:c>
      <x:c r="O27" s="15" t="str">
        <x:v>available</x:v>
      </x:c>
      <x:c r="P27" s="15" t="str">
        <x:v>pn::rothenbergerr35539</x:v>
      </x:c>
      <x:c r="Q27" s="16" t="n">
        <x:v>2</x:v>
      </x:c>
      <x:c r="R27" s="15" t="str">
        <x:v>Suggested stock is sourced from a planning/list quantity; stock on hand was not stated in the source files and remains blank.</x:v>
      </x:c>
    </x:row>
    <x:row r="28">
      <x:c r="A28" s="15" t="str">
        <x:v>consumable</x:v>
      </x:c>
      <x:c r="B28" s="15" t="str">
        <x:v>SAMPLE VIAL KS 19/9- 50 LG</x:v>
      </x:c>
      <x:c r="C28" s="15" t="str">
        <x:v>BRE0000957</x:v>
      </x:c>
      <x:c r="D28" s="15" t="str">
        <x:v>General laboratory</x:v>
      </x:c>
      <x:c r="E28" s="50" t="n">
        <x:v>50</x:v>
      </x:c>
      <x:c r="F28" s="50"/>
      <x:c r="G28" s="50"/>
      <x:c r="H28" s="50" t="n">
        <x:v>10</x:v>
      </x:c>
      <x:c r="I28" s="50" t="n">
        <x:v>1528.42</x:v>
      </x:c>
      <x:c r="J28" s="50" t="str">
        <x:v>EUR</x:v>
      </x:c>
      <x:c r="K28" s="15" t="str">
        <x:v>SENS Representações Comerciais Ltda.</x:v>
      </x:c>
      <x:c r="L28" s="15" t="str">
        <x:v>SENS</x:v>
      </x:c>
      <x:c r="M28" s="15" t="str">
        <x:v>Spares and consumable main list.xlsx</x:v>
      </x:c>
      <x:c r="N28" s="15" t="str">
        <x:v>Sheet1</x:v>
      </x:c>
      <x:c r="O28" s="15" t="str">
        <x:v>available</x:v>
      </x:c>
      <x:c r="P28" s="15" t="str">
        <x:v>pn::bre0000957</x:v>
      </x:c>
      <x:c r="Q28" s="16" t="n">
        <x:v>4</x:v>
      </x:c>
      <x:c r="R28" s="15" t="str">
        <x:v>Suggested stock is sourced from a planning/list quantity; stock on hand was not stated in the source files and remains blank.</x:v>
      </x:c>
    </x:row>
    <x:row r="29">
      <x:c r="A29" s="15" t="str">
        <x:v>consumable</x:v>
      </x:c>
      <x:c r="B29" s="15" t="str">
        <x:v>Silica gel</x:v>
      </x:c>
      <x:c r="C29" s="15" t="str">
        <x:v>QMT00009843811000</x:v>
      </x:c>
      <x:c r="D29" s="15" t="str">
        <x:v>General laboratory</x:v>
      </x:c>
      <x:c r="E29" s="50" t="n">
        <x:v>1</x:v>
      </x:c>
      <x:c r="F29" s="50" t="str">
        <x:v>kg</x:v>
      </x:c>
      <x:c r="G29" s="50"/>
      <x:c r="H29" s="50" t="n">
        <x:v>1</x:v>
      </x:c>
      <x:c r="I29" s="50"/>
      <x:c r="J29" s="50" t="str">
        <x:v>BRL</x:v>
      </x:c>
      <x:c r="K29" s="15" t="str">
        <x:v>Química Moderna</x:v>
      </x:c>
      <x:c r="L29" s="15" t="str">
        <x:v>http://www.quimicamoderna.net.br/?page_id=296&amp;mycart_pid=149</x:v>
      </x:c>
      <x:c r="M29" s="15" t="str">
        <x:v>Lista material laboratorio P2L.csv</x:v>
      </x:c>
      <x:c r="N29" s="15"/>
      <x:c r="O29" s="15" t="str">
        <x:v>available</x:v>
      </x:c>
      <x:c r="P29" s="15" t="str">
        <x:v>pn::qmt00009843811000</x:v>
      </x:c>
      <x:c r="Q29" s="16" t="n">
        <x:v>1</x:v>
      </x:c>
      <x:c r="R29" s="15" t="str">
        <x:v>Suggested stock is sourced from a planning/list quantity; stock on hand was not stated in the source files and remains blank.</x:v>
      </x:c>
    </x:row>
    <x:row r="30">
      <x:c r="A30" s="15" t="str">
        <x:v>consumable</x:v>
      </x:c>
      <x:c r="B30" s="15" t="str">
        <x:v>Silicone 5966 Grey Henkel Henkel</x:v>
      </x:c>
      <x:c r="C30" s="15"/>
      <x:c r="D30" s="15" t="str">
        <x:v>General laboratory</x:v>
      </x:c>
      <x:c r="E30" s="50"/>
      <x:c r="F30" s="50"/>
      <x:c r="G30" s="50"/>
      <x:c r="H30" s="50"/>
      <x:c r="I30" s="50"/>
      <x:c r="J30" s="50" t="str">
        <x:v>BRL</x:v>
      </x:c>
      <x:c r="K30" s="15" t="str">
        <x:v>Elastim</x:v>
      </x:c>
      <x:c r="L30" s="15" t="str">
        <x:v>http://www.elastim.com.br/site/</x:v>
      </x:c>
      <x:c r="M30" s="15" t="str">
        <x:v>Lista material laboratorio P2L.csv</x:v>
      </x:c>
      <x:c r="N30" s="15"/>
      <x:c r="O30" s="15" t="str">
        <x:v>available</x:v>
      </x:c>
      <x:c r="P30" s="15" t="str">
        <x:v>name::silicone-5966-grey-henkel-henkel</x:v>
      </x:c>
      <x:c r="Q30" s="16" t="n">
        <x:v>1</x:v>
      </x:c>
      <x:c r="R30" s="15" t="str">
        <x:v>Suggested stock is sourced from a planning/list quantity; stock on hand was not stated in the source files and remains blank.</x:v>
      </x:c>
    </x:row>
    <x:row r="31">
      <x:c r="A31" s="15" t="str">
        <x:v>consumable</x:v>
      </x:c>
      <x:c r="B31" s="15" t="str">
        <x:v>Stannous chloride (100 g pack)</x:v>
      </x:c>
      <x:c r="C31" s="15" t="str">
        <x:v>208256-100G</x:v>
      </x:c>
      <x:c r="D31" s="15" t="str">
        <x:v>General laboratory</x:v>
      </x:c>
      <x:c r="E31" s="50" t="n">
        <x:v>100</x:v>
      </x:c>
      <x:c r="F31" s="50" t="str">
        <x:v>g</x:v>
      </x:c>
      <x:c r="G31" s="50"/>
      <x:c r="H31" s="50" t="n">
        <x:v>20</x:v>
      </x:c>
      <x:c r="I31" s="50"/>
      <x:c r="J31" s="50" t="str">
        <x:v>BRL</x:v>
      </x:c>
      <x:c r="K31" s="15" t="str">
        <x:v>Merck / Sigma-Aldrich</x:v>
      </x:c>
      <x:c r="L31" s="15" t="str">
        <x:v>https://www.sigmaaldrich.com/BR/pt/substance/tiniichloride189627772998</x:v>
      </x:c>
      <x:c r="M31" s="15" t="str">
        <x:v>Lista material laboratorio P2L.csv</x:v>
      </x:c>
      <x:c r="N31" s="15"/>
      <x:c r="O31" s="15" t="str">
        <x:v>available</x:v>
      </x:c>
      <x:c r="P31" s="15" t="str">
        <x:v>pn::208256100g</x:v>
      </x:c>
      <x:c r="Q31" s="16" t="n">
        <x:v>1</x:v>
      </x:c>
      <x:c r="R31" s="15" t="str">
        <x:v>Suggested stock is sourced from a planning/list quantity; stock on hand was not stated in the source files and remains blank.</x:v>
      </x:c>
    </x:row>
    <x:row r="32">
      <x:c r="A32" s="15" t="str">
        <x:v>consumable</x:v>
      </x:c>
      <x:c r="B32" s="15" t="str">
        <x:v>Stannous chloride (200 g pack)</x:v>
      </x:c>
      <x:c r="C32" s="15" t="str">
        <x:v>208256</x:v>
      </x:c>
      <x:c r="D32" s="15" t="str">
        <x:v>General laboratory</x:v>
      </x:c>
      <x:c r="E32" s="50" t="n">
        <x:v>200</x:v>
      </x:c>
      <x:c r="F32" s="50" t="str">
        <x:v>g</x:v>
      </x:c>
      <x:c r="G32" s="50"/>
      <x:c r="H32" s="50" t="n">
        <x:v>40</x:v>
      </x:c>
      <x:c r="I32" s="50"/>
      <x:c r="J32" s="50" t="str">
        <x:v>BRL</x:v>
      </x:c>
      <x:c r="K32" s="15" t="str">
        <x:v>SENS Representações Comerciais Ltda.</x:v>
      </x:c>
      <x:c r="L32" s="15"/>
      <x:c r="M32" s="15" t="str">
        <x:v>Spares and consumable main list.xlsx</x:v>
      </x:c>
      <x:c r="N32" s="15" t="str">
        <x:v>Sheet1</x:v>
      </x:c>
      <x:c r="O32" s="15" t="str">
        <x:v>available</x:v>
      </x:c>
      <x:c r="P32" s="15" t="str">
        <x:v>pn::208256</x:v>
      </x:c>
      <x:c r="Q32" s="16" t="n">
        <x:v>1</x:v>
      </x:c>
      <x:c r="R32" s="15" t="str">
        <x:v>Suggested stock is sourced from a planning/list quantity; stock on hand was not stated in the source files and remains blank.</x:v>
      </x:c>
    </x:row>
    <x:row r="33">
      <x:c r="A33" s="15" t="str">
        <x:v>consumable</x:v>
      </x:c>
      <x:c r="B33" s="15" t="str">
        <x:v>Sulfato de calcio</x:v>
      </x:c>
      <x:c r="C33" s="15" t="str">
        <x:v>00S1052.13.AM</x:v>
      </x:c>
      <x:c r="D33" s="15" t="str">
        <x:v>General laboratory</x:v>
      </x:c>
      <x:c r="E33" s="50" t="n">
        <x:v>1</x:v>
      </x:c>
      <x:c r="F33" s="50" t="str">
        <x:v>kg</x:v>
      </x:c>
      <x:c r="G33" s="50"/>
      <x:c r="H33" s="50" t="n">
        <x:v>1</x:v>
      </x:c>
      <x:c r="I33" s="50"/>
      <x:c r="J33" s="50" t="str">
        <x:v>BRL</x:v>
      </x:c>
      <x:c r="K33" s="15" t="str">
        <x:v>Labsynth Produtos para Laboratórios Ltda.</x:v>
      </x:c>
      <x:c r="L33" s="15" t="str">
        <x:v>https://www.labsynth.com.br/produtos.php?pag=reagentes&amp;seletor=produto&amp;pesquisa=sulfato+de+calcio&amp;busca_reagentes=Submit+Query</x:v>
      </x:c>
      <x:c r="M33" s="15" t="str">
        <x:v>Lista material laboratorio P2L.csv</x:v>
      </x:c>
      <x:c r="N33" s="15"/>
      <x:c r="O33" s="15" t="str">
        <x:v>available</x:v>
      </x:c>
      <x:c r="P33" s="15" t="str">
        <x:v>pn::00s105213am</x:v>
      </x:c>
      <x:c r="Q33" s="16" t="n">
        <x:v>1</x:v>
      </x:c>
      <x:c r="R33" s="15" t="str">
        <x:v>Suggested stock is sourced from a planning/list quantity; stock on hand was not stated in the source files and remains blank.</x:v>
      </x:c>
    </x:row>
    <x:row r="34">
      <x:c r="A34" s="15" t="str">
        <x:v>consumable</x:v>
      </x:c>
      <x:c r="B34" s="15" t="str">
        <x:v>Sulphamic acid</x:v>
      </x:c>
      <x:c r="C34" s="15" t="str">
        <x:v>86040-500G</x:v>
      </x:c>
      <x:c r="D34" s="15" t="str">
        <x:v>General laboratory</x:v>
      </x:c>
      <x:c r="E34" s="50" t="n">
        <x:v>500</x:v>
      </x:c>
      <x:c r="F34" s="50" t="str">
        <x:v>g</x:v>
      </x:c>
      <x:c r="G34" s="50"/>
      <x:c r="H34" s="50" t="n">
        <x:v>100</x:v>
      </x:c>
      <x:c r="I34" s="50"/>
      <x:c r="J34" s="50" t="str">
        <x:v>BRL</x:v>
      </x:c>
      <x:c r="K34" s="15" t="str">
        <x:v>Merck / Sigma-Aldrich</x:v>
      </x:c>
      <x:c r="L34" s="15" t="str">
        <x:v>https://www.sigmaaldrich.com/BR/pt/product/sial/86040</x:v>
      </x:c>
      <x:c r="M34" s="15" t="str">
        <x:v>Lista material laboratorio P2L.csv</x:v>
      </x:c>
      <x:c r="N34" s="15"/>
      <x:c r="O34" s="15" t="str">
        <x:v>available</x:v>
      </x:c>
      <x:c r="P34" s="15" t="str">
        <x:v>pn::86040500g</x:v>
      </x:c>
      <x:c r="Q34" s="16" t="n">
        <x:v>1</x:v>
      </x:c>
      <x:c r="R34" s="15" t="str">
        <x:v>Suggested stock is sourced from a planning/list quantity; stock on hand was not stated in the source files and remains blank.</x:v>
      </x:c>
    </x:row>
    <x:row r="35">
      <x:c r="A35" s="15" t="str">
        <x:v>consumable</x:v>
      </x:c>
      <x:c r="B35" s="15" t="str">
        <x:v>Sulphuric acid 99% (100 mL pack)</x:v>
      </x:c>
      <x:c r="C35" s="15" t="str">
        <x:v>339741-100ML</x:v>
      </x:c>
      <x:c r="D35" s="15" t="str">
        <x:v>General laboratory</x:v>
      </x:c>
      <x:c r="E35" s="50" t="n">
        <x:v>100</x:v>
      </x:c>
      <x:c r="F35" s="50" t="str">
        <x:v>mL</x:v>
      </x:c>
      <x:c r="G35" s="50"/>
      <x:c r="H35" s="50" t="n">
        <x:v>20</x:v>
      </x:c>
      <x:c r="I35" s="50"/>
      <x:c r="J35" s="50" t="str">
        <x:v>BRL</x:v>
      </x:c>
      <x:c r="K35" s="15" t="str">
        <x:v>Merck / Sigma-Aldrich</x:v>
      </x:c>
      <x:c r="L35" s="15" t="str">
        <x:v>https://www.sigmaaldrich.com/BR/pt/product/aldrich/339741</x:v>
      </x:c>
      <x:c r="M35" s="15" t="str">
        <x:v>Lista material laboratorio P2L.csv</x:v>
      </x:c>
      <x:c r="N35" s="15"/>
      <x:c r="O35" s="15" t="str">
        <x:v>available</x:v>
      </x:c>
      <x:c r="P35" s="15" t="str">
        <x:v>pn::339741100ml</x:v>
      </x:c>
      <x:c r="Q35" s="16" t="n">
        <x:v>1</x:v>
      </x:c>
      <x:c r="R35" s="15" t="str">
        <x:v>Suggested stock is sourced from a planning/list quantity; stock on hand was not stated in the source files and remains blank.</x:v>
      </x:c>
    </x:row>
    <x:row r="36">
      <x:c r="A36" s="15" t="str">
        <x:v>consumable</x:v>
      </x:c>
      <x:c r="B36" s="15" t="str">
        <x:v>Sulphuric acid 99% (200 mL pack)</x:v>
      </x:c>
      <x:c r="C36" s="15" t="str">
        <x:v>339741</x:v>
      </x:c>
      <x:c r="D36" s="15" t="str">
        <x:v>General laboratory</x:v>
      </x:c>
      <x:c r="E36" s="50" t="n">
        <x:v>200</x:v>
      </x:c>
      <x:c r="F36" s="50" t="str">
        <x:v>mL</x:v>
      </x:c>
      <x:c r="G36" s="50"/>
      <x:c r="H36" s="50" t="n">
        <x:v>40</x:v>
      </x:c>
      <x:c r="I36" s="50"/>
      <x:c r="J36" s="50" t="str">
        <x:v>BRL</x:v>
      </x:c>
      <x:c r="K36" s="15" t="str">
        <x:v>SENS Representações Comerciais Ltda.</x:v>
      </x:c>
      <x:c r="L36" s="15"/>
      <x:c r="M36" s="15" t="str">
        <x:v>Spares and consumable main list.xlsx</x:v>
      </x:c>
      <x:c r="N36" s="15" t="str">
        <x:v>Sheet1</x:v>
      </x:c>
      <x:c r="O36" s="15" t="str">
        <x:v>available</x:v>
      </x:c>
      <x:c r="P36" s="15" t="str">
        <x:v>pn::339741</x:v>
      </x:c>
      <x:c r="Q36" s="16" t="n">
        <x:v>1</x:v>
      </x:c>
      <x:c r="R36" s="15" t="str">
        <x:v>Suggested stock is sourced from a planning/list quantity; stock on hand was not stated in the source files and remains blank.</x:v>
      </x:c>
    </x:row>
    <x:row r="37">
      <x:c r="A37" s="15" t="str">
        <x:v>consumable</x:v>
      </x:c>
      <x:c r="B37" s="15" t="str">
        <x:v>Tin (Sn) (100 g pack)</x:v>
      </x:c>
      <x:c r="C37" s="15" t="str">
        <x:v>265640-100G</x:v>
      </x:c>
      <x:c r="D37" s="15" t="str">
        <x:v>General laboratory</x:v>
      </x:c>
      <x:c r="E37" s="50" t="n">
        <x:v>100</x:v>
      </x:c>
      <x:c r="F37" s="50" t="str">
        <x:v>g</x:v>
      </x:c>
      <x:c r="G37" s="50"/>
      <x:c r="H37" s="50" t="n">
        <x:v>20</x:v>
      </x:c>
      <x:c r="I37" s="50"/>
      <x:c r="J37" s="50" t="str">
        <x:v>BRL</x:v>
      </x:c>
      <x:c r="K37" s="15" t="str">
        <x:v>Merck / Sigma-Aldrich</x:v>
      </x:c>
      <x:c r="L37" s="15" t="str">
        <x:v>https://www.sigmaaldrich.com/BR/pt/product/aldrich/265640</x:v>
      </x:c>
      <x:c r="M37" s="15" t="str">
        <x:v>Lista material laboratorio P2L.csv</x:v>
      </x:c>
      <x:c r="N37" s="15"/>
      <x:c r="O37" s="15" t="str">
        <x:v>available</x:v>
      </x:c>
      <x:c r="P37" s="15" t="str">
        <x:v>pn::265640100g</x:v>
      </x:c>
      <x:c r="Q37" s="16" t="n">
        <x:v>1</x:v>
      </x:c>
      <x:c r="R37" s="15" t="str">
        <x:v>Suggested stock is sourced from a planning/list quantity; stock on hand was not stated in the source files and remains blank.</x:v>
      </x:c>
    </x:row>
    <x:row r="38">
      <x:c r="A38" s="15" t="str">
        <x:v>consumable</x:v>
      </x:c>
      <x:c r="B38" s="15" t="str">
        <x:v>Tin (Sn) (200 g pack)</x:v>
      </x:c>
      <x:c r="C38" s="15" t="str">
        <x:v>265640</x:v>
      </x:c>
      <x:c r="D38" s="15" t="str">
        <x:v>General laboratory</x:v>
      </x:c>
      <x:c r="E38" s="50" t="n">
        <x:v>200</x:v>
      </x:c>
      <x:c r="F38" s="50" t="str">
        <x:v>g</x:v>
      </x:c>
      <x:c r="G38" s="50"/>
      <x:c r="H38" s="50" t="n">
        <x:v>40</x:v>
      </x:c>
      <x:c r="I38" s="50"/>
      <x:c r="J38" s="50" t="str">
        <x:v>BRL</x:v>
      </x:c>
      <x:c r="K38" s="15" t="str">
        <x:v>SENS Representações Comerciais Ltda.</x:v>
      </x:c>
      <x:c r="L38" s="15"/>
      <x:c r="M38" s="15" t="str">
        <x:v>Spares and consumable main list.xlsx</x:v>
      </x:c>
      <x:c r="N38" s="15" t="str">
        <x:v>Sheet1</x:v>
      </x:c>
      <x:c r="O38" s="15" t="str">
        <x:v>available</x:v>
      </x:c>
      <x:c r="P38" s="15" t="str">
        <x:v>pn::265640</x:v>
      </x:c>
      <x:c r="Q38" s="16" t="n">
        <x:v>1</x:v>
      </x:c>
      <x:c r="R38" s="15" t="str">
        <x:v>Suggested stock is sourced from a planning/list quantity; stock on hand was not stated in the source files and remains blank.</x:v>
      </x:c>
    </x:row>
    <x:row r="39">
      <x:c r="A39" s="15" t="str">
        <x:v>consumable</x:v>
      </x:c>
      <x:c r="B39" s="15" t="str">
        <x:v>TRAPPING VOLUME /double layer</x:v>
      </x:c>
      <x:c r="C39" s="15" t="str">
        <x:v>1007740</x:v>
      </x:c>
      <x:c r="D39" s="15" t="str">
        <x:v>Kiel IV</x:v>
      </x:c>
      <x:c r="E39" s="50" t="n">
        <x:v>2</x:v>
      </x:c>
      <x:c r="F39" s="50" t="str">
        <x:v>unit</x:v>
      </x:c>
      <x:c r="G39" s="50"/>
      <x:c r="H39" s="50" t="n">
        <x:v>1</x:v>
      </x:c>
      <x:c r="I39" s="50" t="n">
        <x:v>2505.12</x:v>
      </x:c>
      <x:c r="J39" s="50" t="str">
        <x:v>EUR</x:v>
      </x:c>
      <x:c r="K39" s="15" t="str">
        <x:v>SENS Representações Comerciais Ltda.</x:v>
      </x:c>
      <x:c r="L39" s="15"/>
      <x:c r="M39" s="15" t="str">
        <x:v>USP LESTE PETROBRAS 2024_RFL_CMC_SC.xlsx</x:v>
      </x:c>
      <x:c r="N39" s="15" t="str">
        <x:v>Importação direta</x:v>
      </x:c>
      <x:c r="O39" s="15" t="str">
        <x:v>available</x:v>
      </x:c>
      <x:c r="P39" s="15" t="str">
        <x:v>pn::1007740</x:v>
      </x:c>
      <x:c r="Q39" s="16" t="n">
        <x:v>1</x:v>
      </x:c>
      <x:c r="R39" s="15" t="str">
        <x:v>Suggested stock is sourced from a planning/list quantity; stock on hand was not stated in the source files and remains blank.</x:v>
      </x:c>
    </x:row>
    <x:row r="40">
      <x:c r="A40" s="15" t="str">
        <x:v>consumable</x:v>
      </x:c>
      <x:c r="B40" s="15" t="str">
        <x:v>TUBE PEEK 1/16 ""(/)X0.04""(/)</x:v>
      </x:c>
      <x:c r="C40" s="15" t="str">
        <x:v>1097570</x:v>
      </x:c>
      <x:c r="D40" s="15" t="str">
        <x:v>General laboratory</x:v>
      </x:c>
      <x:c r="E40" s="50" t="n">
        <x:v>2</x:v>
      </x:c>
      <x:c r="F40" s="50"/>
      <x:c r="G40" s="50"/>
      <x:c r="H40" s="50" t="n">
        <x:v>1</x:v>
      </x:c>
      <x:c r="I40" s="50" t="n">
        <x:v>23.13</x:v>
      </x:c>
      <x:c r="J40" s="50" t="str">
        <x:v>EUR</x:v>
      </x:c>
      <x:c r="K40" s="15" t="str">
        <x:v>SENS Representações Comerciais Ltda.</x:v>
      </x:c>
      <x:c r="L40" s="15"/>
      <x:c r="M40" s="15" t="str">
        <x:v>Spares and consumable main list.xlsx</x:v>
      </x:c>
      <x:c r="N40" s="15" t="str">
        <x:v>Sheet1</x:v>
      </x:c>
      <x:c r="O40" s="15" t="str">
        <x:v>available</x:v>
      </x:c>
      <x:c r="P40" s="15" t="str">
        <x:v>pn::1097570</x:v>
      </x:c>
      <x:c r="Q40" s="16" t="n">
        <x:v>3</x:v>
      </x:c>
      <x:c r="R40" s="15" t="str">
        <x:v>Suggested stock is sourced from a planning/list quantity; stock on hand was not stated in the source files and remains blank.</x:v>
      </x:c>
    </x:row>
    <x:row r="41">
      <x:c r="A41" s="15" t="str">
        <x:v>consumable</x:v>
      </x:c>
      <x:c r="B41" s="15" t="str">
        <x:v>TUBE QUARTZ 4X2X23</x:v>
      </x:c>
      <x:c r="C41" s="15" t="str">
        <x:v>783900</x:v>
      </x:c>
      <x:c r="D41" s="15" t="str">
        <x:v>General laboratory</x:v>
      </x:c>
      <x:c r="E41" s="50" t="n">
        <x:v>2</x:v>
      </x:c>
      <x:c r="F41" s="50" t="str">
        <x:v>unit</x:v>
      </x:c>
      <x:c r="G41" s="50"/>
      <x:c r="H41" s="50" t="n">
        <x:v>1</x:v>
      </x:c>
      <x:c r="I41" s="50" t="n">
        <x:v>79.66</x:v>
      </x:c>
      <x:c r="J41" s="50" t="str">
        <x:v>EUR</x:v>
      </x:c>
      <x:c r="K41" s="15" t="str">
        <x:v>SENS Representações Comerciais Ltda.</x:v>
      </x:c>
      <x:c r="L41" s="15"/>
      <x:c r="M41" s="15" t="str">
        <x:v>Spares and consumable main list.xlsx</x:v>
      </x:c>
      <x:c r="N41" s="15" t="str">
        <x:v>Sheet1</x:v>
      </x:c>
      <x:c r="O41" s="15" t="str">
        <x:v>available</x:v>
      </x:c>
      <x:c r="P41" s="15" t="str">
        <x:v>pn::783900</x:v>
      </x:c>
      <x:c r="Q41" s="16" t="n">
        <x:v>4</x:v>
      </x:c>
      <x:c r="R41" s="15" t="str">
        <x:v>Suggested stock is sourced from a planning/list quantity; stock on hand was not stated in the source files and remains blank.</x:v>
      </x:c>
    </x:row>
    <x:row r="42">
      <x:c r="A42" s="15" t="str">
        <x:v>consumable</x:v>
      </x:c>
      <x:c r="B42" s="15" t="str">
        <x:v>TUBO PU 4,0 X 2,5 AZUL</x:v>
      </x:c>
      <x:c r="C42" s="15" t="str">
        <x:v>64140014</x:v>
      </x:c>
      <x:c r="D42" s="15" t="str">
        <x:v>General laboratory</x:v>
      </x:c>
      <x:c r="E42" s="50" t="n">
        <x:v>5</x:v>
      </x:c>
      <x:c r="F42" s="50" t="str">
        <x:v>m</x:v>
      </x:c>
      <x:c r="G42" s="50"/>
      <x:c r="H42" s="50" t="n">
        <x:v>1</x:v>
      </x:c>
      <x:c r="I42" s="50"/>
      <x:c r="J42" s="50" t="str">
        <x:v>BRL</x:v>
      </x:c>
      <x:c r="K42" s="15" t="str">
        <x:v>Elastim</x:v>
      </x:c>
      <x:c r="L42" s="15" t="str">
        <x:v>http://www.elastim.com.br/site/</x:v>
      </x:c>
      <x:c r="M42" s="15" t="str">
        <x:v>Lista material laboratorio P2L.csv</x:v>
      </x:c>
      <x:c r="N42" s="15"/>
      <x:c r="O42" s="15" t="str">
        <x:v>available</x:v>
      </x:c>
      <x:c r="P42" s="15" t="str">
        <x:v>pn::64140014</x:v>
      </x:c>
      <x:c r="Q42" s="16" t="n">
        <x:v>1</x:v>
      </x:c>
      <x:c r="R42" s="15" t="str">
        <x:v>Suggested stock is sourced from a planning/list quantity; stock on hand was not stated in the source files and remains blank.</x:v>
      </x:c>
    </x:row>
    <x:row r="43">
      <x:c r="A43" s="15" t="str">
        <x:v>consumable</x:v>
      </x:c>
      <x:c r="B43" s="15" t="str">
        <x:v>TUBO PU 6,0 X 4,0 AZUL</x:v>
      </x:c>
      <x:c r="C43" s="15" t="str">
        <x:v>64140002</x:v>
      </x:c>
      <x:c r="D43" s="15" t="str">
        <x:v>General laboratory</x:v>
      </x:c>
      <x:c r="E43" s="50" t="n">
        <x:v>5</x:v>
      </x:c>
      <x:c r="F43" s="50" t="str">
        <x:v>m</x:v>
      </x:c>
      <x:c r="G43" s="50"/>
      <x:c r="H43" s="50" t="n">
        <x:v>1</x:v>
      </x:c>
      <x:c r="I43" s="50"/>
      <x:c r="J43" s="50" t="str">
        <x:v>BRL</x:v>
      </x:c>
      <x:c r="K43" s="15" t="str">
        <x:v>Elastim</x:v>
      </x:c>
      <x:c r="L43" s="15" t="str">
        <x:v>http://www.elastim.com.br/site/</x:v>
      </x:c>
      <x:c r="M43" s="15" t="str">
        <x:v>Lista material laboratorio P2L.csv</x:v>
      </x:c>
      <x:c r="N43" s="15"/>
      <x:c r="O43" s="15" t="str">
        <x:v>available</x:v>
      </x:c>
      <x:c r="P43" s="15" t="str">
        <x:v>pn::64140002</x:v>
      </x:c>
      <x:c r="Q43" s="16" t="n">
        <x:v>1</x:v>
      </x:c>
      <x:c r="R43" s="15" t="str">
        <x:v>Suggested stock is sourced from a planning/list quantity; stock on hand was not stated in the source files and remains blank.</x:v>
      </x:c>
    </x:row>
    <x:row r="44">
      <x:c r="A44" s="15" t="str">
        <x:v>consumable</x:v>
      </x:c>
      <x:c r="B44" s="15" t="str">
        <x:v>Vermiculita</x:v>
      </x:c>
      <x:c r="C44" s="15"/>
      <x:c r="D44" s="15" t="str">
        <x:v>General laboratory</x:v>
      </x:c>
      <x:c r="E44" s="50" t="n">
        <x:v>1</x:v>
      </x:c>
      <x:c r="F44" s="50" t="str">
        <x:v>kg</x:v>
      </x:c>
      <x:c r="G44" s="50"/>
      <x:c r="H44" s="50" t="n">
        <x:v>1</x:v>
      </x:c>
      <x:c r="I44" s="50"/>
      <x:c r="J44" s="50" t="str">
        <x:v>BRL</x:v>
      </x:c>
      <x:c r="K44" s="15"/>
      <x:c r="L44" s="15" t="str">
        <x:v>Distribuicao local em geral</x:v>
      </x:c>
      <x:c r="M44" s="15" t="str">
        <x:v>Lista material laboratorio P2L.csv</x:v>
      </x:c>
      <x:c r="N44" s="15"/>
      <x:c r="O44" s="15" t="str">
        <x:v>available</x:v>
      </x:c>
      <x:c r="P44" s="15" t="str">
        <x:v>name::vermiculita</x:v>
      </x:c>
      <x:c r="Q44" s="16" t="n">
        <x:v>1</x:v>
      </x:c>
      <x:c r="R44" s="15" t="str">
        <x:v>Suggested stock is sourced from a planning/list quantity; stock on hand was not stated in the source files and remains blank.</x:v>
      </x:c>
    </x:row>
    <x:row r="45">
      <x:c r="A45" s="15" t="str">
        <x:v>equipment</x:v>
      </x:c>
      <x:c r="B45" s="15" t="str">
        <x:v>Additional sample magazine (48)</x:v>
      </x:c>
      <x:c r="C45" s="15" t="str">
        <x:v>673490</x:v>
      </x:c>
      <x:c r="D45" s="15" t="str">
        <x:v>General laboratory</x:v>
      </x:c>
      <x:c r="E45" s="50" t="n">
        <x:v>1</x:v>
      </x:c>
      <x:c r="F45" s="50" t="str">
        <x:v>unit</x:v>
      </x:c>
      <x:c r="G45" s="50"/>
      <x:c r="H45" s="50"/>
      <x:c r="I45" s="50" t="n">
        <x:v>3525.86</x:v>
      </x:c>
      <x:c r="J45" s="50" t="str">
        <x:v>EUR</x:v>
      </x:c>
      <x:c r="K45" s="15" t="str">
        <x:v>SENS Representações Comerciais Ltda.</x:v>
      </x:c>
      <x:c r="L45" s="15"/>
      <x:c r="M45" s="15" t="str">
        <x:v>SENS administration/21.310-I USP LESTE atualizado.pdf</x:v>
      </x:c>
      <x:c r="N45" s="15"/>
      <x:c r="O45" s="15" t="str">
        <x:v>available</x:v>
      </x:c>
      <x:c r="P45" s="15" t="str">
        <x:v>pn::673490</x:v>
      </x:c>
      <x:c r="Q45" s="16" t="n">
        <x:v>1</x:v>
      </x:c>
      <x:c r="R45" s="15" t="str">
        <x:v>Suggested stock is sourced from a planning/list quantity; stock on hand was not stated in the source files and remains blank.</x:v>
      </x:c>
    </x:row>
    <x:row r="46">
      <x:c r="A46" s="15" t="str">
        <x:v>equipment</x:v>
      </x:c>
      <x:c r="B46" s="15" t="str">
        <x:v>Additional sample magazine including 50 vials</x:v>
      </x:c>
      <x:c r="C46" s="15" t="str">
        <x:v>1281250</x:v>
      </x:c>
      <x:c r="D46" s="15" t="str">
        <x:v>General laboratory</x:v>
      </x:c>
      <x:c r="E46" s="50" t="n">
        <x:v>1</x:v>
      </x:c>
      <x:c r="F46" s="50" t="str">
        <x:v>unit</x:v>
      </x:c>
      <x:c r="G46" s="50"/>
      <x:c r="H46" s="50"/>
      <x:c r="I46" s="50" t="n">
        <x:v>57445.16</x:v>
      </x:c>
      <x:c r="J46" s="50" t="str">
        <x:v>BRL</x:v>
      </x:c>
      <x:c r="K46" s="15" t="str">
        <x:v>SENS Representações Comerciais Ltda.</x:v>
      </x:c>
      <x:c r="L46" s="15"/>
      <x:c r="M46" s="15" t="str">
        <x:v>SENS administration/USP GEO 19.058-P.pdf</x:v>
      </x:c>
      <x:c r="N46" s="15"/>
      <x:c r="O46" s="15" t="str">
        <x:v>available</x:v>
      </x:c>
      <x:c r="P46" s="15" t="str">
        <x:v>pn::1281250</x:v>
      </x:c>
      <x:c r="Q46" s="16" t="n">
        <x:v>1</x:v>
      </x:c>
      <x:c r="R46" s="15" t="str">
        <x:v>Suggested stock is sourced from a planning/list quantity; stock on hand was not stated in the source files and remains blank.</x:v>
      </x:c>
    </x:row>
    <x:row r="47">
      <x:c r="A47" s="15" t="str">
        <x:v>equipment</x:v>
      </x:c>
      <x:c r="B47" s="15" t="str">
        <x:v>ConFlo IV Interface</x:v>
      </x:c>
      <x:c r="C47" s="15"/>
      <x:c r="D47" s="15" t="str">
        <x:v>General laboratory</x:v>
      </x:c>
      <x:c r="E47" s="50" t="n">
        <x:v>1</x:v>
      </x:c>
      <x:c r="F47" s="50" t="str">
        <x:v>unit</x:v>
      </x:c>
      <x:c r="G47" s="50"/>
      <x:c r="H47" s="50"/>
      <x:c r="I47" s="50" t="n">
        <x:v>28695.64</x:v>
      </x:c>
      <x:c r="J47" s="50" t="str">
        <x:v>USD</x:v>
      </x:c>
      <x:c r="K47" s="15" t="str">
        <x:v>SENS Representações Comerciais Ltda.</x:v>
      </x:c>
      <x:c r="L47" s="15"/>
      <x:c r="M47" s="15" t="str">
        <x:v>Thermo vs SENS quotation comparison.xlsx</x:v>
      </x:c>
      <x:c r="N47" s="15" t="str">
        <x:v>Sheet1</x:v>
      </x:c>
      <x:c r="O47" s="15" t="str">
        <x:v>available</x:v>
      </x:c>
      <x:c r="P47" s="15" t="str">
        <x:v>name::conflo-iv-interface</x:v>
      </x:c>
      <x:c r="Q47" s="16" t="n">
        <x:v>1</x:v>
      </x:c>
      <x:c r="R47" s="15" t="str">
        <x:v>Suggested stock is sourced from a planning/list quantity; stock on hand was not stated in the source files and remains blank.</x:v>
      </x:c>
    </x:row>
    <x:row r="48">
      <x:c r="A48" s="15" t="str">
        <x:v>equipment</x:v>
      </x:c>
      <x:c r="B48" s="15" t="str">
        <x:v>COOLING UNIT / Carbonat</x:v>
      </x:c>
      <x:c r="C48" s="15" t="str">
        <x:v>1244100</x:v>
      </x:c>
      <x:c r="D48" s="15" t="str">
        <x:v>Kiel IV</x:v>
      </x:c>
      <x:c r="E48" s="50" t="n">
        <x:v>2</x:v>
      </x:c>
      <x:c r="F48" s="50" t="str">
        <x:v>unit</x:v>
      </x:c>
      <x:c r="G48" s="50"/>
      <x:c r="H48" s="50"/>
      <x:c r="I48" s="50" t="n">
        <x:v>4024.45</x:v>
      </x:c>
      <x:c r="J48" s="50" t="str">
        <x:v>EUR</x:v>
      </x:c>
      <x:c r="K48" s="15" t="str">
        <x:v>SENS Representações Comerciais Ltda.</x:v>
      </x:c>
      <x:c r="L48" s="15"/>
      <x:c r="M48" s="15" t="str">
        <x:v>USP LESTE PETROBRAS 2024_RFL_CMC_SC.xlsx</x:v>
      </x:c>
      <x:c r="N48" s="15" t="str">
        <x:v>Importação direta</x:v>
      </x:c>
      <x:c r="O48" s="15" t="str">
        <x:v>available</x:v>
      </x:c>
      <x:c r="P48" s="15" t="str">
        <x:v>pn::1244100</x:v>
      </x:c>
      <x:c r="Q48" s="16" t="n">
        <x:v>1</x:v>
      </x:c>
      <x:c r="R48" s="15" t="str">
        <x:v>Suggested stock is sourced from a planning/list quantity; stock on hand was not stated in the source files and remains blank.</x:v>
      </x:c>
    </x:row>
    <x:row r="49">
      <x:c r="A49" s="15" t="str">
        <x:v>equipment</x:v>
      </x:c>
      <x:c r="B49" s="15" t="str">
        <x:v>DEL-PCI CONTROLLER</x:v>
      </x:c>
      <x:c r="C49" s="15"/>
      <x:c r="D49" s="15" t="str">
        <x:v>General laboratory</x:v>
      </x:c>
      <x:c r="E49" s="50" t="n">
        <x:v>1</x:v>
      </x:c>
      <x:c r="F49" s="50" t="str">
        <x:v>unit</x:v>
      </x:c>
      <x:c r="G49" s="50"/>
      <x:c r="H49" s="50"/>
      <x:c r="I49" s="50" t="n">
        <x:v>3220</x:v>
      </x:c>
      <x:c r="J49" s="50" t="str">
        <x:v>EUR</x:v>
      </x:c>
      <x:c r="K49" s="15" t="str">
        <x:v>Thermo Fisher Scientific (Bremen) GmbH</x:v>
      </x:c>
      <x:c r="L49" s="15"/>
      <x:c r="M49" s="15" t="str">
        <x:v>Thermo vs SENS quotation comparison.xlsx</x:v>
      </x:c>
      <x:c r="N49" s="15" t="str">
        <x:v>Sheet1</x:v>
      </x:c>
      <x:c r="O49" s="15" t="str">
        <x:v>available</x:v>
      </x:c>
      <x:c r="P49" s="15" t="str">
        <x:v>name::del-pci-controller</x:v>
      </x:c>
      <x:c r="Q49" s="16" t="n">
        <x:v>1</x:v>
      </x:c>
      <x:c r="R49" s="15" t="str">
        <x:v>Suggested stock is sourced from a planning/list quantity; stock on hand was not stated in the source files and remains blank.</x:v>
      </x:c>
    </x:row>
    <x:row r="50">
      <x:c r="A50" s="15" t="str">
        <x:v>equipment</x:v>
      </x:c>
      <x:c r="B50" s="15" t="str">
        <x:v>DELTA Q Mass Spectrometer</x:v>
      </x:c>
      <x:c r="C50" s="15"/>
      <x:c r="D50" s="15" t="str">
        <x:v>IRMS</x:v>
      </x:c>
      <x:c r="E50" s="50" t="n">
        <x:v>1</x:v>
      </x:c>
      <x:c r="F50" s="50" t="str">
        <x:v>unit</x:v>
      </x:c>
      <x:c r="G50" s="50"/>
      <x:c r="H50" s="50"/>
      <x:c r="I50" s="50" t="n">
        <x:v>201705</x:v>
      </x:c>
      <x:c r="J50" s="50" t="str">
        <x:v>USD</x:v>
      </x:c>
      <x:c r="K50" s="15" t="str">
        <x:v>SENS Representações Comerciais Ltda.</x:v>
      </x:c>
      <x:c r="L50" s="15"/>
      <x:c r="M50" s="15" t="str">
        <x:v>Thermo vs SENS quotation comparison.xlsx</x:v>
      </x:c>
      <x:c r="N50" s="15" t="str">
        <x:v>Sheet1</x:v>
      </x:c>
      <x:c r="O50" s="15" t="str">
        <x:v>available</x:v>
      </x:c>
      <x:c r="P50" s="15" t="str">
        <x:v>name::delta-q-mass-spectrometer</x:v>
      </x:c>
      <x:c r="Q50" s="16" t="n">
        <x:v>1</x:v>
      </x:c>
      <x:c r="R50" s="15" t="str">
        <x:v>Suggested stock is sourced from a planning/list quantity; stock on hand was not stated in the source files and remains blank.</x:v>
      </x:c>
    </x:row>
    <x:row r="51">
      <x:c r="A51" s="15" t="str">
        <x:v>equipment</x:v>
      </x:c>
      <x:c r="B51" s="15" t="str">
        <x:v>Dual inlet system for MAT 253 Plus</x:v>
      </x:c>
      <x:c r="C51" s="15" t="str">
        <x:v>1082863</x:v>
      </x:c>
      <x:c r="D51" s="15" t="str">
        <x:v>MAT253 Plus</x:v>
      </x:c>
      <x:c r="E51" s="50" t="n">
        <x:v>1</x:v>
      </x:c>
      <x:c r="F51" s="50" t="str">
        <x:v>unit</x:v>
      </x:c>
      <x:c r="G51" s="50"/>
      <x:c r="H51" s="50"/>
      <x:c r="I51" s="50" t="n">
        <x:v>53329</x:v>
      </x:c>
      <x:c r="J51" s="50" t="str">
        <x:v>EUR</x:v>
      </x:c>
      <x:c r="K51" s="15" t="str">
        <x:v>SENS Representações Comerciais Ltda.</x:v>
      </x:c>
      <x:c r="L51" s="15"/>
      <x:c r="M51" s="15" t="str">
        <x:v>SENS administration/USP_EACH_MAT253_050521.pdf</x:v>
      </x:c>
      <x:c r="N51" s="15"/>
      <x:c r="O51" s="15" t="str">
        <x:v>available</x:v>
      </x:c>
      <x:c r="P51" s="15" t="str">
        <x:v>pn::1082863</x:v>
      </x:c>
      <x:c r="Q51" s="16" t="n">
        <x:v>1</x:v>
      </x:c>
      <x:c r="R51" s="15" t="str">
        <x:v>Suggested stock is sourced from a planning/list quantity; stock on hand was not stated in the source files and remains blank.</x:v>
      </x:c>
    </x:row>
    <x:row r="52">
      <x:c r="A52" s="15" t="str">
        <x:v>equipment</x:v>
      </x:c>
      <x:c r="B52" s="15" t="str">
        <x:v>GC IsoLink II CH+TraceGC1310</x:v>
      </x:c>
      <x:c r="C52" s="15"/>
      <x:c r="D52" s="15" t="str">
        <x:v>General laboratory</x:v>
      </x:c>
      <x:c r="E52" s="50" t="n">
        <x:v>1</x:v>
      </x:c>
      <x:c r="F52" s="50" t="str">
        <x:v>unit</x:v>
      </x:c>
      <x:c r="G52" s="50"/>
      <x:c r="H52" s="50"/>
      <x:c r="I52" s="50" t="n">
        <x:v>83265</x:v>
      </x:c>
      <x:c r="J52" s="50" t="str">
        <x:v>USD</x:v>
      </x:c>
      <x:c r="K52" s="15" t="str">
        <x:v>SENS Representações Comerciais Ltda.</x:v>
      </x:c>
      <x:c r="L52" s="15"/>
      <x:c r="M52" s="15" t="str">
        <x:v>Thermo vs SENS quotation comparison.xlsx</x:v>
      </x:c>
      <x:c r="N52" s="15" t="str">
        <x:v>Sheet1</x:v>
      </x:c>
      <x:c r="O52" s="15" t="str">
        <x:v>available</x:v>
      </x:c>
      <x:c r="P52" s="15" t="str">
        <x:v>name::gc-isolink-ii-ch-tracegc1310</x:v>
      </x:c>
      <x:c r="Q52" s="16" t="n">
        <x:v>1</x:v>
      </x:c>
      <x:c r="R52" s="15" t="str">
        <x:v>Suggested stock is sourced from a planning/list quantity; stock on hand was not stated in the source files and remains blank.</x:v>
      </x:c>
    </x:row>
    <x:row r="53">
      <x:c r="A53" s="15" t="str">
        <x:v>equipment</x:v>
      </x:c>
      <x:c r="B53" s="15" t="str">
        <x:v>Ion source assembly</x:v>
      </x:c>
      <x:c r="C53" s="15" t="str">
        <x:v>1131480</x:v>
      </x:c>
      <x:c r="D53" s="15" t="str">
        <x:v>Kiel IV</x:v>
      </x:c>
      <x:c r="E53" s="50" t="n">
        <x:v>1</x:v>
      </x:c>
      <x:c r="F53" s="50" t="str">
        <x:v>unit</x:v>
      </x:c>
      <x:c r="G53" s="50"/>
      <x:c r="H53" s="50"/>
      <x:c r="I53" s="50" t="n">
        <x:v>16904.66</x:v>
      </x:c>
      <x:c r="J53" s="50" t="str">
        <x:v>EUR</x:v>
      </x:c>
      <x:c r="K53" s="15" t="str">
        <x:v>SENS Representações Comerciais Ltda.</x:v>
      </x:c>
      <x:c r="L53" s="15"/>
      <x:c r="M53" s="15" t="str">
        <x:v>USP LESTE PETROBRAS 2024_RFL_CMC_SC.xlsx</x:v>
      </x:c>
      <x:c r="N53" s="15" t="str">
        <x:v>Importação direta</x:v>
      </x:c>
      <x:c r="O53" s="15" t="str">
        <x:v>available</x:v>
      </x:c>
      <x:c r="P53" s="15" t="str">
        <x:v>pn::1131480</x:v>
      </x:c>
      <x:c r="Q53" s="16" t="n">
        <x:v>1</x:v>
      </x:c>
      <x:c r="R53" s="15" t="str">
        <x:v>Suggested stock is sourced from a planning/list quantity; stock on hand was not stated in the source files and remains blank.</x:v>
      </x:c>
    </x:row>
    <x:row r="54">
      <x:c r="A54" s="15" t="str">
        <x:v>equipment</x:v>
      </x:c>
      <x:c r="B54" s="15" t="str">
        <x:v>Kiel IV carbonate preparation device</x:v>
      </x:c>
      <x:c r="C54" s="15" t="str">
        <x:v>0722710</x:v>
      </x:c>
      <x:c r="D54" s="15" t="str">
        <x:v>Kiel IV</x:v>
      </x:c>
      <x:c r="E54" s="50" t="n">
        <x:v>1</x:v>
      </x:c>
      <x:c r="F54" s="50" t="str">
        <x:v>unit</x:v>
      </x:c>
      <x:c r="G54" s="50"/>
      <x:c r="H54" s="50"/>
      <x:c r="I54" s="50" t="n">
        <x:v>122738</x:v>
      </x:c>
      <x:c r="J54" s="50" t="str">
        <x:v>EUR</x:v>
      </x:c>
      <x:c r="K54" s="15" t="str">
        <x:v>SENS Representações Comerciais Ltda.</x:v>
      </x:c>
      <x:c r="L54" s="15"/>
      <x:c r="M54" s="15" t="str">
        <x:v>SENS administration/USP_EACH_MAT253_050521.pdf</x:v>
      </x:c>
      <x:c r="N54" s="15"/>
      <x:c r="O54" s="15" t="str">
        <x:v>available</x:v>
      </x:c>
      <x:c r="P54" s="15" t="str">
        <x:v>pn::722710</x:v>
      </x:c>
      <x:c r="Q54" s="16" t="n">
        <x:v>1</x:v>
      </x:c>
      <x:c r="R54" s="15" t="str">
        <x:v>Suggested stock is sourced from a planning/list quantity; stock on hand was not stated in the source files and remains blank.</x:v>
      </x:c>
    </x:row>
    <x:row r="55">
      <x:c r="A55" s="15" t="str">
        <x:v>equipment</x:v>
      </x:c>
      <x:c r="B55" s="15" t="str">
        <x:v>Manutencao Nobreak (troca baterias)</x:v>
      </x:c>
      <x:c r="C55" s="15"/>
      <x:c r="D55" s="15" t="str">
        <x:v>UPS</x:v>
      </x:c>
      <x:c r="E55" s="50" t="n">
        <x:v>1</x:v>
      </x:c>
      <x:c r="F55" s="50" t="str">
        <x:v>unit</x:v>
      </x:c>
      <x:c r="G55" s="50"/>
      <x:c r="H55" s="50"/>
      <x:c r="I55" s="50" t="n">
        <x:v>6780</x:v>
      </x:c>
      <x:c r="J55" s="50" t="str">
        <x:v>BRL</x:v>
      </x:c>
      <x:c r="K55" s="15"/>
      <x:c r="L55" s="15"/>
      <x:c r="M55" s="15" t="str">
        <x:v>USP LESTE PETROBRAS 2024_RFL_CMC_SC.xlsx</x:v>
      </x:c>
      <x:c r="N55" s="15" t="str">
        <x:v>Importação direta</x:v>
      </x:c>
      <x:c r="O55" s="15" t="str">
        <x:v>available</x:v>
      </x:c>
      <x:c r="P55" s="15" t="str">
        <x:v>name::manutencao-nobreak-troca-baterias</x:v>
      </x:c>
      <x:c r="Q55" s="16" t="n">
        <x:v>1</x:v>
      </x:c>
      <x:c r="R55" s="15" t="str">
        <x:v>Suggested stock is sourced from a planning/list quantity; stock on hand was not stated in the source files and remains blank.</x:v>
      </x:c>
    </x:row>
    <x:row r="56">
      <x:c r="A56" s="15" t="str">
        <x:v>equipment</x:v>
      </x:c>
      <x:c r="B56" s="15" t="str">
        <x:v>Manutenção preventiva do Nobreak</x:v>
      </x:c>
      <x:c r="C56" s="15"/>
      <x:c r="D56" s="15" t="str">
        <x:v>UPS</x:v>
      </x:c>
      <x:c r="E56" s="50" t="n">
        <x:v>3</x:v>
      </x:c>
      <x:c r="F56" s="50" t="str">
        <x:v>unit</x:v>
      </x:c>
      <x:c r="G56" s="50"/>
      <x:c r="H56" s="50"/>
      <x:c r="I56" s="50" t="n">
        <x:v>1614</x:v>
      </x:c>
      <x:c r="J56" s="50" t="str">
        <x:v>BRL</x:v>
      </x:c>
      <x:c r="K56" s="15"/>
      <x:c r="L56" s="15"/>
      <x:c r="M56" s="15" t="str">
        <x:v>USP LESTE PETROBRAS 2024_RFL_CMC_SC.xlsx</x:v>
      </x:c>
      <x:c r="N56" s="15" t="str">
        <x:v>Importação direta</x:v>
      </x:c>
      <x:c r="O56" s="15" t="str">
        <x:v>available</x:v>
      </x:c>
      <x:c r="P56" s="15" t="str">
        <x:v>name::manutencao-preventiva-do-nobreak</x:v>
      </x:c>
      <x:c r="Q56" s="16" t="n">
        <x:v>1</x:v>
      </x:c>
      <x:c r="R56" s="15" t="str">
        <x:v>Suggested stock is sourced from a planning/list quantity; stock on hand was not stated in the source files and remains blank.</x:v>
      </x:c>
    </x:row>
    <x:row r="57">
      <x:c r="A57" s="15" t="str">
        <x:v>equipment</x:v>
      </x:c>
      <x:c r="B57" s="15" t="str">
        <x:v>MAT 253 Plus isotope-ratio mass spectrometer</x:v>
      </x:c>
      <x:c r="C57" s="15" t="str">
        <x:v>0723323</x:v>
      </x:c>
      <x:c r="D57" s="15" t="str">
        <x:v>MAT253 Plus</x:v>
      </x:c>
      <x:c r="E57" s="50" t="n">
        <x:v>1</x:v>
      </x:c>
      <x:c r="F57" s="50" t="str">
        <x:v>unit</x:v>
      </x:c>
      <x:c r="G57" s="50"/>
      <x:c r="H57" s="50"/>
      <x:c r="I57" s="50" t="n">
        <x:v>246095</x:v>
      </x:c>
      <x:c r="J57" s="50" t="str">
        <x:v>EUR</x:v>
      </x:c>
      <x:c r="K57" s="15" t="str">
        <x:v>SENS Representações Comerciais Ltda.</x:v>
      </x:c>
      <x:c r="L57" s="15"/>
      <x:c r="M57" s="15" t="str">
        <x:v>SENS administration/USP_EACH_MAT253_050521.pdf</x:v>
      </x:c>
      <x:c r="N57" s="15"/>
      <x:c r="O57" s="15" t="str">
        <x:v>available</x:v>
      </x:c>
      <x:c r="P57" s="15" t="str">
        <x:v>pn::723323</x:v>
      </x:c>
      <x:c r="Q57" s="16" t="n">
        <x:v>1</x:v>
      </x:c>
      <x:c r="R57" s="15" t="str">
        <x:v>Suggested stock is sourced from a planning/list quantity; stock on hand was not stated in the source files and remains blank.</x:v>
      </x:c>
    </x:row>
    <x:row r="58">
      <x:c r="A58" s="15" t="str">
        <x:v>equipment</x:v>
      </x:c>
      <x:c r="B58" s="15" t="str">
        <x:v>Mouse Gamer Sem Fio Logitech G305 LIGHTSPEED Até 12.000 DPI CX 1 UN</x:v>
      </x:c>
      <x:c r="C58" s="15" t="str">
        <x:v>442535</x:v>
      </x:c>
      <x:c r="D58" s="15" t="str">
        <x:v>General laboratory</x:v>
      </x:c>
      <x:c r="E58" s="50" t="n">
        <x:v>1</x:v>
      </x:c>
      <x:c r="F58" s="50" t="str">
        <x:v>unit</x:v>
      </x:c>
      <x:c r="G58" s="50"/>
      <x:c r="H58" s="50"/>
      <x:c r="I58" s="50"/>
      <x:c r="J58" s="50" t="str">
        <x:v>BRL</x:v>
      </x:c>
      <x:c r="K58" s="15" t="str">
        <x:v>Kalunga</x:v>
      </x:c>
      <x:c r="L58" s="15" t="str">
        <x:v>https://www.kalunga.com.br/prod/mouse-gamer-sem-fio-logitech-g305-lightspeed-ate-12-000-dpi-cx-1-un/442535</x:v>
      </x:c>
      <x:c r="M58" s="15" t="str">
        <x:v>Lista material laboratorio P2L.csv</x:v>
      </x:c>
      <x:c r="N58" s="15"/>
      <x:c r="O58" s="15" t="str">
        <x:v>available</x:v>
      </x:c>
      <x:c r="P58" s="15" t="str">
        <x:v>pn::442535</x:v>
      </x:c>
      <x:c r="Q58" s="16" t="n">
        <x:v>1</x:v>
      </x:c>
      <x:c r="R58" s="15" t="str">
        <x:v>Suggested stock is sourced from a planning/list quantity; stock on hand was not stated in the source files and remains blank.</x:v>
      </x:c>
    </x:row>
    <x:row r="59">
      <x:c r="A59" s="15" t="str">
        <x:v>equipment</x:v>
      </x:c>
      <x:c r="B59" s="15" t="str">
        <x:v>Mouse pad Tapete Office preto 70x28cm AC579 Bright PT 1 UN</x:v>
      </x:c>
      <x:c r="C59" s="15" t="str">
        <x:v>444306</x:v>
      </x:c>
      <x:c r="D59" s="15" t="str">
        <x:v>General laboratory</x:v>
      </x:c>
      <x:c r="E59" s="50" t="n">
        <x:v>1</x:v>
      </x:c>
      <x:c r="F59" s="50" t="str">
        <x:v>unit</x:v>
      </x:c>
      <x:c r="G59" s="50"/>
      <x:c r="H59" s="50"/>
      <x:c r="I59" s="50"/>
      <x:c r="J59" s="50" t="str">
        <x:v>BRL</x:v>
      </x:c>
      <x:c r="K59" s="15" t="str">
        <x:v>Kalunga</x:v>
      </x:c>
      <x:c r="L59" s="15" t="str">
        <x:v>https://www.kalunga.com.br/prod/mouse-pad-tapete-office-preto-70x28cm-ac579-bright-pt-1-un/444306/</x:v>
      </x:c>
      <x:c r="M59" s="15" t="str">
        <x:v>Lista material laboratorio P2L.csv</x:v>
      </x:c>
      <x:c r="N59" s="15"/>
      <x:c r="O59" s="15" t="str">
        <x:v>available</x:v>
      </x:c>
      <x:c r="P59" s="15" t="str">
        <x:v>pn::444306</x:v>
      </x:c>
      <x:c r="Q59" s="16" t="n">
        <x:v>1</x:v>
      </x:c>
      <x:c r="R59" s="15" t="str">
        <x:v>Suggested stock is sourced from a planning/list quantity; stock on hand was not stated in the source files and remains blank.</x:v>
      </x:c>
    </x:row>
    <x:row r="60">
      <x:c r="A60" s="15" t="str">
        <x:v>equipment</x:v>
      </x:c>
      <x:c r="B60" s="15" t="str">
        <x:v>Nobreak Linus 1200va 6 tomadas bivolt 27456 SMS CX 1 UN</x:v>
      </x:c>
      <x:c r="C60" s="15" t="str">
        <x:v>446914</x:v>
      </x:c>
      <x:c r="D60" s="15" t="str">
        <x:v>UPS</x:v>
      </x:c>
      <x:c r="E60" s="50" t="n">
        <x:v>1</x:v>
      </x:c>
      <x:c r="F60" s="50" t="str">
        <x:v>unit</x:v>
      </x:c>
      <x:c r="G60" s="50"/>
      <x:c r="H60" s="50"/>
      <x:c r="I60" s="50"/>
      <x:c r="J60" s="50" t="str">
        <x:v>BRL</x:v>
      </x:c>
      <x:c r="K60" s="15" t="str">
        <x:v>Kalunga</x:v>
      </x:c>
      <x:c r="L60" s="15" t="str">
        <x:v>https://www.kalunga.com.br/prod/nobreak-linus-1200va-6-tomadas-bivolt-27456-sms-cx-1-un/446914</x:v>
      </x:c>
      <x:c r="M60" s="15" t="str">
        <x:v>Lista material laboratorio P2L.csv</x:v>
      </x:c>
      <x:c r="N60" s="15"/>
      <x:c r="O60" s="15" t="str">
        <x:v>available</x:v>
      </x:c>
      <x:c r="P60" s="15" t="str">
        <x:v>pn::446914</x:v>
      </x:c>
      <x:c r="Q60" s="16" t="n">
        <x:v>1</x:v>
      </x:c>
      <x:c r="R60" s="15" t="str">
        <x:v>Suggested stock is sourced from a planning/list quantity; stock on hand was not stated in the source files and remains blank.</x:v>
      </x:c>
    </x:row>
    <x:row r="61">
      <x:c r="A61" s="15" t="str">
        <x:v>equipment</x:v>
      </x:c>
      <x:c r="B61" s="15" t="str">
        <x:v>PLUG AND MEASURE ADAPTER</x:v>
      </x:c>
      <x:c r="C61" s="15"/>
      <x:c r="D61" s="15" t="str">
        <x:v>General laboratory</x:v>
      </x:c>
      <x:c r="E61" s="50" t="n">
        <x:v>1</x:v>
      </x:c>
      <x:c r="F61" s="50" t="str">
        <x:v>unit</x:v>
      </x:c>
      <x:c r="G61" s="50"/>
      <x:c r="H61" s="50"/>
      <x:c r="I61" s="50" t="n">
        <x:v>334</x:v>
      </x:c>
      <x:c r="J61" s="50" t="str">
        <x:v>EUR</x:v>
      </x:c>
      <x:c r="K61" s="15" t="str">
        <x:v>Thermo Fisher Scientific (Bremen) GmbH</x:v>
      </x:c>
      <x:c r="L61" s="15"/>
      <x:c r="M61" s="15" t="str">
        <x:v>Thermo vs SENS quotation comparison.xlsx</x:v>
      </x:c>
      <x:c r="N61" s="15" t="str">
        <x:v>Sheet1</x:v>
      </x:c>
      <x:c r="O61" s="15" t="str">
        <x:v>available</x:v>
      </x:c>
      <x:c r="P61" s="15" t="str">
        <x:v>name::plug-and-measure-adapter</x:v>
      </x:c>
      <x:c r="Q61" s="16" t="n">
        <x:v>1</x:v>
      </x:c>
      <x:c r="R61" s="15" t="str">
        <x:v>Suggested stock is sourced from a planning/list quantity; stock on hand was not stated in the source files and remains blank.</x:v>
      </x:c>
    </x:row>
    <x:row r="62">
      <x:c r="A62" s="15" t="str">
        <x:v>equipment</x:v>
      </x:c>
      <x:c r="B62" s="15" t="str">
        <x:v>Purification trap for clumped isotopes</x:v>
      </x:c>
      <x:c r="C62" s="15" t="str">
        <x:v>BRE0023589</x:v>
      </x:c>
      <x:c r="D62" s="15" t="str">
        <x:v>General laboratory</x:v>
      </x:c>
      <x:c r="E62" s="50" t="n">
        <x:v>1</x:v>
      </x:c>
      <x:c r="F62" s="50" t="str">
        <x:v>unit</x:v>
      </x:c>
      <x:c r="G62" s="50"/>
      <x:c r="H62" s="50"/>
      <x:c r="I62" s="50" t="n">
        <x:v>23460</x:v>
      </x:c>
      <x:c r="J62" s="50" t="str">
        <x:v>EUR</x:v>
      </x:c>
      <x:c r="K62" s="15" t="str">
        <x:v>SENS Representações Comerciais Ltda.</x:v>
      </x:c>
      <x:c r="L62" s="15"/>
      <x:c r="M62" s="15" t="str">
        <x:v>SENS administration/USP_EACH_MAT253_050521.pdf</x:v>
      </x:c>
      <x:c r="N62" s="15"/>
      <x:c r="O62" s="15" t="str">
        <x:v>available</x:v>
      </x:c>
      <x:c r="P62" s="15" t="str">
        <x:v>pn::bre0023589</x:v>
      </x:c>
      <x:c r="Q62" s="16" t="n">
        <x:v>1</x:v>
      </x:c>
      <x:c r="R62" s="15" t="str">
        <x:v>Suggested stock is sourced from a planning/list quantity; stock on hand was not stated in the source files and remains blank.</x:v>
      </x:c>
    </x:row>
    <x:row r="63">
      <x:c r="A63" s="15" t="str">
        <x:v>equipment</x:v>
      </x:c>
      <x:c r="B63" s="15" t="str">
        <x:v>Qtegra ISDS 2.15 Software</x:v>
      </x:c>
      <x:c r="C63" s="15"/>
      <x:c r="D63" s="15" t="str">
        <x:v>Qtegra workstation</x:v>
      </x:c>
      <x:c r="E63" s="50" t="n">
        <x:v>1</x:v>
      </x:c>
      <x:c r="F63" s="50" t="str">
        <x:v>unit</x:v>
      </x:c>
      <x:c r="G63" s="50"/>
      <x:c r="H63" s="50"/>
      <x:c r="I63" s="50" t="n">
        <x:v>13125</x:v>
      </x:c>
      <x:c r="J63" s="50" t="str">
        <x:v>USD</x:v>
      </x:c>
      <x:c r="K63" s="15" t="str">
        <x:v>SENS Representações Comerciais Ltda.</x:v>
      </x:c>
      <x:c r="L63" s="15"/>
      <x:c r="M63" s="15" t="str">
        <x:v>Thermo vs SENS quotation comparison.xlsx</x:v>
      </x:c>
      <x:c r="N63" s="15" t="str">
        <x:v>Sheet1</x:v>
      </x:c>
      <x:c r="O63" s="15" t="str">
        <x:v>available</x:v>
      </x:c>
      <x:c r="P63" s="15" t="str">
        <x:v>name::qtegra-isds-2-15-software</x:v>
      </x:c>
      <x:c r="Q63" s="16" t="n">
        <x:v>1</x:v>
      </x:c>
      <x:c r="R63" s="15" t="str">
        <x:v>Suggested stock is sourced from a planning/list quantity; stock on hand was not stated in the source files and remains blank.</x:v>
      </x:c>
    </x:row>
    <x:row r="64">
      <x:c r="A64" s="15" t="str">
        <x:v>equipment</x:v>
      </x:c>
      <x:c r="B64" s="15" t="str">
        <x:v>Roteador wireless 4 port.Dual Band AC1200 Archer C6 Tp Link CX 1 UN</x:v>
      </x:c>
      <x:c r="C64" s="15" t="str">
        <x:v>610475</x:v>
      </x:c>
      <x:c r="D64" s="15" t="str">
        <x:v>General laboratory</x:v>
      </x:c>
      <x:c r="E64" s="50" t="n">
        <x:v>2</x:v>
      </x:c>
      <x:c r="F64" s="50" t="str">
        <x:v>unit</x:v>
      </x:c>
      <x:c r="G64" s="50"/>
      <x:c r="H64" s="50"/>
      <x:c r="I64" s="50"/>
      <x:c r="J64" s="50" t="str">
        <x:v>BRL</x:v>
      </x:c>
      <x:c r="K64" s="15" t="str">
        <x:v>Kalunga</x:v>
      </x:c>
      <x:c r="L64" s="15" t="str">
        <x:v>https://www.kalunga.com.br/prod/roteador-wireless-4-port-dual-band-ac1200-archer-c6-tp-link-cx-1-un/610475</x:v>
      </x:c>
      <x:c r="M64" s="15" t="str">
        <x:v>Lista material laboratorio P2L.csv</x:v>
      </x:c>
      <x:c r="N64" s="15"/>
      <x:c r="O64" s="15" t="str">
        <x:v>available</x:v>
      </x:c>
      <x:c r="P64" s="15" t="str">
        <x:v>pn::610475</x:v>
      </x:c>
      <x:c r="Q64" s="16" t="n">
        <x:v>1</x:v>
      </x:c>
      <x:c r="R64" s="15" t="str">
        <x:v>Suggested stock is sourced from a planning/list quantity; stock on hand was not stated in the source files and remains blank.</x:v>
      </x:c>
    </x:row>
    <x:row r="65">
      <x:c r="A65" s="15" t="str">
        <x:v>equipment</x:v>
      </x:c>
      <x:c r="B65" s="15" t="str">
        <x:v>Spare Parts Dual Inlet (HiPace ab 03.12)</x:v>
      </x:c>
      <x:c r="C65" s="15" t="str">
        <x:v>1322940</x:v>
      </x:c>
      <x:c r="D65" s="15" t="str">
        <x:v>Kiel IV</x:v>
      </x:c>
      <x:c r="E65" s="50" t="n">
        <x:v>2</x:v>
      </x:c>
      <x:c r="F65" s="50" t="str">
        <x:v>unit</x:v>
      </x:c>
      <x:c r="G65" s="50"/>
      <x:c r="H65" s="50"/>
      <x:c r="I65" s="50" t="n">
        <x:v>2861.77</x:v>
      </x:c>
      <x:c r="J65" s="50" t="str">
        <x:v>EUR</x:v>
      </x:c>
      <x:c r="K65" s="15" t="str">
        <x:v>SENS Representações Comerciais Ltda.</x:v>
      </x:c>
      <x:c r="L65" s="15"/>
      <x:c r="M65" s="15" t="str">
        <x:v>USP LESTE PETROBRAS 2024_RFL_CMC_SC.xlsx</x:v>
      </x:c>
      <x:c r="N65" s="15" t="str">
        <x:v>Importação direta</x:v>
      </x:c>
      <x:c r="O65" s="15" t="str">
        <x:v>available</x:v>
      </x:c>
      <x:c r="P65" s="15" t="str">
        <x:v>pn::1322940</x:v>
      </x:c>
      <x:c r="Q65" s="16" t="n">
        <x:v>1</x:v>
      </x:c>
      <x:c r="R65" s="15" t="str">
        <x:v>Suggested stock is sourced from a planning/list quantity; stock on hand was not stated in the source files and remains blank.</x:v>
      </x:c>
    </x:row>
    <x:row r="66">
      <x:c r="A66" s="15" t="str">
        <x:v>equipment</x:v>
      </x:c>
      <x:c r="B66" s="15" t="str">
        <x:v>Spare Parts Kit GC IsoLink II CH</x:v>
      </x:c>
      <x:c r="C66" s="15"/>
      <x:c r="D66" s="15" t="str">
        <x:v>General laboratory</x:v>
      </x:c>
      <x:c r="E66" s="50" t="n">
        <x:v>1</x:v>
      </x:c>
      <x:c r="F66" s="50" t="str">
        <x:v>unit</x:v>
      </x:c>
      <x:c r="G66" s="50"/>
      <x:c r="H66" s="50"/>
      <x:c r="I66" s="50" t="n">
        <x:v>6016.5</x:v>
      </x:c>
      <x:c r="J66" s="50" t="str">
        <x:v>USD</x:v>
      </x:c>
      <x:c r="K66" s="15" t="str">
        <x:v>SENS Representações Comerciais Ltda.</x:v>
      </x:c>
      <x:c r="L66" s="15"/>
      <x:c r="M66" s="15" t="str">
        <x:v>Thermo vs SENS quotation comparison.xlsx</x:v>
      </x:c>
      <x:c r="N66" s="15" t="str">
        <x:v>Sheet1</x:v>
      </x:c>
      <x:c r="O66" s="15" t="str">
        <x:v>available</x:v>
      </x:c>
      <x:c r="P66" s="15" t="str">
        <x:v>name::spare-parts-kit-gc-isolink-ii-ch</x:v>
      </x:c>
      <x:c r="Q66" s="16" t="n">
        <x:v>1</x:v>
      </x:c>
      <x:c r="R66" s="15" t="str">
        <x:v>Suggested stock is sourced from a planning/list quantity; stock on hand was not stated in the source files and remains blank.</x:v>
      </x:c>
    </x:row>
    <x:row r="67">
      <x:c r="A67" s="15" t="str">
        <x:v>equipment</x:v>
      </x:c>
      <x:c r="B67" s="15" t="str">
        <x:v>TriPlus RSH SMART Standard</x:v>
      </x:c>
      <x:c r="C67" s="15"/>
      <x:c r="D67" s="15" t="str">
        <x:v>General laboratory</x:v>
      </x:c>
      <x:c r="E67" s="50" t="n">
        <x:v>1</x:v>
      </x:c>
      <x:c r="F67" s="50" t="str">
        <x:v>unit</x:v>
      </x:c>
      <x:c r="G67" s="50"/>
      <x:c r="H67" s="50"/>
      <x:c r="I67" s="50" t="n">
        <x:v>29295</x:v>
      </x:c>
      <x:c r="J67" s="50" t="str">
        <x:v>USD</x:v>
      </x:c>
      <x:c r="K67" s="15" t="str">
        <x:v>SENS Representações Comerciais Ltda.</x:v>
      </x:c>
      <x:c r="L67" s="15"/>
      <x:c r="M67" s="15" t="str">
        <x:v>Thermo vs SENS quotation comparison.xlsx</x:v>
      </x:c>
      <x:c r="N67" s="15" t="str">
        <x:v>Sheet1</x:v>
      </x:c>
      <x:c r="O67" s="15" t="str">
        <x:v>available</x:v>
      </x:c>
      <x:c r="P67" s="15" t="str">
        <x:v>name::triplus-rsh-smart-standard</x:v>
      </x:c>
      <x:c r="Q67" s="16" t="n">
        <x:v>1</x:v>
      </x:c>
      <x:c r="R67" s="15" t="str">
        <x:v>Suggested stock is sourced from a planning/list quantity; stock on hand was not stated in the source files and remains blank.</x:v>
      </x:c>
    </x:row>
    <x:row r="68">
      <x:c r="A68" s="15" t="str">
        <x:v>other</x:v>
      </x:c>
      <x:c r="B68" s="15" t="str">
        <x:v>Abraçadeiras 70-89 = Diâmetro Min. 70mm x Máx. 89mm</x:v>
      </x:c>
      <x:c r="C68" s="15"/>
      <x:c r="D68" s="15" t="str">
        <x:v>General laboratory</x:v>
      </x:c>
      <x:c r="E68" s="50"/>
      <x:c r="F68" s="50"/>
      <x:c r="G68" s="50"/>
      <x:c r="H68" s="50"/>
      <x:c r="I68" s="50"/>
      <x:c r="J68" s="50" t="str">
        <x:v>BRL</x:v>
      </x:c>
      <x:c r="K68" s="15" t="str">
        <x:v>Elastim</x:v>
      </x:c>
      <x:c r="L68" s="15" t="str">
        <x:v>http://www.elastim.com.br/site/</x:v>
      </x:c>
      <x:c r="M68" s="15" t="str">
        <x:v>Lista material laboratorio P2L.csv</x:v>
      </x:c>
      <x:c r="N68" s="15"/>
      <x:c r="O68" s="15" t="str">
        <x:v>available</x:v>
      </x:c>
      <x:c r="P68" s="15" t="str">
        <x:v>name::abracadeiras-70-89-diametro-min-70mm-x-max-89mm</x:v>
      </x:c>
      <x:c r="Q68" s="16" t="n">
        <x:v>1</x:v>
      </x:c>
      <x:c r="R68" s="15" t="str">
        <x:v>Suggested stock is sourced from a planning/list quantity; stock on hand was not stated in the source files and remains blank.</x:v>
      </x:c>
    </x:row>
    <x:row r="69">
      <x:c r="A69" s="15" t="str">
        <x:v>other</x:v>
      </x:c>
      <x:c r="B69" s="15" t="str">
        <x:v>Adaptador p/ tomada 2P chato p/ redondo padrão antigo p/ novo Daneva BT 1 UN</x:v>
      </x:c>
      <x:c r="C69" s="15" t="str">
        <x:v>144443</x:v>
      </x:c>
      <x:c r="D69" s="15" t="str">
        <x:v>General laboratory</x:v>
      </x:c>
      <x:c r="E69" s="50" t="n">
        <x:v>5</x:v>
      </x:c>
      <x:c r="F69" s="50" t="str">
        <x:v>unit</x:v>
      </x:c>
      <x:c r="G69" s="50"/>
      <x:c r="H69" s="50"/>
      <x:c r="I69" s="50"/>
      <x:c r="J69" s="50" t="str">
        <x:v>BRL</x:v>
      </x:c>
      <x:c r="K69" s="15" t="str">
        <x:v>Kalunga</x:v>
      </x:c>
      <x:c r="L69" s="15" t="str">
        <x:v>https://www.kalunga.com.br/prod/adaptador-p-tomada-2p-chato-p-redondo-padrao-antigo-p-novo-daneva-bt-1-un/144443</x:v>
      </x:c>
      <x:c r="M69" s="15" t="str">
        <x:v>Lista material laboratorio P2L.csv</x:v>
      </x:c>
      <x:c r="N69" s="15"/>
      <x:c r="O69" s="15" t="str">
        <x:v>available</x:v>
      </x:c>
      <x:c r="P69" s="15" t="str">
        <x:v>pn::144443</x:v>
      </x:c>
      <x:c r="Q69" s="16" t="n">
        <x:v>1</x:v>
      </x:c>
      <x:c r="R69" s="15" t="str">
        <x:v>Suggested stock is sourced from a planning/list quantity; stock on hand was not stated in the source files and remains blank.</x:v>
      </x:c>
    </x:row>
    <x:row r="70">
      <x:c r="A70" s="15" t="str">
        <x:v>other</x:v>
      </x:c>
      <x:c r="B70" s="15" t="str">
        <x:v>BARRA MAGNÉTICA CILÍNDRICA 9X40 MM - R$ 37,40</x:v>
      </x:c>
      <x:c r="C70" s="15" t="str">
        <x:v>114XXXX</x:v>
      </x:c>
      <x:c r="D70" s="15" t="str">
        <x:v>General laboratory</x:v>
      </x:c>
      <x:c r="E70" s="50" t="n">
        <x:v>5</x:v>
      </x:c>
      <x:c r="F70" s="50" t="str">
        <x:v>unit</x:v>
      </x:c>
      <x:c r="G70" s="50"/>
      <x:c r="H70" s="50"/>
      <x:c r="I70" s="50"/>
      <x:c r="J70" s="50" t="str">
        <x:v>BRL</x:v>
      </x:c>
      <x:c r="K70" s="15" t="str">
        <x:v>Netlab</x:v>
      </x:c>
      <x:c r="L70" s="15" t="str">
        <x:v>https://www.lojanetlab.com.br/acessorios/barra-magnetica-peixinho/barra-magnetica-cilindrica-lisa-em-teflon</x:v>
      </x:c>
      <x:c r="M70" s="15" t="str">
        <x:v>Lista material laboratorio P2L.csv</x:v>
      </x:c>
      <x:c r="N70" s="15"/>
      <x:c r="O70" s="15" t="str">
        <x:v>available</x:v>
      </x:c>
      <x:c r="P70" s="15" t="str">
        <x:v>pn::114xxxx</x:v>
      </x:c>
      <x:c r="Q70" s="16" t="n">
        <x:v>1</x:v>
      </x:c>
      <x:c r="R70" s="15" t="str">
        <x:v>Suggested stock is sourced from a planning/list quantity; stock on hand was not stated in the source files and remains blank.</x:v>
      </x:c>
    </x:row>
    <x:row r="71">
      <x:c r="A71" s="15" t="str">
        <x:v>other</x:v>
      </x:c>
      <x:c r="B71" s="15" t="str">
        <x:v>Differential Pump Module</x:v>
      </x:c>
      <x:c r="C71" s="15"/>
      <x:c r="D71" s="15" t="str">
        <x:v>General laboratory</x:v>
      </x:c>
      <x:c r="E71" s="50" t="n">
        <x:v>1</x:v>
      </x:c>
      <x:c r="F71" s="50" t="str">
        <x:v>unit</x:v>
      </x:c>
      <x:c r="G71" s="50"/>
      <x:c r="H71" s="50"/>
      <x:c r="I71" s="50" t="n">
        <x:v>12075</x:v>
      </x:c>
      <x:c r="J71" s="50" t="str">
        <x:v>USD</x:v>
      </x:c>
      <x:c r="K71" s="15" t="str">
        <x:v>SENS Representações Comerciais Ltda.</x:v>
      </x:c>
      <x:c r="L71" s="15"/>
      <x:c r="M71" s="15" t="str">
        <x:v>Thermo vs SENS quotation comparison.xlsx</x:v>
      </x:c>
      <x:c r="N71" s="15" t="str">
        <x:v>Sheet1</x:v>
      </x:c>
      <x:c r="O71" s="15" t="str">
        <x:v>available</x:v>
      </x:c>
      <x:c r="P71" s="15" t="str">
        <x:v>name::differential-pump-module</x:v>
      </x:c>
      <x:c r="Q71" s="16" t="n">
        <x:v>1</x:v>
      </x:c>
      <x:c r="R71" s="15" t="str">
        <x:v>Suggested stock is sourced from a planning/list quantity; stock on hand was not stated in the source files and remains blank.</x:v>
      </x:c>
    </x:row>
    <x:row r="72">
      <x:c r="A72" s="15" t="str">
        <x:v>other</x:v>
      </x:c>
      <x:c r="B72" s="15" t="str">
        <x:v>Differential pump module for MAT 253 Plus</x:v>
      </x:c>
      <x:c r="C72" s="15" t="str">
        <x:v>1111122</x:v>
      </x:c>
      <x:c r="D72" s="15" t="str">
        <x:v>MAT253 Plus</x:v>
      </x:c>
      <x:c r="E72" s="50" t="n">
        <x:v>1</x:v>
      </x:c>
      <x:c r="F72" s="50" t="str">
        <x:v>unit</x:v>
      </x:c>
      <x:c r="G72" s="50"/>
      <x:c r="H72" s="50"/>
      <x:c r="I72" s="50" t="n">
        <x:v>9742</x:v>
      </x:c>
      <x:c r="J72" s="50" t="str">
        <x:v>EUR</x:v>
      </x:c>
      <x:c r="K72" s="15" t="str">
        <x:v>SENS Representações Comerciais Ltda.</x:v>
      </x:c>
      <x:c r="L72" s="15"/>
      <x:c r="M72" s="15" t="str">
        <x:v>SENS administration/USP_EACH_MAT253_050521.pdf</x:v>
      </x:c>
      <x:c r="N72" s="15"/>
      <x:c r="O72" s="15" t="str">
        <x:v>available</x:v>
      </x:c>
      <x:c r="P72" s="15" t="str">
        <x:v>pn::1111122</x:v>
      </x:c>
      <x:c r="Q72" s="16" t="n">
        <x:v>1</x:v>
      </x:c>
      <x:c r="R72" s="15" t="str">
        <x:v>Suggested stock is sourced from a planning/list quantity; stock on hand was not stated in the source files and remains blank.</x:v>
      </x:c>
    </x:row>
    <x:row r="73">
      <x:c r="A73" s="15" t="str">
        <x:v>other</x:v>
      </x:c>
      <x:c r="B73" s="15" t="str">
        <x:v>IsoDat Win 10 (32 &amp; 64 Bit) auf USB</x:v>
      </x:c>
      <x:c r="C73" s="15"/>
      <x:c r="D73" s="15" t="str">
        <x:v>General laboratory</x:v>
      </x:c>
      <x:c r="E73" s="50" t="n">
        <x:v>1</x:v>
      </x:c>
      <x:c r="F73" s="50" t="str">
        <x:v>unit</x:v>
      </x:c>
      <x:c r="G73" s="50"/>
      <x:c r="H73" s="50"/>
      <x:c r="I73" s="50" t="n">
        <x:v>128</x:v>
      </x:c>
      <x:c r="J73" s="50" t="str">
        <x:v>EUR</x:v>
      </x:c>
      <x:c r="K73" s="15" t="str">
        <x:v>Thermo Fisher Scientific (Bremen) GmbH</x:v>
      </x:c>
      <x:c r="L73" s="15"/>
      <x:c r="M73" s="15" t="str">
        <x:v>Thermo vs SENS quotation comparison.xlsx</x:v>
      </x:c>
      <x:c r="N73" s="15" t="str">
        <x:v>Sheet1</x:v>
      </x:c>
      <x:c r="O73" s="15" t="str">
        <x:v>available</x:v>
      </x:c>
      <x:c r="P73" s="15" t="str">
        <x:v>name::isodat-win-10-32-64-bit-auf-usb</x:v>
      </x:c>
      <x:c r="Q73" s="16" t="n">
        <x:v>1</x:v>
      </x:c>
      <x:c r="R73" s="15" t="str">
        <x:v>Suggested stock is sourced from a planning/list quantity; stock on hand was not stated in the source files and remains blank.</x:v>
      </x:c>
    </x:row>
    <x:row r="74">
      <x:c r="A74" s="15" t="str">
        <x:v>other</x:v>
      </x:c>
      <x:c r="B74" s="15" t="str">
        <x:v>Lichtleiter /SIMP.BL-GR/DUPLEX/6.0M</x:v>
      </x:c>
      <x:c r="C74" s="15"/>
      <x:c r="D74" s="15" t="str">
        <x:v>General laboratory</x:v>
      </x:c>
      <x:c r="E74" s="50" t="n">
        <x:v>1</x:v>
      </x:c>
      <x:c r="F74" s="50" t="str">
        <x:v>unit</x:v>
      </x:c>
      <x:c r="G74" s="50"/>
      <x:c r="H74" s="50"/>
      <x:c r="I74" s="50" t="n">
        <x:v>338</x:v>
      </x:c>
      <x:c r="J74" s="50" t="str">
        <x:v>EUR</x:v>
      </x:c>
      <x:c r="K74" s="15" t="str">
        <x:v>Thermo Fisher Scientific (Bremen) GmbH</x:v>
      </x:c>
      <x:c r="L74" s="15"/>
      <x:c r="M74" s="15" t="str">
        <x:v>Thermo vs SENS quotation comparison.xlsx</x:v>
      </x:c>
      <x:c r="N74" s="15" t="str">
        <x:v>Sheet1</x:v>
      </x:c>
      <x:c r="O74" s="15" t="str">
        <x:v>available</x:v>
      </x:c>
      <x:c r="P74" s="15" t="str">
        <x:v>name::lichtleiter-simp-bl-gr-duplex-6-0m</x:v>
      </x:c>
      <x:c r="Q74" s="16" t="n">
        <x:v>1</x:v>
      </x:c>
      <x:c r="R74" s="15" t="str">
        <x:v>Suggested stock is sourced from a planning/list quantity; stock on hand was not stated in the source files and remains blank.</x:v>
      </x:c>
    </x:row>
    <x:row r="75">
      <x:c r="A75" s="15" t="str">
        <x:v>other</x:v>
      </x:c>
      <x:c r="B75" s="15" t="str">
        <x:v>MAINTENANCE KIT ACID SUPPLY KIEL IV</x:v>
      </x:c>
      <x:c r="C75" s="15" t="str">
        <x:v>BRE0010679</x:v>
      </x:c>
      <x:c r="D75" s="15" t="str">
        <x:v>Kiel IV</x:v>
      </x:c>
      <x:c r="E75" s="50" t="n">
        <x:v>3</x:v>
      </x:c>
      <x:c r="F75" s="50"/>
      <x:c r="G75" s="50"/>
      <x:c r="H75" s="50"/>
      <x:c r="I75" s="50" t="n">
        <x:v>356.72</x:v>
      </x:c>
      <x:c r="J75" s="50" t="str">
        <x:v>EUR</x:v>
      </x:c>
      <x:c r="K75" s="15" t="str">
        <x:v>SENS Representações Comerciais Ltda.</x:v>
      </x:c>
      <x:c r="L75" s="15"/>
      <x:c r="M75" s="15" t="str">
        <x:v>Spares and consumable main list.xlsx</x:v>
      </x:c>
      <x:c r="N75" s="15" t="str">
        <x:v>Sheet1</x:v>
      </x:c>
      <x:c r="O75" s="15" t="str">
        <x:v>available</x:v>
      </x:c>
      <x:c r="P75" s="15" t="str">
        <x:v>pn::bre0010679</x:v>
      </x:c>
      <x:c r="Q75" s="16" t="n">
        <x:v>2</x:v>
      </x:c>
      <x:c r="R75" s="15" t="str">
        <x:v>Suggested stock is sourced from a planning/list quantity; stock on hand was not stated in the source files and remains blank.</x:v>
      </x:c>
    </x:row>
    <x:row r="76">
      <x:c r="A76" s="15" t="str">
        <x:v>other</x:v>
      </x:c>
      <x:c r="B76" s="15" t="str">
        <x:v>MAT 253 and Kiel IV maintenance and operator training</x:v>
      </x:c>
      <x:c r="C76" s="15"/>
      <x:c r="D76" s="15" t="str">
        <x:v>MAT253 Plus / Kiel IV</x:v>
      </x:c>
      <x:c r="E76" s="50" t="n">
        <x:v>40</x:v>
      </x:c>
      <x:c r="F76" s="50" t="str">
        <x:v>hour</x:v>
      </x:c>
      <x:c r="G76" s="50"/>
      <x:c r="H76" s="50"/>
      <x:c r="I76" s="50" t="n">
        <x:v>542.5</x:v>
      </x:c>
      <x:c r="J76" s="50" t="str">
        <x:v>BRL</x:v>
      </x:c>
      <x:c r="K76" s="15" t="str">
        <x:v>SENS Representações Comerciais Ltda.</x:v>
      </x:c>
      <x:c r="L76" s="15"/>
      <x:c r="M76" s="15" t="str">
        <x:v>SENS administration/USP LESTE 18.305-S-1_P2L.pdf</x:v>
      </x:c>
      <x:c r="N76" s="15"/>
      <x:c r="O76" s="15" t="str">
        <x:v>available</x:v>
      </x:c>
      <x:c r="P76" s="15" t="str">
        <x:v>name::mat-253-and-kiel-iv-maintenance-and-operator-training</x:v>
      </x:c>
      <x:c r="Q76" s="16" t="n">
        <x:v>1</x:v>
      </x:c>
      <x:c r="R76" s="15" t="str">
        <x:v>Suggested stock is sourced from a planning/list quantity; stock on hand was not stated in the source files and remains blank.</x:v>
      </x:c>
    </x:row>
    <x:row r="77">
      <x:c r="A77" s="15" t="str">
        <x:v>other</x:v>
      </x:c>
      <x:c r="B77" s="15" t="str">
        <x:v>PC ELCI 4 X M5 RETA MACHO SEXT. INT.</x:v>
      </x:c>
      <x:c r="C77" s="15" t="str">
        <x:v>12010044</x:v>
      </x:c>
      <x:c r="D77" s="15" t="str">
        <x:v>General laboratory</x:v>
      </x:c>
      <x:c r="E77" s="50" t="n">
        <x:v>50</x:v>
      </x:c>
      <x:c r="F77" s="50" t="str">
        <x:v>unit</x:v>
      </x:c>
      <x:c r="G77" s="50"/>
      <x:c r="H77" s="50"/>
      <x:c r="I77" s="50"/>
      <x:c r="J77" s="50" t="str">
        <x:v>BRL</x:v>
      </x:c>
      <x:c r="K77" s="15" t="str">
        <x:v>Elastim</x:v>
      </x:c>
      <x:c r="L77" s="15" t="str">
        <x:v>http://www.elastim.com.br/site/</x:v>
      </x:c>
      <x:c r="M77" s="15" t="str">
        <x:v>Lista material laboratorio P2L.csv</x:v>
      </x:c>
      <x:c r="N77" s="15"/>
      <x:c r="O77" s="15" t="str">
        <x:v>available</x:v>
      </x:c>
      <x:c r="P77" s="15" t="str">
        <x:v>pn::12010044</x:v>
      </x:c>
      <x:c r="Q77" s="16" t="n">
        <x:v>1</x:v>
      </x:c>
      <x:c r="R77" s="15" t="str">
        <x:v>Suggested stock is sourced from a planning/list quantity; stock on hand was not stated in the source files and remains blank.</x:v>
      </x:c>
    </x:row>
    <x:row r="78">
      <x:c r="A78" s="15" t="str">
        <x:v>other</x:v>
      </x:c>
      <x:c r="B78" s="15" t="str">
        <x:v>Pentoxido fosfórico ReagentPlus®, 99%</x:v>
      </x:c>
      <x:c r="C78" s="15" t="str">
        <x:v>214701</x:v>
      </x:c>
      <x:c r="D78" s="15" t="str">
        <x:v>General laboratory</x:v>
      </x:c>
      <x:c r="E78" s="50"/>
      <x:c r="F78" s="50"/>
      <x:c r="G78" s="50"/>
      <x:c r="H78" s="50"/>
      <x:c r="I78" s="50"/>
      <x:c r="J78" s="50" t="str">
        <x:v>BRL</x:v>
      </x:c>
      <x:c r="K78" s="15" t="str">
        <x:v>Merck / Sigma-Aldrich</x:v>
      </x:c>
      <x:c r="L78" s="15" t="str">
        <x:v>https://www.sigmaaldrich.com/BR/pt/product/sial/214701</x:v>
      </x:c>
      <x:c r="M78" s="15" t="str">
        <x:v>Spares and consumable main list.xlsx</x:v>
      </x:c>
      <x:c r="N78" s="15" t="str">
        <x:v>Sheet1</x:v>
      </x:c>
      <x:c r="O78" s="15" t="str">
        <x:v>available</x:v>
      </x:c>
      <x:c r="P78" s="15" t="str">
        <x:v>pn::214701</x:v>
      </x:c>
      <x:c r="Q78" s="16" t="n">
        <x:v>1</x:v>
      </x:c>
      <x:c r="R78" s="15" t="str">
        <x:v>Suggested stock is sourced from a planning/list quantity; stock on hand was not stated in the source files and remains blank.</x:v>
      </x:c>
    </x:row>
    <x:row r="79">
      <x:c r="A79" s="15" t="str">
        <x:v>other</x:v>
      </x:c>
      <x:c r="B79" s="15" t="str">
        <x:v>Protetor de linha 5 tomadas bivolt preto 6m NT 7203 Force-line CX 1 UN</x:v>
      </x:c>
      <x:c r="C79" s="15" t="str">
        <x:v>283038</x:v>
      </x:c>
      <x:c r="D79" s="15" t="str">
        <x:v>General laboratory</x:v>
      </x:c>
      <x:c r="E79" s="50" t="n">
        <x:v>3</x:v>
      </x:c>
      <x:c r="F79" s="50" t="str">
        <x:v>unit</x:v>
      </x:c>
      <x:c r="G79" s="50"/>
      <x:c r="H79" s="50"/>
      <x:c r="I79" s="50"/>
      <x:c r="J79" s="50" t="str">
        <x:v>BRL</x:v>
      </x:c>
      <x:c r="K79" s="15" t="str">
        <x:v>Kalunga</x:v>
      </x:c>
      <x:c r="L79" s="15" t="str">
        <x:v>https://www.kalunga.com.br/prod/protetor-de-linha-5-tomadas-bivolt-preto-6m-nt-7203-force-line-cx-1-un/283038</x:v>
      </x:c>
      <x:c r="M79" s="15" t="str">
        <x:v>Lista material laboratorio P2L.csv</x:v>
      </x:c>
      <x:c r="N79" s="15"/>
      <x:c r="O79" s="15" t="str">
        <x:v>available</x:v>
      </x:c>
      <x:c r="P79" s="15" t="str">
        <x:v>pn::283038</x:v>
      </x:c>
      <x:c r="Q79" s="16" t="n">
        <x:v>1</x:v>
      </x:c>
      <x:c r="R79" s="15" t="str">
        <x:v>Suggested stock is sourced from a planning/list quantity; stock on hand was not stated in the source files and remains blank.</x:v>
      </x:c>
    </x:row>
    <x:row r="80">
      <x:c r="A80" s="15" t="str">
        <x:v>other</x:v>
      </x:c>
      <x:c r="B80" s="15" t="str">
        <x:v>Replacement kit for Kiel IV fan 1199030</x:v>
      </x:c>
      <x:c r="C80" s="15" t="str">
        <x:v>BRE0016655</x:v>
      </x:c>
      <x:c r="D80" s="15" t="str">
        <x:v>Kiel IV</x:v>
      </x:c>
      <x:c r="E80" s="50" t="n">
        <x:v>1</x:v>
      </x:c>
      <x:c r="F80" s="50" t="str">
        <x:v>unit</x:v>
      </x:c>
      <x:c r="G80" s="50"/>
      <x:c r="H80" s="50"/>
      <x:c r="I80" s="50" t="n">
        <x:v>964.25</x:v>
      </x:c>
      <x:c r="J80" s="50" t="str">
        <x:v>EUR</x:v>
      </x:c>
      <x:c r="K80" s="15" t="str">
        <x:v>SENS Representações Comerciais Ltda.</x:v>
      </x:c>
      <x:c r="L80" s="15"/>
      <x:c r="M80" s="15" t="str">
        <x:v>SENS administration/20.074-I - USP LESTE.pdf</x:v>
      </x:c>
      <x:c r="N80" s="15"/>
      <x:c r="O80" s="15" t="str">
        <x:v>available</x:v>
      </x:c>
      <x:c r="P80" s="15" t="str">
        <x:v>pn::bre0016655</x:v>
      </x:c>
      <x:c r="Q80" s="16" t="n">
        <x:v>1</x:v>
      </x:c>
      <x:c r="R80" s="15" t="str">
        <x:v>Suggested stock is sourced from a planning/list quantity; stock on hand was not stated in the source files and remains blank.</x:v>
      </x:c>
    </x:row>
    <x:row r="81">
      <x:c r="A81" s="15" t="str">
        <x:v>other</x:v>
      </x:c>
      <x:c r="B81" s="15" t="str">
        <x:v>STD LABOR HOURLY RATE IOMS</x:v>
      </x:c>
      <x:c r="C81" s="15"/>
      <x:c r="D81" s="15" t="str">
        <x:v>General laboratory</x:v>
      </x:c>
      <x:c r="E81" s="50" t="n">
        <x:v>1</x:v>
      </x:c>
      <x:c r="F81" s="50" t="str">
        <x:v>unit</x:v>
      </x:c>
      <x:c r="G81" s="50"/>
      <x:c r="H81" s="50"/>
      <x:c r="I81" s="50" t="n">
        <x:v>2496</x:v>
      </x:c>
      <x:c r="J81" s="50" t="str">
        <x:v>EUR</x:v>
      </x:c>
      <x:c r="K81" s="15" t="str">
        <x:v>Thermo Fisher Scientific (Bremen) GmbH</x:v>
      </x:c>
      <x:c r="L81" s="15"/>
      <x:c r="M81" s="15" t="str">
        <x:v>Thermo vs SENS quotation comparison.xlsx</x:v>
      </x:c>
      <x:c r="N81" s="15" t="str">
        <x:v>Sheet1</x:v>
      </x:c>
      <x:c r="O81" s="15" t="str">
        <x:v>available</x:v>
      </x:c>
      <x:c r="P81" s="15" t="str">
        <x:v>name::std-labor-hourly-rate-ioms</x:v>
      </x:c>
      <x:c r="Q81" s="16" t="n">
        <x:v>1</x:v>
      </x:c>
      <x:c r="R81" s="15" t="str">
        <x:v>Suggested stock is sourced from a planning/list quantity; stock on hand was not stated in the source files and remains blank.</x:v>
      </x:c>
    </x:row>
    <x:row r="82">
      <x:c r="A82" s="15" t="str">
        <x:v>spare_part</x:v>
      </x:c>
      <x:c r="B82" s="15" t="str">
        <x:v>ACID CAPILLARY LONG</x:v>
      </x:c>
      <x:c r="C82" s="15" t="str">
        <x:v>1298140</x:v>
      </x:c>
      <x:c r="D82" s="15" t="str">
        <x:v>General laboratory</x:v>
      </x:c>
      <x:c r="E82" s="50" t="n">
        <x:v>3</x:v>
      </x:c>
      <x:c r="F82" s="50"/>
      <x:c r="G82" s="50"/>
      <x:c r="H82" s="50"/>
      <x:c r="I82" s="50" t="n">
        <x:v>585.69</x:v>
      </x:c>
      <x:c r="J82" s="50" t="str">
        <x:v>EUR</x:v>
      </x:c>
      <x:c r="K82" s="15" t="str">
        <x:v>SENS Representações Comerciais Ltda.</x:v>
      </x:c>
      <x:c r="L82" s="15"/>
      <x:c r="M82" s="15" t="str">
        <x:v>Spares and consumable main list.xlsx</x:v>
      </x:c>
      <x:c r="N82" s="15" t="str">
        <x:v>Sheet1</x:v>
      </x:c>
      <x:c r="O82" s="15" t="str">
        <x:v>available</x:v>
      </x:c>
      <x:c r="P82" s="15" t="str">
        <x:v>pn::1298140</x:v>
      </x:c>
      <x:c r="Q82" s="16" t="n">
        <x:v>2</x:v>
      </x:c>
      <x:c r="R82" s="15" t="str">
        <x:v>Suggested stock is sourced from a planning/list quantity; stock on hand was not stated in the source files and remains blank.</x:v>
      </x:c>
    </x:row>
    <x:row r="83">
      <x:c r="A83" s="15" t="str">
        <x:v>spare_part</x:v>
      </x:c>
      <x:c r="B83" s="15" t="str">
        <x:v>Acid drop counter</x:v>
      </x:c>
      <x:c r="C83" s="15" t="str">
        <x:v>1283450</x:v>
      </x:c>
      <x:c r="D83" s="15" t="str">
        <x:v>Kiel IV</x:v>
      </x:c>
      <x:c r="E83" s="50" t="n">
        <x:v>10</x:v>
      </x:c>
      <x:c r="F83" s="50" t="str">
        <x:v>unit</x:v>
      </x:c>
      <x:c r="G83" s="50"/>
      <x:c r="H83" s="50"/>
      <x:c r="I83" s="50" t="n">
        <x:v>16.73</x:v>
      </x:c>
      <x:c r="J83" s="50" t="str">
        <x:v>EUR</x:v>
      </x:c>
      <x:c r="K83" s="15" t="str">
        <x:v>SENS Representações Comerciais Ltda.</x:v>
      </x:c>
      <x:c r="L83" s="15"/>
      <x:c r="M83" s="15" t="str">
        <x:v>USP LESTE PETROBRAS 2024_RFL_CMC_SC.xlsx</x:v>
      </x:c>
      <x:c r="N83" s="15" t="str">
        <x:v>Importação direta</x:v>
      </x:c>
      <x:c r="O83" s="15" t="str">
        <x:v>available</x:v>
      </x:c>
      <x:c r="P83" s="15" t="str">
        <x:v>pn::1283450</x:v>
      </x:c>
      <x:c r="Q83" s="16" t="n">
        <x:v>1</x:v>
      </x:c>
      <x:c r="R83" s="15" t="str">
        <x:v>Suggested stock is sourced from a planning/list quantity; stock on hand was not stated in the source files and remains blank.</x:v>
      </x:c>
    </x:row>
    <x:row r="84">
      <x:c r="A84" s="15" t="str">
        <x:v>spare_part</x:v>
      </x:c>
      <x:c r="B84" s="15" t="str">
        <x:v>Cleaning wire 1 m</x:v>
      </x:c>
      <x:c r="C84" s="15" t="str">
        <x:v>1299570</x:v>
      </x:c>
      <x:c r="D84" s="15" t="str">
        <x:v>General laboratory</x:v>
      </x:c>
      <x:c r="E84" s="50" t="n">
        <x:v>1</x:v>
      </x:c>
      <x:c r="F84" s="50" t="str">
        <x:v>unit</x:v>
      </x:c>
      <x:c r="G84" s="50"/>
      <x:c r="H84" s="50"/>
      <x:c r="I84" s="50" t="n">
        <x:v>20.6</x:v>
      </x:c>
      <x:c r="J84" s="50" t="str">
        <x:v>EUR</x:v>
      </x:c>
      <x:c r="K84" s="15" t="str">
        <x:v>SENS Representações Comerciais Ltda.</x:v>
      </x:c>
      <x:c r="L84" s="15"/>
      <x:c r="M84" s="15" t="str">
        <x:v>SENS administration/20.074-I - USP LESTE.pdf</x:v>
      </x:c>
      <x:c r="N84" s="15"/>
      <x:c r="O84" s="15" t="str">
        <x:v>available</x:v>
      </x:c>
      <x:c r="P84" s="15" t="str">
        <x:v>pn::1299570</x:v>
      </x:c>
      <x:c r="Q84" s="16" t="n">
        <x:v>1</x:v>
      </x:c>
      <x:c r="R84" s="15" t="str">
        <x:v>Suggested stock is sourced from a planning/list quantity; stock on hand was not stated in the source files and remains blank.</x:v>
      </x:c>
    </x:row>
    <x:row r="85">
      <x:c r="A85" s="15" t="str">
        <x:v>spare_part</x:v>
      </x:c>
      <x:c r="B85" s="15" t="str">
        <x:v>Cleaning wire 1 m, 0.075</x:v>
      </x:c>
      <x:c r="C85" s="15" t="str">
        <x:v>1314000</x:v>
      </x:c>
      <x:c r="D85" s="15" t="str">
        <x:v>General laboratory</x:v>
      </x:c>
      <x:c r="E85" s="50" t="n">
        <x:v>1</x:v>
      </x:c>
      <x:c r="F85" s="50" t="str">
        <x:v>unit</x:v>
      </x:c>
      <x:c r="G85" s="50"/>
      <x:c r="H85" s="50"/>
      <x:c r="I85" s="50" t="n">
        <x:v>21.24</x:v>
      </x:c>
      <x:c r="J85" s="50" t="str">
        <x:v>EUR</x:v>
      </x:c>
      <x:c r="K85" s="15" t="str">
        <x:v>SENS Representações Comerciais Ltda.</x:v>
      </x:c>
      <x:c r="L85" s="15"/>
      <x:c r="M85" s="15" t="str">
        <x:v>SENS administration/20.074-I - USP LESTE.pdf</x:v>
      </x:c>
      <x:c r="N85" s="15"/>
      <x:c r="O85" s="15" t="str">
        <x:v>available</x:v>
      </x:c>
      <x:c r="P85" s="15" t="str">
        <x:v>pn::1314000</x:v>
      </x:c>
      <x:c r="Q85" s="16" t="n">
        <x:v>1</x:v>
      </x:c>
      <x:c r="R85" s="15" t="str">
        <x:v>Suggested stock is sourced from a planning/list quantity; stock on hand was not stated in the source files and remains blank.</x:v>
      </x:c>
    </x:row>
    <x:row r="86">
      <x:c r="A86" s="15" t="str">
        <x:v>spare_part</x:v>
      </x:c>
      <x:c r="B86" s="15" t="str">
        <x:v>Cup nut stainless steel 1/4</x:v>
      </x:c>
      <x:c r="C86" s="15" t="str">
        <x:v>0521160</x:v>
      </x:c>
      <x:c r="D86" s="15" t="str">
        <x:v>General laboratory</x:v>
      </x:c>
      <x:c r="E86" s="50" t="n">
        <x:v>5</x:v>
      </x:c>
      <x:c r="F86" s="50" t="str">
        <x:v>unit</x:v>
      </x:c>
      <x:c r="G86" s="50"/>
      <x:c r="H86" s="50"/>
      <x:c r="I86" s="50" t="n">
        <x:v>6.73</x:v>
      </x:c>
      <x:c r="J86" s="50" t="str">
        <x:v>EUR</x:v>
      </x:c>
      <x:c r="K86" s="15" t="str">
        <x:v>SENS Representações Comerciais Ltda.</x:v>
      </x:c>
      <x:c r="L86" s="15"/>
      <x:c r="M86" s="15" t="str">
        <x:v>SENS administration/USP LESTE 23.205-I.pdf</x:v>
      </x:c>
      <x:c r="N86" s="15"/>
      <x:c r="O86" s="15" t="str">
        <x:v>available</x:v>
      </x:c>
      <x:c r="P86" s="15" t="str">
        <x:v>pn::521160</x:v>
      </x:c>
      <x:c r="Q86" s="16" t="n">
        <x:v>1</x:v>
      </x:c>
      <x:c r="R86" s="15" t="str">
        <x:v>Suggested stock is sourced from a planning/list quantity; stock on hand was not stated in the source files and remains blank.</x:v>
      </x:c>
    </x:row>
    <x:row r="87">
      <x:c r="A87" s="15" t="str">
        <x:v>spare_part</x:v>
      </x:c>
      <x:c r="B87" s="15" t="str">
        <x:v>CYLINDER HEAD SCREW ISO1207-M3X8-NYLON</x:v>
      </x:c>
      <x:c r="C87" s="15" t="str">
        <x:v>453750</x:v>
      </x:c>
      <x:c r="D87" s="15" t="str">
        <x:v>General laboratory</x:v>
      </x:c>
      <x:c r="E87" s="50" t="n">
        <x:v>18</x:v>
      </x:c>
      <x:c r="F87" s="50"/>
      <x:c r="G87" s="50"/>
      <x:c r="H87" s="50"/>
      <x:c r="I87" s="50" t="n">
        <x:v>3.51</x:v>
      </x:c>
      <x:c r="J87" s="50" t="str">
        <x:v>EUR</x:v>
      </x:c>
      <x:c r="K87" s="15" t="str">
        <x:v>SENS Representações Comerciais Ltda.</x:v>
      </x:c>
      <x:c r="L87" s="15" t="str">
        <x:v>SENS</x:v>
      </x:c>
      <x:c r="M87" s="15" t="str">
        <x:v>Spares and consumable main list.xlsx</x:v>
      </x:c>
      <x:c r="N87" s="15" t="str">
        <x:v>Sheet1</x:v>
      </x:c>
      <x:c r="O87" s="15" t="str">
        <x:v>available</x:v>
      </x:c>
      <x:c r="P87" s="15" t="str">
        <x:v>pn::453750</x:v>
      </x:c>
      <x:c r="Q87" s="16" t="n">
        <x:v>4</x:v>
      </x:c>
      <x:c r="R87" s="15" t="str">
        <x:v>Suggested stock is sourced from a planning/list quantity; stock on hand was not stated in the source files and remains blank.</x:v>
      </x:c>
    </x:row>
    <x:row r="88">
      <x:c r="A88" s="15" t="str">
        <x:v>spare_part</x:v>
      </x:c>
      <x:c r="B88" s="15" t="str">
        <x:v>FERRULE SWG BACK 1/16""""SS</x:v>
      </x:c>
      <x:c r="C88" s="15" t="str">
        <x:v>520940</x:v>
      </x:c>
      <x:c r="D88" s="15" t="str">
        <x:v>General laboratory</x:v>
      </x:c>
      <x:c r="E88" s="50" t="n">
        <x:v>2</x:v>
      </x:c>
      <x:c r="F88" s="50"/>
      <x:c r="G88" s="50"/>
      <x:c r="H88" s="50"/>
      <x:c r="I88" s="50" t="n">
        <x:v>4.57</x:v>
      </x:c>
      <x:c r="J88" s="50" t="str">
        <x:v>EUR</x:v>
      </x:c>
      <x:c r="K88" s="15" t="str">
        <x:v>SENS Representações Comerciais Ltda.</x:v>
      </x:c>
      <x:c r="L88" s="15"/>
      <x:c r="M88" s="15" t="str">
        <x:v>Spares and consumable main list.xlsx</x:v>
      </x:c>
      <x:c r="N88" s="15" t="str">
        <x:v>Sheet1</x:v>
      </x:c>
      <x:c r="O88" s="15" t="str">
        <x:v>available</x:v>
      </x:c>
      <x:c r="P88" s="15" t="str">
        <x:v>pn::520940</x:v>
      </x:c>
      <x:c r="Q88" s="16" t="n">
        <x:v>2</x:v>
      </x:c>
      <x:c r="R88" s="15" t="str">
        <x:v>Suggested stock is sourced from a planning/list quantity; stock on hand was not stated in the source files and remains blank.</x:v>
      </x:c>
    </x:row>
    <x:row r="89">
      <x:c r="A89" s="15" t="str">
        <x:v>spare_part</x:v>
      </x:c>
      <x:c r="B89" s="15" t="str">
        <x:v>FILAMENT TUNGSTEN</x:v>
      </x:c>
      <x:c r="C89" s="15" t="str">
        <x:v>672460</x:v>
      </x:c>
      <x:c r="D89" s="15" t="str">
        <x:v>General laboratory</x:v>
      </x:c>
      <x:c r="E89" s="50" t="n">
        <x:v>7</x:v>
      </x:c>
      <x:c r="F89" s="50"/>
      <x:c r="G89" s="50"/>
      <x:c r="H89" s="50"/>
      <x:c r="I89" s="50"/>
      <x:c r="J89" s="50" t="str">
        <x:v>BRL</x:v>
      </x:c>
      <x:c r="K89" s="15" t="str">
        <x:v>SENS Representações Comerciais Ltda.</x:v>
      </x:c>
      <x:c r="L89" s="15"/>
      <x:c r="M89" s="15" t="str">
        <x:v>Spares and consumable main list.xlsx</x:v>
      </x:c>
      <x:c r="N89" s="15" t="str">
        <x:v>Sheet1</x:v>
      </x:c>
      <x:c r="O89" s="15" t="str">
        <x:v>available</x:v>
      </x:c>
      <x:c r="P89" s="15" t="str">
        <x:v>pn::672460</x:v>
      </x:c>
      <x:c r="Q89" s="16" t="n">
        <x:v>1</x:v>
      </x:c>
      <x:c r="R89" s="15" t="str">
        <x:v>Suggested stock is sourced from a planning/list quantity; stock on hand was not stated in the source files and remains blank.</x:v>
      </x:c>
    </x:row>
    <x:row r="90">
      <x:c r="A90" s="15" t="str">
        <x:v>spare_part</x:v>
      </x:c>
      <x:c r="B90" s="15" t="str">
        <x:v>FLANGELESS FERRULE P-200</x:v>
      </x:c>
      <x:c r="C90" s="15" t="str">
        <x:v>1298180</x:v>
      </x:c>
      <x:c r="D90" s="15" t="str">
        <x:v>General laboratory</x:v>
      </x:c>
      <x:c r="E90" s="50" t="n">
        <x:v>20</x:v>
      </x:c>
      <x:c r="F90" s="50"/>
      <x:c r="G90" s="50"/>
      <x:c r="H90" s="50"/>
      <x:c r="I90" s="50" t="n">
        <x:v>1.86</x:v>
      </x:c>
      <x:c r="J90" s="50" t="str">
        <x:v>EUR</x:v>
      </x:c>
      <x:c r="K90" s="15" t="str">
        <x:v>SENS Representações Comerciais Ltda.</x:v>
      </x:c>
      <x:c r="L90" s="15"/>
      <x:c r="M90" s="15" t="str">
        <x:v>Spares and consumable main list.xlsx</x:v>
      </x:c>
      <x:c r="N90" s="15" t="str">
        <x:v>Sheet1</x:v>
      </x:c>
      <x:c r="O90" s="15" t="str">
        <x:v>available</x:v>
      </x:c>
      <x:c r="P90" s="15" t="str">
        <x:v>pn::1298180</x:v>
      </x:c>
      <x:c r="Q90" s="16" t="n">
        <x:v>2</x:v>
      </x:c>
      <x:c r="R90" s="15" t="str">
        <x:v>Suggested stock is sourced from a planning/list quantity; stock on hand was not stated in the source files and remains blank.</x:v>
      </x:c>
    </x:row>
    <x:row r="91">
      <x:c r="A91" s="15" t="str">
        <x:v>spare_part</x:v>
      </x:c>
      <x:c r="B91" s="15" t="str">
        <x:v>FRIT 1/4 O.D. X 1/32, STAINLESS STEEL</x:v>
      </x:c>
      <x:c r="C91" s="15" t="str">
        <x:v>1157670</x:v>
      </x:c>
      <x:c r="D91" s="15" t="str">
        <x:v>General laboratory</x:v>
      </x:c>
      <x:c r="E91" s="50" t="n">
        <x:v>2</x:v>
      </x:c>
      <x:c r="F91" s="50"/>
      <x:c r="G91" s="50"/>
      <x:c r="H91" s="50"/>
      <x:c r="I91" s="50" t="n">
        <x:v>15.92</x:v>
      </x:c>
      <x:c r="J91" s="50" t="str">
        <x:v>EUR</x:v>
      </x:c>
      <x:c r="K91" s="15" t="str">
        <x:v>SENS Representações Comerciais Ltda.</x:v>
      </x:c>
      <x:c r="L91" s="15"/>
      <x:c r="M91" s="15" t="str">
        <x:v>Spares and consumable main list.xlsx</x:v>
      </x:c>
      <x:c r="N91" s="15" t="str">
        <x:v>Sheet1</x:v>
      </x:c>
      <x:c r="O91" s="15" t="str">
        <x:v>available</x:v>
      </x:c>
      <x:c r="P91" s="15" t="str">
        <x:v>pn::1157670</x:v>
      </x:c>
      <x:c r="Q91" s="16" t="n">
        <x:v>3</x:v>
      </x:c>
      <x:c r="R91" s="15" t="str">
        <x:v>Suggested stock is sourced from a planning/list quantity; stock on hand was not stated in the source files and remains blank.</x:v>
      </x:c>
    </x:row>
    <x:row r="92">
      <x:c r="A92" s="15" t="str">
        <x:v>spare_part</x:v>
      </x:c>
      <x:c r="B92" s="15" t="str">
        <x:v>Front ferrule 1/4 Swagelok</x:v>
      </x:c>
      <x:c r="C92" s="15" t="str">
        <x:v>0792800</x:v>
      </x:c>
      <x:c r="D92" s="15" t="str">
        <x:v>General laboratory</x:v>
      </x:c>
      <x:c r="E92" s="50" t="n">
        <x:v>5</x:v>
      </x:c>
      <x:c r="F92" s="50" t="str">
        <x:v>unit</x:v>
      </x:c>
      <x:c r="G92" s="50"/>
      <x:c r="H92" s="50"/>
      <x:c r="I92" s="50" t="n">
        <x:v>4.54</x:v>
      </x:c>
      <x:c r="J92" s="50" t="str">
        <x:v>EUR</x:v>
      </x:c>
      <x:c r="K92" s="15" t="str">
        <x:v>SENS Representações Comerciais Ltda.</x:v>
      </x:c>
      <x:c r="L92" s="15"/>
      <x:c r="M92" s="15" t="str">
        <x:v>SENS administration/USP LESTE 23.205-I.pdf</x:v>
      </x:c>
      <x:c r="N92" s="15"/>
      <x:c r="O92" s="15" t="str">
        <x:v>available</x:v>
      </x:c>
      <x:c r="P92" s="15" t="str">
        <x:v>pn::792800</x:v>
      </x:c>
      <x:c r="Q92" s="16" t="n">
        <x:v>1</x:v>
      </x:c>
      <x:c r="R92" s="15" t="str">
        <x:v>Suggested stock is sourced from a planning/list quantity; stock on hand was not stated in the source files and remains blank.</x:v>
      </x:c>
    </x:row>
    <x:row r="93">
      <x:c r="A93" s="15" t="str">
        <x:v>spare_part</x:v>
      </x:c>
      <x:c r="B93" s="15" t="str">
        <x:v>FRONT FERRULE, TUBE O.D. 1/16</x:v>
      </x:c>
      <x:c r="C93" s="15" t="str">
        <x:v>520910</x:v>
      </x:c>
      <x:c r="D93" s="15" t="str">
        <x:v>General laboratory</x:v>
      </x:c>
      <x:c r="E93" s="50" t="n">
        <x:v>2</x:v>
      </x:c>
      <x:c r="F93" s="50"/>
      <x:c r="G93" s="50"/>
      <x:c r="H93" s="50"/>
      <x:c r="I93" s="50" t="n">
        <x:v>5.58</x:v>
      </x:c>
      <x:c r="J93" s="50" t="str">
        <x:v>EUR</x:v>
      </x:c>
      <x:c r="K93" s="15" t="str">
        <x:v>SENS Representações Comerciais Ltda.</x:v>
      </x:c>
      <x:c r="L93" s="15"/>
      <x:c r="M93" s="15" t="str">
        <x:v>Spares and consumable main list.xlsx</x:v>
      </x:c>
      <x:c r="N93" s="15" t="str">
        <x:v>Sheet1</x:v>
      </x:c>
      <x:c r="O93" s="15" t="str">
        <x:v>available</x:v>
      </x:c>
      <x:c r="P93" s="15" t="str">
        <x:v>pn::520910</x:v>
      </x:c>
      <x:c r="Q93" s="16" t="n">
        <x:v>2</x:v>
      </x:c>
      <x:c r="R93" s="15" t="str">
        <x:v>Suggested stock is sourced from a planning/list quantity; stock on hand was not stated in the source files and remains blank.</x:v>
      </x:c>
    </x:row>
    <x:row r="94">
      <x:c r="A94" s="15" t="str">
        <x:v>spare_part</x:v>
      </x:c>
      <x:c r="B94" s="15" t="str">
        <x:v>GASKET GOLD OD117XID115</x:v>
      </x:c>
      <x:c r="C94" s="15" t="str">
        <x:v>551600</x:v>
      </x:c>
      <x:c r="D94" s="15" t="str">
        <x:v>General laboratory</x:v>
      </x:c>
      <x:c r="E94" s="50" t="n">
        <x:v>2</x:v>
      </x:c>
      <x:c r="F94" s="50"/>
      <x:c r="G94" s="50"/>
      <x:c r="H94" s="50"/>
      <x:c r="I94" s="50" t="n">
        <x:v>1117.61</x:v>
      </x:c>
      <x:c r="J94" s="50" t="str">
        <x:v>EUR</x:v>
      </x:c>
      <x:c r="K94" s="15" t="str">
        <x:v>SENS Representações Comerciais Ltda.</x:v>
      </x:c>
      <x:c r="L94" s="15"/>
      <x:c r="M94" s="15" t="str">
        <x:v>Spares and consumable main list.xlsx</x:v>
      </x:c>
      <x:c r="N94" s="15" t="str">
        <x:v>Sheet1</x:v>
      </x:c>
      <x:c r="O94" s="15" t="str">
        <x:v>available</x:v>
      </x:c>
      <x:c r="P94" s="15" t="str">
        <x:v>pn::551600</x:v>
      </x:c>
      <x:c r="Q94" s="16" t="n">
        <x:v>3</x:v>
      </x:c>
      <x:c r="R94" s="15" t="str">
        <x:v>Suggested stock is sourced from a planning/list quantity; stock on hand was not stated in the source files and remains blank.</x:v>
      </x:c>
    </x:row>
    <x:row r="95">
      <x:c r="A95" s="15" t="str">
        <x:v>spare_part</x:v>
      </x:c>
      <x:c r="B95" s="15" t="str">
        <x:v>GASKET GOLD OD38XID36 5</x:v>
      </x:c>
      <x:c r="C95" s="15" t="str">
        <x:v>545270</x:v>
      </x:c>
      <x:c r="D95" s="15" t="str">
        <x:v>General laboratory</x:v>
      </x:c>
      <x:c r="E95" s="50" t="n">
        <x:v>10</x:v>
      </x:c>
      <x:c r="F95" s="50"/>
      <x:c r="G95" s="50"/>
      <x:c r="H95" s="50"/>
      <x:c r="I95" s="50" t="n">
        <x:v>245.25</x:v>
      </x:c>
      <x:c r="J95" s="50" t="str">
        <x:v>EUR</x:v>
      </x:c>
      <x:c r="K95" s="15" t="str">
        <x:v>SENS Representações Comerciais Ltda.</x:v>
      </x:c>
      <x:c r="L95" s="15" t="str">
        <x:v>SENS</x:v>
      </x:c>
      <x:c r="M95" s="15" t="str">
        <x:v>Spares and consumable main list.xlsx</x:v>
      </x:c>
      <x:c r="N95" s="15" t="str">
        <x:v>Sheet1</x:v>
      </x:c>
      <x:c r="O95" s="15" t="str">
        <x:v>available</x:v>
      </x:c>
      <x:c r="P95" s="15" t="str">
        <x:v>pn::545270</x:v>
      </x:c>
      <x:c r="Q95" s="16" t="n">
        <x:v>3</x:v>
      </x:c>
      <x:c r="R95" s="15" t="str">
        <x:v>Suggested stock is sourced from a planning/list quantity; stock on hand was not stated in the source files and remains blank.</x:v>
      </x:c>
    </x:row>
    <x:row r="96">
      <x:c r="A96" s="15" t="str">
        <x:v>spare_part</x:v>
      </x:c>
      <x:c r="B96" s="15" t="str">
        <x:v>GASKET TEF 11. 9X9X0.25 / PACK OF 3</x:v>
      </x:c>
      <x:c r="C96" s="15" t="str">
        <x:v>0598671</x:v>
      </x:c>
      <x:c r="D96" s="15" t="str">
        <x:v>General laboratory</x:v>
      </x:c>
      <x:c r="E96" s="50" t="n">
        <x:v>4</x:v>
      </x:c>
      <x:c r="F96" s="50"/>
      <x:c r="G96" s="50"/>
      <x:c r="H96" s="50"/>
      <x:c r="I96" s="50" t="n">
        <x:v>202.61</x:v>
      </x:c>
      <x:c r="J96" s="50" t="str">
        <x:v>BRL</x:v>
      </x:c>
      <x:c r="K96" s="15" t="str">
        <x:v>SENS Representações Comerciais Ltda.</x:v>
      </x:c>
      <x:c r="L96" s="15"/>
      <x:c r="M96" s="15" t="str">
        <x:v>Spares and consumable main list.xlsx</x:v>
      </x:c>
      <x:c r="N96" s="15" t="str">
        <x:v>Sheet1</x:v>
      </x:c>
      <x:c r="O96" s="15" t="str">
        <x:v>available</x:v>
      </x:c>
      <x:c r="P96" s="15" t="str">
        <x:v>pn::598671</x:v>
      </x:c>
      <x:c r="Q96" s="16" t="n">
        <x:v>2</x:v>
      </x:c>
      <x:c r="R96" s="15" t="str">
        <x:v>Suggested stock is sourced from a planning/list quantity; stock on hand was not stated in the source files and remains blank.</x:v>
      </x:c>
    </x:row>
    <x:row r="97">
      <x:c r="A97" s="15" t="str">
        <x:v>spare_part</x:v>
      </x:c>
      <x:c r="B97" s="15" t="str">
        <x:v>Gold gasket OD11.5 x ID10</x:v>
      </x:c>
      <x:c r="C97" s="15" t="str">
        <x:v>0551240</x:v>
      </x:c>
      <x:c r="D97" s="15" t="str">
        <x:v>General laboratory</x:v>
      </x:c>
      <x:c r="E97" s="50" t="n">
        <x:v>3</x:v>
      </x:c>
      <x:c r="F97" s="50" t="str">
        <x:v>unit</x:v>
      </x:c>
      <x:c r="G97" s="50"/>
      <x:c r="H97" s="50"/>
      <x:c r="I97" s="50" t="n">
        <x:v>67.39</x:v>
      </x:c>
      <x:c r="J97" s="50" t="str">
        <x:v>EUR</x:v>
      </x:c>
      <x:c r="K97" s="15" t="str">
        <x:v>SENS Representações Comerciais Ltda.</x:v>
      </x:c>
      <x:c r="L97" s="15"/>
      <x:c r="M97" s="15" t="str">
        <x:v>SENS administration/USP LESTE 23.205-I.pdf</x:v>
      </x:c>
      <x:c r="N97" s="15"/>
      <x:c r="O97" s="15" t="str">
        <x:v>available</x:v>
      </x:c>
      <x:c r="P97" s="15" t="str">
        <x:v>pn::551240</x:v>
      </x:c>
      <x:c r="Q97" s="16" t="n">
        <x:v>1</x:v>
      </x:c>
      <x:c r="R97" s="15" t="str">
        <x:v>Suggested stock is sourced from a planning/list quantity; stock on hand was not stated in the source files and remains blank.</x:v>
      </x:c>
    </x:row>
    <x:row r="98">
      <x:c r="A98" s="15" t="str">
        <x:v>spare_part</x:v>
      </x:c>
      <x:c r="B98" s="15" t="str">
        <x:v>HALOGENLAMP 20W 12V - OSRAM</x:v>
      </x:c>
      <x:c r="C98" s="15" t="str">
        <x:v>1220110</x:v>
      </x:c>
      <x:c r="D98" s="15" t="str">
        <x:v>General laboratory</x:v>
      </x:c>
      <x:c r="E98" s="50" t="n">
        <x:v>10</x:v>
      </x:c>
      <x:c r="F98" s="50"/>
      <x:c r="G98" s="50"/>
      <x:c r="H98" s="50"/>
      <x:c r="I98" s="50" t="n">
        <x:v>4.07</x:v>
      </x:c>
      <x:c r="J98" s="50" t="str">
        <x:v>EUR</x:v>
      </x:c>
      <x:c r="K98" s="15" t="str">
        <x:v>SENS Representações Comerciais Ltda.</x:v>
      </x:c>
      <x:c r="L98" s="15"/>
      <x:c r="M98" s="15" t="str">
        <x:v>Spares and consumable main list.xlsx</x:v>
      </x:c>
      <x:c r="N98" s="15" t="str">
        <x:v>Sheet1</x:v>
      </x:c>
      <x:c r="O98" s="15" t="str">
        <x:v>available</x:v>
      </x:c>
      <x:c r="P98" s="15" t="str">
        <x:v>pn::1220110</x:v>
      </x:c>
      <x:c r="Q98" s="16" t="n">
        <x:v>3</x:v>
      </x:c>
      <x:c r="R98" s="15" t="str">
        <x:v>Suggested stock is sourced from a planning/list quantity; stock on hand was not stated in the source files and remains blank.</x:v>
      </x:c>
    </x:row>
    <x:row r="99">
      <x:c r="A99" s="15" t="str">
        <x:v>spare_part</x:v>
      </x:c>
      <x:c r="B99" s="15" t="str">
        <x:v>LIFTING CYLINDER CD85 100 MM TWIST-SAFE</x:v>
      </x:c>
      <x:c r="C99" s="15" t="str">
        <x:v>1117210</x:v>
      </x:c>
      <x:c r="D99" s="15" t="str">
        <x:v>General laboratory</x:v>
      </x:c>
      <x:c r="E99" s="50" t="n">
        <x:v>2</x:v>
      </x:c>
      <x:c r="F99" s="50"/>
      <x:c r="G99" s="50"/>
      <x:c r="H99" s="50"/>
      <x:c r="I99" s="50" t="n">
        <x:v>125.26</x:v>
      </x:c>
      <x:c r="J99" s="50" t="str">
        <x:v>EUR</x:v>
      </x:c>
      <x:c r="K99" s="15" t="str">
        <x:v>SENS Representações Comerciais Ltda.</x:v>
      </x:c>
      <x:c r="L99" s="15"/>
      <x:c r="M99" s="15" t="str">
        <x:v>Spares and consumable main list.xlsx</x:v>
      </x:c>
      <x:c r="N99" s="15" t="str">
        <x:v>Sheet1</x:v>
      </x:c>
      <x:c r="O99" s="15" t="str">
        <x:v>available</x:v>
      </x:c>
      <x:c r="P99" s="15" t="str">
        <x:v>pn::1117210</x:v>
      </x:c>
      <x:c r="Q99" s="16" t="n">
        <x:v>2</x:v>
      </x:c>
      <x:c r="R99" s="15" t="str">
        <x:v>Suggested stock is sourced from a planning/list quantity; stock on hand was not stated in the source files and remains blank.</x:v>
      </x:c>
    </x:row>
    <x:row r="100">
      <x:c r="A100" s="15" t="str">
        <x:v>spare_part</x:v>
      </x:c>
      <x:c r="B100" s="15" t="str">
        <x:v>Manutençao ar condicionado</x:v>
      </x:c>
      <x:c r="C100" s="15"/>
      <x:c r="D100" s="15" t="str">
        <x:v>General laboratory</x:v>
      </x:c>
      <x:c r="E100" s="50" t="n">
        <x:v>1</x:v>
      </x:c>
      <x:c r="F100" s="50" t="str">
        <x:v>unit</x:v>
      </x:c>
      <x:c r="G100" s="50"/>
      <x:c r="H100" s="50"/>
      <x:c r="I100" s="50" t="n">
        <x:v>2940</x:v>
      </x:c>
      <x:c r="J100" s="50" t="str">
        <x:v>BRL</x:v>
      </x:c>
      <x:c r="K100" s="15"/>
      <x:c r="L100" s="15"/>
      <x:c r="M100" s="15" t="str">
        <x:v>USP LESTE PETROBRAS 2024_RFL_CMC_SC.xlsx</x:v>
      </x:c>
      <x:c r="N100" s="15" t="str">
        <x:v>Importação direta</x:v>
      </x:c>
      <x:c r="O100" s="15" t="str">
        <x:v>available</x:v>
      </x:c>
      <x:c r="P100" s="15" t="str">
        <x:v>name::manutencao-ar-condicionado</x:v>
      </x:c>
      <x:c r="Q100" s="16" t="n">
        <x:v>1</x:v>
      </x:c>
      <x:c r="R100" s="15" t="str">
        <x:v>Suggested stock is sourced from a planning/list quantity; stock on hand was not stated in the source files and remains blank.</x:v>
      </x:c>
    </x:row>
    <x:row r="101">
      <x:c r="A101" s="15" t="str">
        <x:v>spare_part</x:v>
      </x:c>
      <x:c r="B101" s="15" t="str">
        <x:v>Manutençao compressor</x:v>
      </x:c>
      <x:c r="C101" s="15"/>
      <x:c r="D101" s="15" t="str">
        <x:v>Compressed-air system</x:v>
      </x:c>
      <x:c r="E101" s="50" t="n">
        <x:v>3</x:v>
      </x:c>
      <x:c r="F101" s="50" t="str">
        <x:v>unit</x:v>
      </x:c>
      <x:c r="G101" s="50"/>
      <x:c r="H101" s="50"/>
      <x:c r="I101" s="50" t="n">
        <x:v>2404.5</x:v>
      </x:c>
      <x:c r="J101" s="50" t="str">
        <x:v>BRL</x:v>
      </x:c>
      <x:c r="K101" s="15"/>
      <x:c r="L101" s="15"/>
      <x:c r="M101" s="15" t="str">
        <x:v>USP LESTE PETROBRAS 2024_RFL_CMC_SC.xlsx</x:v>
      </x:c>
      <x:c r="N101" s="15" t="str">
        <x:v>Importação direta</x:v>
      </x:c>
      <x:c r="O101" s="15" t="str">
        <x:v>available</x:v>
      </x:c>
      <x:c r="P101" s="15" t="str">
        <x:v>name::manutencao-compressor</x:v>
      </x:c>
      <x:c r="Q101" s="16" t="n">
        <x:v>1</x:v>
      </x:c>
      <x:c r="R101" s="15" t="str">
        <x:v>Suggested stock is sourced from a planning/list quantity; stock on hand was not stated in the source files and remains blank.</x:v>
      </x:c>
    </x:row>
    <x:row r="102">
      <x:c r="A102" s="15" t="str">
        <x:v>spare_part</x:v>
      </x:c>
      <x:c r="B102" s="15" t="str">
        <x:v>Manutençao container</x:v>
      </x:c>
      <x:c r="C102" s="15"/>
      <x:c r="D102" s="15" t="str">
        <x:v>General laboratory</x:v>
      </x:c>
      <x:c r="E102" s="50" t="n">
        <x:v>2</x:v>
      </x:c>
      <x:c r="F102" s="50" t="str">
        <x:v>unit</x:v>
      </x:c>
      <x:c r="G102" s="50"/>
      <x:c r="H102" s="50"/>
      <x:c r="I102" s="50" t="n">
        <x:v>24300</x:v>
      </x:c>
      <x:c r="J102" s="50" t="str">
        <x:v>BRL</x:v>
      </x:c>
      <x:c r="K102" s="15"/>
      <x:c r="L102" s="15"/>
      <x:c r="M102" s="15" t="str">
        <x:v>USP LESTE PETROBRAS 2024_RFL_CMC_SC.xlsx</x:v>
      </x:c>
      <x:c r="N102" s="15" t="str">
        <x:v>Importação direta</x:v>
      </x:c>
      <x:c r="O102" s="15" t="str">
        <x:v>available</x:v>
      </x:c>
      <x:c r="P102" s="15" t="str">
        <x:v>name::manutencao-container</x:v>
      </x:c>
      <x:c r="Q102" s="16" t="n">
        <x:v>1</x:v>
      </x:c>
      <x:c r="R102" s="15" t="str">
        <x:v>Suggested stock is sourced from a planning/list quantity; stock on hand was not stated in the source files and remains blank.</x:v>
      </x:c>
    </x:row>
    <x:row r="103">
      <x:c r="A103" s="15" t="str">
        <x:v>spare_part</x:v>
      </x:c>
      <x:c r="B103" s="15" t="str">
        <x:v>Manutencao e consumiveis da bomba de vácuo da Liofilizadora</x:v>
      </x:c>
      <x:c r="C103" s="15"/>
      <x:c r="D103" s="15" t="str">
        <x:v>Freeze dryer</x:v>
      </x:c>
      <x:c r="E103" s="50" t="n">
        <x:v>2</x:v>
      </x:c>
      <x:c r="F103" s="50" t="str">
        <x:v>unit</x:v>
      </x:c>
      <x:c r="G103" s="50"/>
      <x:c r="H103" s="50"/>
      <x:c r="I103" s="50" t="n">
        <x:v>1477.46</x:v>
      </x:c>
      <x:c r="J103" s="50" t="str">
        <x:v>BRL</x:v>
      </x:c>
      <x:c r="K103" s="15"/>
      <x:c r="L103" s="15"/>
      <x:c r="M103" s="15" t="str">
        <x:v>USP LESTE PETROBRAS 2024_RFL_CMC_SC.xlsx</x:v>
      </x:c>
      <x:c r="N103" s="15" t="str">
        <x:v>Importação direta</x:v>
      </x:c>
      <x:c r="O103" s="15" t="str">
        <x:v>available</x:v>
      </x:c>
      <x:c r="P103" s="15" t="str">
        <x:v>name::manutencao-e-consumiveis-da-bomba-de-vacuo-da-liofilizadora</x:v>
      </x:c>
      <x:c r="Q103" s="16" t="n">
        <x:v>1</x:v>
      </x:c>
      <x:c r="R103" s="15" t="str">
        <x:v>Suggested stock is sourced from a planning/list quantity; stock on hand was not stated in the source files and remains blank.</x:v>
      </x:c>
    </x:row>
    <x:row r="104">
      <x:c r="A104" s="15" t="str">
        <x:v>spare_part</x:v>
      </x:c>
      <x:c r="B104" s="15" t="str">
        <x:v>Manutencao e consumiveis gerador Triak</x:v>
      </x:c>
      <x:c r="C104" s="15"/>
      <x:c r="D104" s="15" t="str">
        <x:v>Triak generator</x:v>
      </x:c>
      <x:c r="E104" s="50" t="n">
        <x:v>3</x:v>
      </x:c>
      <x:c r="F104" s="50" t="str">
        <x:v>unit</x:v>
      </x:c>
      <x:c r="G104" s="50"/>
      <x:c r="H104" s="50"/>
      <x:c r="I104" s="50" t="n">
        <x:v>7920</x:v>
      </x:c>
      <x:c r="J104" s="50" t="str">
        <x:v>BRL</x:v>
      </x:c>
      <x:c r="K104" s="15"/>
      <x:c r="L104" s="15"/>
      <x:c r="M104" s="15" t="str">
        <x:v>USP LESTE PETROBRAS 2024_RFL_CMC_SC.xlsx</x:v>
      </x:c>
      <x:c r="N104" s="15" t="str">
        <x:v>Importação direta</x:v>
      </x:c>
      <x:c r="O104" s="15" t="str">
        <x:v>available</x:v>
      </x:c>
      <x:c r="P104" s="15" t="str">
        <x:v>name::manutencao-e-consumiveis-gerador-triak</x:v>
      </x:c>
      <x:c r="Q104" s="16" t="n">
        <x:v>1</x:v>
      </x:c>
      <x:c r="R104" s="15" t="str">
        <x:v>Suggested stock is sourced from a planning/list quantity; stock on hand was not stated in the source files and remains blank.</x:v>
      </x:c>
    </x:row>
    <x:row r="105">
      <x:c r="A105" s="15" t="str">
        <x:v>spare_part</x:v>
      </x:c>
      <x:c r="B105" s="15" t="str">
        <x:v>Manutencao maquina Miele (com troca resina e consumíveis)</x:v>
      </x:c>
      <x:c r="C105" s="15"/>
      <x:c r="D105" s="15" t="str">
        <x:v>Miele laboratory washer</x:v>
      </x:c>
      <x:c r="E105" s="50" t="n">
        <x:v>2</x:v>
      </x:c>
      <x:c r="F105" s="50" t="str">
        <x:v>unit</x:v>
      </x:c>
      <x:c r="G105" s="50"/>
      <x:c r="H105" s="50"/>
      <x:c r="I105" s="50" t="n">
        <x:v>13150</x:v>
      </x:c>
      <x:c r="J105" s="50" t="str">
        <x:v>BRL</x:v>
      </x:c>
      <x:c r="K105" s="15"/>
      <x:c r="L105" s="15"/>
      <x:c r="M105" s="15" t="str">
        <x:v>USP LESTE PETROBRAS 2024_RFL_CMC_SC.xlsx</x:v>
      </x:c>
      <x:c r="N105" s="15" t="str">
        <x:v>Importação direta</x:v>
      </x:c>
      <x:c r="O105" s="15" t="str">
        <x:v>available</x:v>
      </x:c>
      <x:c r="P105" s="15" t="str">
        <x:v>name::manutencao-maquina-miele-com-troca-resina-e-consumiveis</x:v>
      </x:c>
      <x:c r="Q105" s="16" t="n">
        <x:v>1</x:v>
      </x:c>
      <x:c r="R105" s="15" t="str">
        <x:v>Suggested stock is sourced from a planning/list quantity; stock on hand was not stated in the source files and remains blank.</x:v>
      </x:c>
    </x:row>
    <x:row r="106">
      <x:c r="A106" s="15" t="str">
        <x:v>spare_part</x:v>
      </x:c>
      <x:c r="B106" s="15" t="str">
        <x:v>MEMBRANE COMPLETE</x:v>
      </x:c>
      <x:c r="C106" s="15" t="str">
        <x:v>653010</x:v>
      </x:c>
      <x:c r="D106" s="15" t="str">
        <x:v>General laboratory</x:v>
      </x:c>
      <x:c r="E106" s="50" t="n">
        <x:v>10</x:v>
      </x:c>
      <x:c r="F106" s="50"/>
      <x:c r="G106" s="50"/>
      <x:c r="H106" s="50"/>
      <x:c r="I106" s="50" t="n">
        <x:v>59.04</x:v>
      </x:c>
      <x:c r="J106" s="50" t="str">
        <x:v>EUR</x:v>
      </x:c>
      <x:c r="K106" s="15" t="str">
        <x:v>SENS Representações Comerciais Ltda.</x:v>
      </x:c>
      <x:c r="L106" s="15" t="str">
        <x:v>SENS</x:v>
      </x:c>
      <x:c r="M106" s="15" t="str">
        <x:v>Spares and consumable main list.xlsx</x:v>
      </x:c>
      <x:c r="N106" s="15" t="str">
        <x:v>Sheet1</x:v>
      </x:c>
      <x:c r="O106" s="15" t="str">
        <x:v>available</x:v>
      </x:c>
      <x:c r="P106" s="15" t="str">
        <x:v>pn::653010</x:v>
      </x:c>
      <x:c r="Q106" s="16" t="n">
        <x:v>3</x:v>
      </x:c>
      <x:c r="R106" s="15" t="str">
        <x:v>Suggested stock is sourced from a planning/list quantity; stock on hand was not stated in the source files and remains blank.</x:v>
      </x:c>
    </x:row>
    <x:row r="107">
      <x:c r="A107" s="15" t="str">
        <x:v>spare_part</x:v>
      </x:c>
      <x:c r="B107" s="15" t="str">
        <x:v>NO TWIST FITTING 1/16"" PEEK ZNF1PK</x:v>
      </x:c>
      <x:c r="C107" s="15" t="str">
        <x:v>1298090</x:v>
      </x:c>
      <x:c r="D107" s="15" t="str">
        <x:v>General laboratory</x:v>
      </x:c>
      <x:c r="E107" s="50" t="n">
        <x:v>1</x:v>
      </x:c>
      <x:c r="F107" s="50"/>
      <x:c r="G107" s="50"/>
      <x:c r="H107" s="50"/>
      <x:c r="I107" s="50" t="n">
        <x:v>60.8</x:v>
      </x:c>
      <x:c r="J107" s="50" t="str">
        <x:v>EUR</x:v>
      </x:c>
      <x:c r="K107" s="15" t="str">
        <x:v>SENS Representações Comerciais Ltda.</x:v>
      </x:c>
      <x:c r="L107" s="15"/>
      <x:c r="M107" s="15" t="str">
        <x:v>Spares and consumable main list.xlsx</x:v>
      </x:c>
      <x:c r="N107" s="15" t="str">
        <x:v>Sheet1</x:v>
      </x:c>
      <x:c r="O107" s="15" t="str">
        <x:v>available</x:v>
      </x:c>
      <x:c r="P107" s="15" t="str">
        <x:v>pn::1298090</x:v>
      </x:c>
      <x:c r="Q107" s="16" t="n">
        <x:v>2</x:v>
      </x:c>
      <x:c r="R107" s="15" t="str">
        <x:v>Suggested stock is sourced from a planning/list quantity; stock on hand was not stated in the source files and remains blank.</x:v>
      </x:c>
    </x:row>
    <x:row r="108">
      <x:c r="A108" s="15" t="str">
        <x:v>spare_part</x:v>
      </x:c>
      <x:c r="B108" s="15" t="str">
        <x:v>O-RING, 12.37 X 2.62 VITON</x:v>
      </x:c>
      <x:c r="C108" s="15" t="str">
        <x:v>554440</x:v>
      </x:c>
      <x:c r="D108" s="15" t="str">
        <x:v>General laboratory</x:v>
      </x:c>
      <x:c r="E108" s="50" t="n">
        <x:v>50</x:v>
      </x:c>
      <x:c r="F108" s="50"/>
      <x:c r="G108" s="50"/>
      <x:c r="H108" s="50"/>
      <x:c r="I108" s="50" t="n">
        <x:v>1.71</x:v>
      </x:c>
      <x:c r="J108" s="50" t="str">
        <x:v>EUR</x:v>
      </x:c>
      <x:c r="K108" s="15" t="str">
        <x:v>SENS Representações Comerciais Ltda.</x:v>
      </x:c>
      <x:c r="L108" s="15" t="str">
        <x:v>SENS</x:v>
      </x:c>
      <x:c r="M108" s="15" t="str">
        <x:v>Spares and consumable main list.xlsx</x:v>
      </x:c>
      <x:c r="N108" s="15" t="str">
        <x:v>Sheet1</x:v>
      </x:c>
      <x:c r="O108" s="15" t="str">
        <x:v>available</x:v>
      </x:c>
      <x:c r="P108" s="15" t="str">
        <x:v>pn::554440</x:v>
      </x:c>
      <x:c r="Q108" s="16" t="n">
        <x:v>4</x:v>
      </x:c>
      <x:c r="R108" s="15" t="str">
        <x:v>Suggested stock is sourced from a planning/list quantity; stock on hand was not stated in the source files and remains blank.</x:v>
      </x:c>
    </x:row>
    <x:row r="109">
      <x:c r="A109" s="15" t="str">
        <x:v>spare_part</x:v>
      </x:c>
      <x:c r="B109" s="15" t="str">
        <x:v>OPERATING FUILD RESERVOIR FOR HIPACE 300</x:v>
      </x:c>
      <x:c r="C109" s="15" t="str">
        <x:v>1275730</x:v>
      </x:c>
      <x:c r="D109" s="15" t="str">
        <x:v>HiPace 300</x:v>
      </x:c>
      <x:c r="E109" s="50" t="n">
        <x:v>2</x:v>
      </x:c>
      <x:c r="F109" s="50"/>
      <x:c r="G109" s="50"/>
      <x:c r="H109" s="50"/>
      <x:c r="I109" s="50" t="n">
        <x:v>100.24</x:v>
      </x:c>
      <x:c r="J109" s="50" t="str">
        <x:v>EUR</x:v>
      </x:c>
      <x:c r="K109" s="15" t="str">
        <x:v>SENS Representações Comerciais Ltda.</x:v>
      </x:c>
      <x:c r="L109" s="15"/>
      <x:c r="M109" s="15" t="str">
        <x:v>Spares and consumable main list.xlsx</x:v>
      </x:c>
      <x:c r="N109" s="15" t="str">
        <x:v>Sheet1</x:v>
      </x:c>
      <x:c r="O109" s="15" t="str">
        <x:v>available</x:v>
      </x:c>
      <x:c r="P109" s="15" t="str">
        <x:v>pn::1275730</x:v>
      </x:c>
      <x:c r="Q109" s="16" t="n">
        <x:v>2</x:v>
      </x:c>
      <x:c r="R109" s="15" t="str">
        <x:v>Suggested stock is sourced from a planning/list quantity; stock on hand was not stated in the source files and remains blank.</x:v>
      </x:c>
    </x:row>
    <x:row r="110">
      <x:c r="A110" s="15" t="str">
        <x:v>spare_part</x:v>
      </x:c>
      <x:c r="B110" s="15" t="str">
        <x:v>OPERATING FUILD RESERVOIR FOR HIPACE 80</x:v>
      </x:c>
      <x:c r="C110" s="15" t="str">
        <x:v>1275740</x:v>
      </x:c>
      <x:c r="D110" s="15" t="str">
        <x:v>HiPace 80</x:v>
      </x:c>
      <x:c r="E110" s="50" t="n">
        <x:v>6</x:v>
      </x:c>
      <x:c r="F110" s="50"/>
      <x:c r="G110" s="50"/>
      <x:c r="H110" s="50"/>
      <x:c r="I110" s="50" t="n">
        <x:v>100.24</x:v>
      </x:c>
      <x:c r="J110" s="50" t="str">
        <x:v>EUR</x:v>
      </x:c>
      <x:c r="K110" s="15" t="str">
        <x:v>SENS Representações Comerciais Ltda.</x:v>
      </x:c>
      <x:c r="L110" s="15"/>
      <x:c r="M110" s="15" t="str">
        <x:v>Spares and consumable main list.xlsx</x:v>
      </x:c>
      <x:c r="N110" s="15" t="str">
        <x:v>Sheet1</x:v>
      </x:c>
      <x:c r="O110" s="15" t="str">
        <x:v>available</x:v>
      </x:c>
      <x:c r="P110" s="15" t="str">
        <x:v>pn::1275740</x:v>
      </x:c>
      <x:c r="Q110" s="16" t="n">
        <x:v>2</x:v>
      </x:c>
      <x:c r="R110" s="15" t="str">
        <x:v>Suggested stock is sourced from a planning/list quantity; stock on hand was not stated in the source files and remains blank.</x:v>
      </x:c>
    </x:row>
    <x:row r="111">
      <x:c r="A111" s="15" t="str">
        <x:v>spare_part</x:v>
      </x:c>
      <x:c r="B111" s="15" t="str">
        <x:v>Peças varias linha ar comprimido</x:v>
      </x:c>
      <x:c r="C111" s="15"/>
      <x:c r="D111" s="15" t="str">
        <x:v>Compressed-air system</x:v>
      </x:c>
      <x:c r="E111" s="50" t="n">
        <x:v>1</x:v>
      </x:c>
      <x:c r="F111" s="50" t="str">
        <x:v>unit</x:v>
      </x:c>
      <x:c r="G111" s="50"/>
      <x:c r="H111" s="50"/>
      <x:c r="I111" s="50" t="n">
        <x:v>168.8</x:v>
      </x:c>
      <x:c r="J111" s="50" t="str">
        <x:v>BRL</x:v>
      </x:c>
      <x:c r="K111" s="15"/>
      <x:c r="L111" s="15"/>
      <x:c r="M111" s="15" t="str">
        <x:v>USP LESTE PETROBRAS 2024_RFL_CMC_SC.xlsx</x:v>
      </x:c>
      <x:c r="N111" s="15" t="str">
        <x:v>Importação direta</x:v>
      </x:c>
      <x:c r="O111" s="15" t="str">
        <x:v>available</x:v>
      </x:c>
      <x:c r="P111" s="15" t="str">
        <x:v>name::pecas-varias-linha-ar-comprimido</x:v>
      </x:c>
      <x:c r="Q111" s="16" t="n">
        <x:v>1</x:v>
      </x:c>
      <x:c r="R111" s="15" t="str">
        <x:v>Suggested stock is sourced from a planning/list quantity; stock on hand was not stated in the source files and remains blank.</x:v>
      </x:c>
    </x:row>
    <x:row r="112">
      <x:c r="A112" s="15" t="str">
        <x:v>spare_part</x:v>
      </x:c>
      <x:c r="B112" s="15" t="str">
        <x:v>PISTON</x:v>
      </x:c>
      <x:c r="C112" s="15" t="str">
        <x:v>0653030</x:v>
      </x:c>
      <x:c r="D112" s="15" t="str">
        <x:v>Kiel IV</x:v>
      </x:c>
      <x:c r="E112" s="50" t="n">
        <x:v>6</x:v>
      </x:c>
      <x:c r="F112" s="50" t="str">
        <x:v>unit</x:v>
      </x:c>
      <x:c r="G112" s="50"/>
      <x:c r="H112" s="50"/>
      <x:c r="I112" s="50" t="n">
        <x:v>14.82</x:v>
      </x:c>
      <x:c r="J112" s="50" t="str">
        <x:v>EUR</x:v>
      </x:c>
      <x:c r="K112" s="15" t="str">
        <x:v>SENS Representações Comerciais Ltda.</x:v>
      </x:c>
      <x:c r="L112" s="15"/>
      <x:c r="M112" s="15" t="str">
        <x:v>USP LESTE PETROBRAS 2024_RFL_CMC_SC.xlsx</x:v>
      </x:c>
      <x:c r="N112" s="15" t="str">
        <x:v>Importação direta</x:v>
      </x:c>
      <x:c r="O112" s="15" t="str">
        <x:v>available</x:v>
      </x:c>
      <x:c r="P112" s="15" t="str">
        <x:v>pn::653030</x:v>
      </x:c>
      <x:c r="Q112" s="16" t="n">
        <x:v>1</x:v>
      </x:c>
      <x:c r="R112" s="15" t="str">
        <x:v>Suggested stock is sourced from a planning/list quantity; stock on hand was not stated in the source files and remains blank.</x:v>
      </x:c>
    </x:row>
    <x:row r="113">
      <x:c r="A113" s="15" t="str">
        <x:v>spare_part</x:v>
      </x:c>
      <x:c r="B113" s="15" t="str">
        <x:v>Rear ferrule 1/4 Swagelok</x:v>
      </x:c>
      <x:c r="C113" s="15" t="str">
        <x:v>0792810</x:v>
      </x:c>
      <x:c r="D113" s="15" t="str">
        <x:v>General laboratory</x:v>
      </x:c>
      <x:c r="E113" s="50" t="n">
        <x:v>5</x:v>
      </x:c>
      <x:c r="F113" s="50" t="str">
        <x:v>unit</x:v>
      </x:c>
      <x:c r="G113" s="50"/>
      <x:c r="H113" s="50"/>
      <x:c r="I113" s="50" t="n">
        <x:v>2.7</x:v>
      </x:c>
      <x:c r="J113" s="50" t="str">
        <x:v>EUR</x:v>
      </x:c>
      <x:c r="K113" s="15" t="str">
        <x:v>SENS Representações Comerciais Ltda.</x:v>
      </x:c>
      <x:c r="L113" s="15"/>
      <x:c r="M113" s="15" t="str">
        <x:v>SENS administration/USP LESTE 23.205-I.pdf</x:v>
      </x:c>
      <x:c r="N113" s="15"/>
      <x:c r="O113" s="15" t="str">
        <x:v>available</x:v>
      </x:c>
      <x:c r="P113" s="15" t="str">
        <x:v>pn::792810</x:v>
      </x:c>
      <x:c r="Q113" s="16" t="n">
        <x:v>1</x:v>
      </x:c>
      <x:c r="R113" s="15" t="str">
        <x:v>Suggested stock is sourced from a planning/list quantity; stock on hand was not stated in the source files and remains blank.</x:v>
      </x:c>
    </x:row>
    <x:row r="114">
      <x:c r="A114" s="15" t="str">
        <x:v>spare_part</x:v>
      </x:c>
      <x:c r="B114" s="15" t="str">
        <x:v>Regulador de pressao ar comprimido e Helio (manômetro simples)</x:v>
      </x:c>
      <x:c r="C114" s="15"/>
      <x:c r="D114" s="15" t="str">
        <x:v>Kiel IV</x:v>
      </x:c>
      <x:c r="E114" s="50" t="n">
        <x:v>2</x:v>
      </x:c>
      <x:c r="F114" s="50" t="str">
        <x:v>unit</x:v>
      </x:c>
      <x:c r="G114" s="50"/>
      <x:c r="H114" s="50"/>
      <x:c r="I114" s="50" t="n">
        <x:v>3080</x:v>
      </x:c>
      <x:c r="J114" s="50" t="str">
        <x:v>BRL</x:v>
      </x:c>
      <x:c r="K114" s="15"/>
      <x:c r="L114" s="15"/>
      <x:c r="M114" s="15" t="str">
        <x:v>USP LESTE PETROBRAS 2024_RFL_CMC_SC.xlsx</x:v>
      </x:c>
      <x:c r="N114" s="15" t="str">
        <x:v>Importação direta</x:v>
      </x:c>
      <x:c r="O114" s="15" t="str">
        <x:v>available</x:v>
      </x:c>
      <x:c r="P114" s="15" t="str">
        <x:v>name::regulador-de-pressao-ar-comprimido-e-helio-manometro-simples</x:v>
      </x:c>
      <x:c r="Q114" s="16" t="n">
        <x:v>1</x:v>
      </x:c>
      <x:c r="R114" s="15" t="str">
        <x:v>Suggested stock is sourced from a planning/list quantity; stock on hand was not stated in the source files and remains blank.</x:v>
      </x:c>
    </x:row>
    <x:row r="115">
      <x:c r="A115" s="15" t="str">
        <x:v>spare_part</x:v>
      </x:c>
      <x:c r="B115" s="15" t="str">
        <x:v>Regulador de pressão na saída do Cilindro do Helio (manômentro duplo)</x:v>
      </x:c>
      <x:c r="C115" s="15"/>
      <x:c r="D115" s="15" t="str">
        <x:v>Kiel IV</x:v>
      </x:c>
      <x:c r="E115" s="50" t="n">
        <x:v>1</x:v>
      </x:c>
      <x:c r="F115" s="50" t="str">
        <x:v>unit</x:v>
      </x:c>
      <x:c r="G115" s="50"/>
      <x:c r="H115" s="50"/>
      <x:c r="I115" s="50" t="n">
        <x:v>5200</x:v>
      </x:c>
      <x:c r="J115" s="50" t="str">
        <x:v>BRL</x:v>
      </x:c>
      <x:c r="K115" s="15"/>
      <x:c r="L115" s="15"/>
      <x:c r="M115" s="15" t="str">
        <x:v>USP LESTE PETROBRAS 2024_RFL_CMC_SC.xlsx</x:v>
      </x:c>
      <x:c r="N115" s="15" t="str">
        <x:v>Importação direta</x:v>
      </x:c>
      <x:c r="O115" s="15" t="str">
        <x:v>available</x:v>
      </x:c>
      <x:c r="P115" s="15" t="str">
        <x:v>name::regulador-de-pressao-na-saida-do-cilindro-do-helio-manomentro-duplo</x:v>
      </x:c>
      <x:c r="Q115" s="16" t="n">
        <x:v>1</x:v>
      </x:c>
      <x:c r="R115" s="15" t="str">
        <x:v>Suggested stock is sourced from a planning/list quantity; stock on hand was not stated in the source files and remains blank.</x:v>
      </x:c>
    </x:row>
    <x:row r="116">
      <x:c r="A116" s="15" t="str">
        <x:v>spare_part</x:v>
      </x:c>
      <x:c r="B116" s="15" t="str">
        <x:v>Sensor de pressão da Liofilizadora</x:v>
      </x:c>
      <x:c r="C116" s="15"/>
      <x:c r="D116" s="15" t="str">
        <x:v>Freeze dryer</x:v>
      </x:c>
      <x:c r="E116" s="50" t="n">
        <x:v>1</x:v>
      </x:c>
      <x:c r="F116" s="50" t="str">
        <x:v>unit</x:v>
      </x:c>
      <x:c r="G116" s="50"/>
      <x:c r="H116" s="50"/>
      <x:c r="I116" s="50" t="n">
        <x:v>5694</x:v>
      </x:c>
      <x:c r="J116" s="50" t="str">
        <x:v>BRL</x:v>
      </x:c>
      <x:c r="K116" s="15"/>
      <x:c r="L116" s="15"/>
      <x:c r="M116" s="15" t="str">
        <x:v>USP LESTE PETROBRAS 2024_RFL_CMC_SC.xlsx</x:v>
      </x:c>
      <x:c r="N116" s="15" t="str">
        <x:v>Importação direta</x:v>
      </x:c>
      <x:c r="O116" s="15" t="str">
        <x:v>available</x:v>
      </x:c>
      <x:c r="P116" s="15" t="str">
        <x:v>name::sensor-de-pressao-da-liofilizadora</x:v>
      </x:c>
      <x:c r="Q116" s="16" t="n">
        <x:v>1</x:v>
      </x:c>
      <x:c r="R116" s="15" t="str">
        <x:v>Suggested stock is sourced from a planning/list quantity; stock on hand was not stated in the source files and remains blank.</x:v>
      </x:c>
    </x:row>
    <x:row r="117">
      <x:c r="A117" s="15" t="str">
        <x:v>spare_part</x:v>
      </x:c>
      <x:c r="B117" s="15" t="str">
        <x:v>SET OF SEALING RINGS</x:v>
      </x:c>
      <x:c r="C117" s="15" t="str">
        <x:v>553140</x:v>
      </x:c>
      <x:c r="D117" s="15" t="str">
        <x:v>General laboratory</x:v>
      </x:c>
      <x:c r="E117" s="50" t="n">
        <x:v>10</x:v>
      </x:c>
      <x:c r="F117" s="50"/>
      <x:c r="G117" s="50"/>
      <x:c r="H117" s="50"/>
      <x:c r="I117" s="50" t="n">
        <x:v>34.68</x:v>
      </x:c>
      <x:c r="J117" s="50" t="str">
        <x:v>EUR</x:v>
      </x:c>
      <x:c r="K117" s="15" t="str">
        <x:v>SENS Representações Comerciais Ltda.</x:v>
      </x:c>
      <x:c r="L117" s="15" t="str">
        <x:v>SENS</x:v>
      </x:c>
      <x:c r="M117" s="15" t="str">
        <x:v>Spares and consumable main list.xlsx</x:v>
      </x:c>
      <x:c r="N117" s="15" t="str">
        <x:v>Sheet1</x:v>
      </x:c>
      <x:c r="O117" s="15" t="str">
        <x:v>available</x:v>
      </x:c>
      <x:c r="P117" s="15" t="str">
        <x:v>pn::553140</x:v>
      </x:c>
      <x:c r="Q117" s="16" t="n">
        <x:v>3</x:v>
      </x:c>
      <x:c r="R117" s="15" t="str">
        <x:v>Suggested stock is sourced from a planning/list quantity; stock on hand was not stated in the source files and remains blank.</x:v>
      </x:c>
    </x:row>
    <x:row r="118">
      <x:c r="A118" s="15" t="str">
        <x:v>spare_part</x:v>
      </x:c>
      <x:c r="B118" s="15" t="str">
        <x:v>SHORT FLANGELESS NUT XP-235</x:v>
      </x:c>
      <x:c r="C118" s="15" t="str">
        <x:v>1298170</x:v>
      </x:c>
      <x:c r="D118" s="15" t="str">
        <x:v>General laboratory</x:v>
      </x:c>
      <x:c r="E118" s="50" t="n">
        <x:v>10</x:v>
      </x:c>
      <x:c r="F118" s="50"/>
      <x:c r="G118" s="50"/>
      <x:c r="H118" s="50"/>
      <x:c r="I118" s="50" t="n">
        <x:v>6.22</x:v>
      </x:c>
      <x:c r="J118" s="50" t="str">
        <x:v>EUR</x:v>
      </x:c>
      <x:c r="K118" s="15" t="str">
        <x:v>SENS Representações Comerciais Ltda.</x:v>
      </x:c>
      <x:c r="L118" s="15"/>
      <x:c r="M118" s="15" t="str">
        <x:v>Spares and consumable main list.xlsx</x:v>
      </x:c>
      <x:c r="N118" s="15" t="str">
        <x:v>Sheet1</x:v>
      </x:c>
      <x:c r="O118" s="15" t="str">
        <x:v>available</x:v>
      </x:c>
      <x:c r="P118" s="15" t="str">
        <x:v>pn::1298170</x:v>
      </x:c>
      <x:c r="Q118" s="16" t="n">
        <x:v>2</x:v>
      </x:c>
      <x:c r="R118" s="15" t="str">
        <x:v>Suggested stock is sourced from a planning/list quantity; stock on hand was not stated in the source files and remains blank.</x:v>
      </x:c>
    </x:row>
    <x:row r="119">
      <x:c r="A119" s="15" t="str">
        <x:v>spare_part</x:v>
      </x:c>
      <x:c r="B119" s="15" t="str">
        <x:v>SHUT-OFF VALVE (P-732)</x:v>
      </x:c>
      <x:c r="C119" s="15" t="str">
        <x:v>1298080</x:v>
      </x:c>
      <x:c r="D119" s="15" t="str">
        <x:v>General laboratory</x:v>
      </x:c>
      <x:c r="E119" s="50" t="n">
        <x:v>1</x:v>
      </x:c>
      <x:c r="F119" s="50"/>
      <x:c r="G119" s="50"/>
      <x:c r="H119" s="50"/>
      <x:c r="I119" s="50" t="n">
        <x:v>40.32</x:v>
      </x:c>
      <x:c r="J119" s="50" t="str">
        <x:v>EUR</x:v>
      </x:c>
      <x:c r="K119" s="15" t="str">
        <x:v>SENS Representações Comerciais Ltda.</x:v>
      </x:c>
      <x:c r="L119" s="15"/>
      <x:c r="M119" s="15" t="str">
        <x:v>Spares and consumable main list.xlsx</x:v>
      </x:c>
      <x:c r="N119" s="15" t="str">
        <x:v>Sheet1</x:v>
      </x:c>
      <x:c r="O119" s="15" t="str">
        <x:v>available</x:v>
      </x:c>
      <x:c r="P119" s="15" t="str">
        <x:v>pn::1298080</x:v>
      </x:c>
      <x:c r="Q119" s="16" t="n">
        <x:v>2</x:v>
      </x:c>
      <x:c r="R119" s="15" t="str">
        <x:v>Suggested stock is sourced from a planning/list quantity; stock on hand was not stated in the source files and remains blank.</x:v>
      </x:c>
    </x:row>
    <x:row r="120">
      <x:c r="A120" s="15" t="str">
        <x:v>spare_part</x:v>
      </x:c>
      <x:c r="B120" s="15" t="str">
        <x:v>Spare consumables for Kiel IV acid valve</x:v>
      </x:c>
      <x:c r="C120" s="15" t="str">
        <x:v>BRE0013447</x:v>
      </x:c>
      <x:c r="D120" s="15" t="str">
        <x:v>Kiel IV</x:v>
      </x:c>
      <x:c r="E120" s="50" t="n">
        <x:v>1</x:v>
      </x:c>
      <x:c r="F120" s="50" t="str">
        <x:v>unit</x:v>
      </x:c>
      <x:c r="G120" s="50"/>
      <x:c r="H120" s="50"/>
      <x:c r="I120" s="50" t="n">
        <x:v>800</x:v>
      </x:c>
      <x:c r="J120" s="50" t="str">
        <x:v>EUR</x:v>
      </x:c>
      <x:c r="K120" s="15" t="str">
        <x:v>SENS Representações Comerciais Ltda.</x:v>
      </x:c>
      <x:c r="L120" s="15"/>
      <x:c r="M120" s="15" t="str">
        <x:v>SENS administration/USP_EACH_MAT253_050521.pdf</x:v>
      </x:c>
      <x:c r="N120" s="15"/>
      <x:c r="O120" s="15" t="str">
        <x:v>available</x:v>
      </x:c>
      <x:c r="P120" s="15" t="str">
        <x:v>pn::bre0013447</x:v>
      </x:c>
      <x:c r="Q120" s="16" t="n">
        <x:v>1</x:v>
      </x:c>
      <x:c r="R120" s="15" t="str">
        <x:v>Suggested stock is sourced from a planning/list quantity; stock on hand was not stated in the source files and remains blank.</x:v>
      </x:c>
    </x:row>
    <x:row r="121">
      <x:c r="A121" s="15" t="str">
        <x:v>spare_part</x:v>
      </x:c>
      <x:c r="B121" s="15" t="str">
        <x:v>SPARE PARTS &amp; CONS.KIEL IV-NEWACID VALVE</x:v>
      </x:c>
      <x:c r="C121" s="15" t="str">
        <x:v>1309920</x:v>
      </x:c>
      <x:c r="D121" s="15" t="str">
        <x:v>Kiel IV</x:v>
      </x:c>
      <x:c r="E121" s="50" t="n">
        <x:v>3</x:v>
      </x:c>
      <x:c r="F121" s="50"/>
      <x:c r="G121" s="50"/>
      <x:c r="H121" s="50"/>
      <x:c r="I121" s="50" t="n">
        <x:v>3866.11</x:v>
      </x:c>
      <x:c r="J121" s="50" t="str">
        <x:v>EUR</x:v>
      </x:c>
      <x:c r="K121" s="15" t="str">
        <x:v>SENS Representações Comerciais Ltda.</x:v>
      </x:c>
      <x:c r="L121" s="15"/>
      <x:c r="M121" s="15" t="str">
        <x:v>Spares and consumable main list.xlsx</x:v>
      </x:c>
      <x:c r="N121" s="15" t="str">
        <x:v>Sheet1</x:v>
      </x:c>
      <x:c r="O121" s="15" t="str">
        <x:v>available</x:v>
      </x:c>
      <x:c r="P121" s="15" t="str">
        <x:v>pn::1309920</x:v>
      </x:c>
      <x:c r="Q121" s="16" t="n">
        <x:v>2</x:v>
      </x:c>
      <x:c r="R121" s="15" t="str">
        <x:v>Suggested stock is sourced from a planning/list quantity; stock on hand was not stated in the source files and remains blank.</x:v>
      </x:c>
    </x:row>
    <x:row r="122">
      <x:c r="A122" s="15" t="str">
        <x:v>spare_part</x:v>
      </x:c>
      <x:c r="B122" s="15" t="str">
        <x:v>SPARE PARTS 253 PLUS</x:v>
      </x:c>
      <x:c r="C122" s="15" t="str">
        <x:v>1322930</x:v>
      </x:c>
      <x:c r="D122" s="15" t="str">
        <x:v>MAT253 Plus</x:v>
      </x:c>
      <x:c r="E122" s="50" t="n">
        <x:v>3</x:v>
      </x:c>
      <x:c r="F122" s="50"/>
      <x:c r="G122" s="50"/>
      <x:c r="H122" s="50"/>
      <x:c r="I122" s="50" t="n">
        <x:v>5777.7</x:v>
      </x:c>
      <x:c r="J122" s="50" t="str">
        <x:v>EUR</x:v>
      </x:c>
      <x:c r="K122" s="15" t="str">
        <x:v>SENS Representações Comerciais Ltda.</x:v>
      </x:c>
      <x:c r="L122" s="15"/>
      <x:c r="M122" s="15" t="str">
        <x:v>Spares and consumable main list.xlsx</x:v>
      </x:c>
      <x:c r="N122" s="15" t="str">
        <x:v>Sheet1</x:v>
      </x:c>
      <x:c r="O122" s="15" t="str">
        <x:v>available</x:v>
      </x:c>
      <x:c r="P122" s="15" t="str">
        <x:v>pn::1322930</x:v>
      </x:c>
      <x:c r="Q122" s="16" t="n">
        <x:v>2</x:v>
      </x:c>
      <x:c r="R122" s="15" t="str">
        <x:v>Suggested stock is sourced from a planning/list quantity; stock on hand was not stated in the source files and remains blank.</x:v>
      </x:c>
    </x:row>
    <x:row r="123">
      <x:c r="A123" s="15" t="str">
        <x:v>spare_part</x:v>
      </x:c>
      <x:c r="B123" s="15" t="str">
        <x:v>Spare Parts Delta V (HiPace)</x:v>
      </x:c>
      <x:c r="C123" s="15"/>
      <x:c r="D123" s="15" t="str">
        <x:v>IRMS</x:v>
      </x:c>
      <x:c r="E123" s="50" t="n">
        <x:v>1</x:v>
      </x:c>
      <x:c r="F123" s="50" t="str">
        <x:v>unit</x:v>
      </x:c>
      <x:c r="G123" s="50"/>
      <x:c r="H123" s="50"/>
      <x:c r="I123" s="50" t="n">
        <x:v>3685.5</x:v>
      </x:c>
      <x:c r="J123" s="50" t="str">
        <x:v>USD</x:v>
      </x:c>
      <x:c r="K123" s="15" t="str">
        <x:v>SENS Representações Comerciais Ltda.</x:v>
      </x:c>
      <x:c r="L123" s="15"/>
      <x:c r="M123" s="15" t="str">
        <x:v>Thermo vs SENS quotation comparison.xlsx</x:v>
      </x:c>
      <x:c r="N123" s="15" t="str">
        <x:v>Sheet1</x:v>
      </x:c>
      <x:c r="O123" s="15" t="str">
        <x:v>available</x:v>
      </x:c>
      <x:c r="P123" s="15" t="str">
        <x:v>name::spare-parts-delta-v-hipace</x:v>
      </x:c>
      <x:c r="Q123" s="16" t="n">
        <x:v>1</x:v>
      </x:c>
      <x:c r="R123" s="15" t="str">
        <x:v>Suggested stock is sourced from a planning/list quantity; stock on hand was not stated in the source files and remains blank.</x:v>
      </x:c>
    </x:row>
    <x:row r="124">
      <x:c r="A124" s="15" t="str">
        <x:v>spare_part</x:v>
      </x:c>
      <x:c r="B124" s="15" t="str">
        <x:v>STAMP-AU-SEAL.TIP D=3 9</x:v>
      </x:c>
      <x:c r="C124" s="15" t="str">
        <x:v>653041</x:v>
      </x:c>
      <x:c r="D124" s="15" t="str">
        <x:v>General laboratory</x:v>
      </x:c>
      <x:c r="E124" s="50" t="n">
        <x:v>10</x:v>
      </x:c>
      <x:c r="F124" s="50"/>
      <x:c r="G124" s="50"/>
      <x:c r="H124" s="50"/>
      <x:c r="I124" s="50" t="n">
        <x:v>307</x:v>
      </x:c>
      <x:c r="J124" s="50" t="str">
        <x:v>EUR</x:v>
      </x:c>
      <x:c r="K124" s="15" t="str">
        <x:v>SENS Representações Comerciais Ltda.</x:v>
      </x:c>
      <x:c r="L124" s="15" t="str">
        <x:v>SENS</x:v>
      </x:c>
      <x:c r="M124" s="15" t="str">
        <x:v>Spares and consumable main list.xlsx</x:v>
      </x:c>
      <x:c r="N124" s="15" t="str">
        <x:v>Sheet1</x:v>
      </x:c>
      <x:c r="O124" s="15" t="str">
        <x:v>available</x:v>
      </x:c>
      <x:c r="P124" s="15" t="str">
        <x:v>pn::653041</x:v>
      </x:c>
      <x:c r="Q124" s="16" t="n">
        <x:v>3</x:v>
      </x:c>
      <x:c r="R124" s="15" t="str">
        <x:v>Suggested stock is sourced from a planning/list quantity; stock on hand was not stated in the source files and remains blank.</x:v>
      </x:c>
    </x:row>
  </x:sheetData>
  <x:pageMargins left="0.7" right="0.7" top="0.75" bottom="0.75" header="0.3" footer="0.3"/>
  <x:tableParts count="1">
    <x:tablePart xmlns:r="http://schemas.openxmlformats.org/officeDocument/2006/relationships" r:id="R8d4de3c4952049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45" hidden="0" customWidth="1"/>
    <x:col min="7" max="7" width="45" hidden="0" customWidth="1"/>
    <x:col min="8" max="8" width="45" hidden="0" customWidth="1"/>
  </x:cols>
  <x:sheetData>
    <x:row r="1" ht="32" customHeight="1">
      <x:c r="A1" s="11" t="str">
        <x:v>Name</x:v>
      </x:c>
      <x:c r="B1" s="11" t="str">
        <x:v>Contact</x:v>
      </x:c>
      <x:c r="C1" s="11" t="str">
        <x:v>Email</x:v>
      </x:c>
      <x:c r="D1" s="11" t="str">
        <x:v>Phone</x:v>
      </x:c>
      <x:c r="E1" s="11" t="str">
        <x:v>Website</x:v>
      </x:c>
      <x:c r="F1" s="11" t="str">
        <x:v>Address</x:v>
      </x:c>
      <x:c r="G1" s="11" t="str">
        <x:v>Categories</x:v>
      </x:c>
      <x:c r="H1" s="11" t="str">
        <x:v>Notes</x:v>
      </x:c>
    </x:row>
    <x:row r="2">
      <x:c r="A2" s="15" t="str">
        <x:v>Elastim</x:v>
      </x:c>
      <x:c r="B2" s="15"/>
      <x:c r="C2" s="15"/>
      <x:c r="D2" s="15"/>
      <x:c r="E2" s="15" t="str">
        <x:v>http://www.elastim.com.br</x:v>
      </x:c>
      <x:c r="F2" s="15"/>
      <x:c r="G2" s="15" t="str">
        <x:v>consumable, other</x:v>
      </x:c>
      <x:c r="H2" s="15" t="str">
        <x:v>Provider inferred from supplier URLs in the maintenance source files; no unverified contact details added.</x:v>
      </x:c>
    </x:row>
    <x:row r="3">
      <x:c r="A3" s="15" t="str">
        <x:v>Gama Gases</x:v>
      </x:c>
      <x:c r="B3" s="15"/>
      <x:c r="C3" s="15"/>
      <x:c r="D3" s="15"/>
      <x:c r="E3" s="15" t="str">
        <x:v>http://www.gamagases.com.br</x:v>
      </x:c>
      <x:c r="F3" s="15"/>
      <x:c r="G3" s="15" t="str">
        <x:v>consumable</x:v>
      </x:c>
      <x:c r="H3" s="15" t="str">
        <x:v>Provider inferred from supplier URLs in the maintenance source files; no unverified contact details added.</x:v>
      </x:c>
    </x:row>
    <x:row r="4">
      <x:c r="A4" s="15" t="str">
        <x:v>Kalunga</x:v>
      </x:c>
      <x:c r="B4" s="15"/>
      <x:c r="C4" s="15"/>
      <x:c r="D4" s="15"/>
      <x:c r="E4" s="15" t="str">
        <x:v>https://www.kalunga.com.br</x:v>
      </x:c>
      <x:c r="F4" s="15"/>
      <x:c r="G4" s="15" t="str">
        <x:v>equipment, other</x:v>
      </x:c>
      <x:c r="H4" s="15" t="str">
        <x:v>Provider inferred from supplier URLs in the maintenance source files; no unverified contact details added.</x:v>
      </x:c>
    </x:row>
    <x:row r="5">
      <x:c r="A5" s="15" t="str">
        <x:v>Labsynth Produtos para Laboratórios Ltda.</x:v>
      </x:c>
      <x:c r="B5" s="15"/>
      <x:c r="C5" s="15"/>
      <x:c r="D5" s="15"/>
      <x:c r="E5" s="15" t="str">
        <x:v>https://www.labsynth.com.br</x:v>
      </x:c>
      <x:c r="F5" s="15"/>
      <x:c r="G5" s="15" t="str">
        <x:v>consumable</x:v>
      </x:c>
      <x:c r="H5" s="15" t="str">
        <x:v>Provider inferred from supplier URLs in the maintenance source files; no unverified contact details added.</x:v>
      </x:c>
    </x:row>
    <x:row r="6">
      <x:c r="A6" s="15" t="str">
        <x:v>Loja do Mecânico</x:v>
      </x:c>
      <x:c r="B6" s="15"/>
      <x:c r="C6" s="15"/>
      <x:c r="D6" s="15"/>
      <x:c r="E6" s="15" t="str">
        <x:v>https://www.lojadomecanico.com.br</x:v>
      </x:c>
      <x:c r="F6" s="15"/>
      <x:c r="G6" s="15" t="str">
        <x:v>consumable</x:v>
      </x:c>
      <x:c r="H6" s="15" t="str">
        <x:v>Provider inferred from supplier URLs in the maintenance source files; no unverified contact details added.</x:v>
      </x:c>
    </x:row>
    <x:row r="7">
      <x:c r="A7" s="15" t="str">
        <x:v>Merck / Sigma-Aldrich</x:v>
      </x:c>
      <x:c r="B7" s="15"/>
      <x:c r="C7" s="15"/>
      <x:c r="D7" s="15"/>
      <x:c r="E7" s="15" t="str">
        <x:v>https://www.sigmaaldrich.com</x:v>
      </x:c>
      <x:c r="F7" s="15"/>
      <x:c r="G7" s="15" t="str">
        <x:v>consumable, other</x:v>
      </x:c>
      <x:c r="H7" s="15" t="str">
        <x:v>Provider inferred from supplier URLs in the maintenance source files; no unverified contact details added.</x:v>
      </x:c>
    </x:row>
    <x:row r="8">
      <x:c r="A8" s="15" t="str">
        <x:v>Netlab</x:v>
      </x:c>
      <x:c r="B8" s="15"/>
      <x:c r="C8" s="15"/>
      <x:c r="D8" s="15"/>
      <x:c r="E8" s="15" t="str">
        <x:v>https://www.lojanetlab.com.br</x:v>
      </x:c>
      <x:c r="F8" s="15"/>
      <x:c r="G8" s="15" t="str">
        <x:v>consumable, other</x:v>
      </x:c>
      <x:c r="H8" s="15" t="str">
        <x:v>Provider inferred from supplier URLs in the maintenance source files; no unverified contact details added.</x:v>
      </x:c>
    </x:row>
    <x:row r="9">
      <x:c r="A9" s="15" t="str">
        <x:v>Química Moderna</x:v>
      </x:c>
      <x:c r="B9" s="15"/>
      <x:c r="C9" s="15"/>
      <x:c r="D9" s="15"/>
      <x:c r="E9" s="15" t="str">
        <x:v>http://www.quimicamoderna.net.br</x:v>
      </x:c>
      <x:c r="F9" s="15"/>
      <x:c r="G9" s="15" t="str">
        <x:v>consumable</x:v>
      </x:c>
      <x:c r="H9" s="15" t="str">
        <x:v>Provider inferred from supplier URLs in the maintenance source files; no unverified contact details added.</x:v>
      </x:c>
    </x:row>
    <x:row r="10">
      <x:c r="A10" s="15" t="str">
        <x:v>SENS Representações Comerciais Ltda.</x:v>
      </x:c>
      <x:c r="B10" s="15" t="str">
        <x:v>Commercial administration</x:v>
      </x:c>
      <x:c r="C10" s="15" t="str">
        <x:v>administrativo@sensms.com.br</x:v>
      </x:c>
      <x:c r="D10" s="15" t="str">
        <x:v>+55 11 5031-3231</x:v>
      </x:c>
      <x:c r="E10" s="15" t="str">
        <x:v>https://www.sensms.com.br</x:v>
      </x:c>
      <x:c r="F10" s="15" t="str">
        <x:v>Av. Queiroz Filho, 1560, Sala 18, Bloco 1, Vila Hamburguesa, São Paulo - SP, 05319-000, Brazil</x:v>
      </x:c>
      <x:c r="G10" s="15" t="str">
        <x:v>equipment, spare parts, consumables, training, maintenance</x:v>
      </x:c>
      <x:c r="H10" s="15" t="str">
        <x:v>Authorized Thermo Fisher representative. CNPJ 54.322.656/0001-50. Mobile +55 11 96647-5918. Older documents show Rua Dr. Abelardo Vergueiro César, 555 and cpretel@sensms.com.br.</x:v>
      </x:c>
    </x:row>
    <x:row r="11">
      <x:c r="A11" s="15" t="str">
        <x:v>Thermo Fisher Scientific (Bremen) GmbH</x:v>
      </x:c>
      <x:c r="B11" s="15"/>
      <x:c r="C11" s="15"/>
      <x:c r="D11" s="15" t="str">
        <x:v>+49 421 5493-371</x:v>
      </x:c>
      <x:c r="E11" s="15" t="str">
        <x:v>https://www.thermofisher.com</x:v>
      </x:c>
      <x:c r="F11" s="15" t="str">
        <x:v>Hanna-Kunath-Str. 11, 28195 Bremen, Germany</x:v>
      </x:c>
      <x:c r="G11" s="15" t="str">
        <x:v>equipment, spare parts, consumables</x:v>
      </x:c>
      <x:c r="H11" s="15" t="str">
        <x:v>Manufacturer/exporter identified in the maintenance quotation files. Fax +49 421 549-378.</x:v>
      </x:c>
    </x:row>
  </x:sheetData>
  <x:pageMargins left="0.7" right="0.7" top="0.75" bottom="0.75" header="0.3" footer="0.3"/>
  <x:tableParts count="1">
    <x:tablePart xmlns:r="http://schemas.openxmlformats.org/officeDocument/2006/relationships" r:id="R976729a314374d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2" customHeight="1">
      <x:c r="A1" s="11" t="str">
        <x:v>Asset code</x:v>
      </x:c>
      <x:c r="B1" s="11" t="str">
        <x:v>Name</x:v>
      </x:c>
      <x:c r="C1" s="11" t="str">
        <x:v>Manufacturer</x:v>
      </x:c>
      <x:c r="D1" s="11" t="str">
        <x:v>Model</x:v>
      </x:c>
      <x:c r="E1" s="11" t="str">
        <x:v>Status</x:v>
      </x:c>
      <x:c r="F1" s="11" t="str">
        <x:v>Provider</x:v>
      </x:c>
      <x:c r="G1" s="11" t="str">
        <x:v>Notes</x:v>
      </x:c>
    </x:row>
    <x:row r="2">
      <x:c r="A2" s="15" t="str">
        <x:v>KIEL-01</x:v>
      </x:c>
      <x:c r="B2" s="15" t="str">
        <x:v>Kiel IV carbonate preparation device</x:v>
      </x:c>
      <x:c r="C2" s="15" t="str">
        <x:v>Thermo Fisher Scientific</x:v>
      </x:c>
      <x:c r="D2" s="15" t="str">
        <x:v>Kiel IV</x:v>
      </x:c>
      <x:c r="E2" s="15" t="str">
        <x:v>active</x:v>
      </x:c>
      <x:c r="F2" s="15" t="str">
        <x:v>SENS Representações Comerciais Ltda.</x:v>
      </x:c>
      <x:c r="G2" s="15" t="str">
        <x:v>Canonicalized from maintenance quotations and equipment documentation.</x:v>
      </x:c>
    </x:row>
    <x:row r="3">
      <x:c r="A3" s="15" t="str">
        <x:v>IRMS-01</x:v>
      </x:c>
      <x:c r="B3" s="15" t="str">
        <x:v>MAT 253 Plus isotope-ratio mass spectrometry system</x:v>
      </x:c>
      <x:c r="C3" s="15" t="str">
        <x:v>Thermo Fisher Scientific</x:v>
      </x:c>
      <x:c r="D3" s="15" t="str">
        <x:v>MAT 253 Plus</x:v>
      </x:c>
      <x:c r="E3" s="15" t="str">
        <x:v>active</x:v>
      </x:c>
      <x:c r="F3" s="15" t="str">
        <x:v>SENS Representações Comerciais Ltda.</x:v>
      </x:c>
      <x:c r="G3" s="15" t="str">
        <x:v>Canonicalized from sales quote 040521MAT and product brochure BR-30333.</x:v>
      </x:c>
    </x:row>
    <x:row r="4">
      <x:c r="A4" s="15" t="str">
        <x:v>QTEGRA-WS</x:v>
      </x:c>
      <x:c r="B4" s="15" t="str">
        <x:v>Qtegra instrument workstation</x:v>
      </x:c>
      <x:c r="C4" s="15" t="str">
        <x:v>Thermo Fisher Scientific</x:v>
      </x:c>
      <x:c r="D4" s="15" t="str">
        <x:v>Qtegra ISDS</x:v>
      </x:c>
      <x:c r="E4" s="15" t="str">
        <x:v>active</x:v>
      </x:c>
      <x:c r="F4" s="15" t="str">
        <x:v>SENS Representações Comerciais Ltda.</x:v>
      </x:c>
      <x:c r="G4" s="15" t="str">
        <x:v>Canonicalized from the main list and quotation comparison.</x:v>
      </x:c>
    </x:row>
  </x:sheetData>
  <x:pageMargins left="0.7" right="0.7" top="0.75" bottom="0.75" header="0.3" footer="0.3"/>
  <x:tableParts count="1">
    <x:tablePart xmlns:r="http://schemas.openxmlformats.org/officeDocument/2006/relationships" r:id="R329983603a6947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68" hidden="0" customWidth="1"/>
    <x:col min="5" max="5" width="28" hidden="0" customWidth="1"/>
    <x:col min="6" max="6" width="65" hidden="0" customWidth="1"/>
  </x:cols>
  <x:sheetData>
    <x:row r="1" ht="32" customHeight="1">
      <x:c r="A1" s="11" t="str">
        <x:v>Source file</x:v>
      </x:c>
      <x:c r="B1" s="11" t="str">
        <x:v>Kind</x:v>
      </x:c>
      <x:c r="C1" s="51" t="str">
        <x:v>Bytes</x:v>
      </x:c>
      <x:c r="D1" s="11" t="str">
        <x:v>SHA-256</x:v>
      </x:c>
      <x:c r="E1" s="11" t="str">
        <x:v>Classification</x:v>
      </x:c>
      <x:c r="F1" s="11" t="str">
        <x:v>Decision</x:v>
      </x:c>
    </x:row>
    <x:row r="2">
      <x:c r="A2" s="15" t="str">
        <x:v>Itens para orcamento.csv</x:v>
      </x:c>
      <x:c r="B2" s="15" t="str">
        <x:v>csv</x:v>
      </x:c>
      <x:c r="C2" s="15" t="n">
        <x:v>1564</x:v>
      </x:c>
      <x:c r="D2" s="15" t="str">
        <x:v>02849ad4fc13621068079f682ce408447b061a916e91cdcb7d4a7b46052fed78</x:v>
      </x:c>
      <x:c r="E2" s="15" t="str">
        <x:v>duplicate CSV export</x:v>
      </x:c>
      <x:c r="F2" s="15" t="str">
        <x:v>Processed; the corresponding XLSX was preferred to avoid duplicate records.</x:v>
      </x:c>
    </x:row>
    <x:row r="3">
      <x:c r="A3" s="15" t="str">
        <x:v>Itens para orcamento.xlsx</x:v>
      </x:c>
      <x:c r="B3" s="15" t="str">
        <x:v>spreadsheet</x:v>
      </x:c>
      <x:c r="C3" s="15" t="n">
        <x:v>11240</x:v>
      </x:c>
      <x:c r="D3" s="15" t="str">
        <x:v>d2f1f7ebd11961a9dfcb9bd0470cdb65016fa92e5970fa6c5978471b810f7d79</x:v>
      </x:c>
      <x:c r="E3" s="15" t="str">
        <x:v>reference or superseded source</x:v>
      </x:c>
      <x:c r="F3" s="15" t="str">
        <x:v>Processed for provenance; no unique current catalog row was taken from this file.</x:v>
      </x:c>
    </x:row>
    <x:row r="4">
      <x:c r="A4" s="15" t="str">
        <x:v>Lista de compra mar 2023.csv</x:v>
      </x:c>
      <x:c r="B4" s="15" t="str">
        <x:v>csv</x:v>
      </x:c>
      <x:c r="C4" s="15" t="n">
        <x:v>611</x:v>
      </x:c>
      <x:c r="D4" s="15" t="str">
        <x:v>c96c43ffd36303e37acc9310e1e4632619e6670ec50a8b7b347bcdfa76b9cb83</x:v>
      </x:c>
      <x:c r="E4" s="15" t="str">
        <x:v>duplicate CSV export</x:v>
      </x:c>
      <x:c r="F4" s="15" t="str">
        <x:v>Processed; the corresponding XLSX was preferred to avoid duplicate records.</x:v>
      </x:c>
    </x:row>
    <x:row r="5">
      <x:c r="A5" s="15" t="str">
        <x:v>Lista de compra mar 2023.xlsx</x:v>
      </x:c>
      <x:c r="B5" s="15" t="str">
        <x:v>spreadsheet</x:v>
      </x:c>
      <x:c r="C5" s="15" t="n">
        <x:v>9712</x:v>
      </x:c>
      <x:c r="D5" s="15" t="str">
        <x:v>c2d89ac495fe8be70e3c8aef2bb53515e234cac51a46ae54a03683b521384475</x:v>
      </x:c>
      <x:c r="E5" s="15" t="str">
        <x:v>reference or superseded source</x:v>
      </x:c>
      <x:c r="F5" s="15" t="str">
        <x:v>Processed for provenance; no unique current catalog row was taken from this file.</x:v>
      </x:c>
    </x:row>
    <x:row r="6">
      <x:c r="A6" s="15" t="str">
        <x:v>Lista de compra nov 2022.csv</x:v>
      </x:c>
      <x:c r="B6" s="15" t="str">
        <x:v>csv</x:v>
      </x:c>
      <x:c r="C6" s="15" t="n">
        <x:v>1596</x:v>
      </x:c>
      <x:c r="D6" s="15" t="str">
        <x:v>def08153b40c11eb5971f1df4eeb0e3cf751783053c3bc9bbabd464f337ba1ab</x:v>
      </x:c>
      <x:c r="E6" s="15" t="str">
        <x:v>duplicate CSV export</x:v>
      </x:c>
      <x:c r="F6" s="15" t="str">
        <x:v>Processed; the corresponding XLSX was preferred to avoid duplicate records.</x:v>
      </x:c>
    </x:row>
    <x:row r="7">
      <x:c r="A7" s="15" t="str">
        <x:v>Lista de compra nov 2022.xlsx</x:v>
      </x:c>
      <x:c r="B7" s="15" t="str">
        <x:v>spreadsheet</x:v>
      </x:c>
      <x:c r="C7" s="15" t="n">
        <x:v>10420</x:v>
      </x:c>
      <x:c r="D7" s="15" t="str">
        <x:v>421378f0f315fa6ff13f0c01a7178318c7dc10230b3e8594e246a5038310d54b</x:v>
      </x:c>
      <x:c r="E7" s="15" t="str">
        <x:v>reference or superseded source</x:v>
      </x:c>
      <x:c r="F7" s="15" t="str">
        <x:v>Processed for provenance; no unique current catalog row was taken from this file.</x:v>
      </x:c>
    </x:row>
    <x:row r="8">
      <x:c r="A8" s="15" t="str">
        <x:v>Lista material laboratorio P2L.csv</x:v>
      </x:c>
      <x:c r="B8" s="15" t="str">
        <x:v>csv</x:v>
      </x:c>
      <x:c r="C8" s="15" t="n">
        <x:v>5011</x:v>
      </x:c>
      <x:c r="D8" s="15" t="str">
        <x:v>520a0b70fe24740803a7628ac395ed0b8ddbb9fb248869b239225cf6612a1dac</x:v>
      </x:c>
      <x:c r="E8" s="15" t="str">
        <x:v>inventory/quotation evidence</x:v>
      </x:c>
      <x:c r="F8" s="15" t="str">
        <x:v>Processed and represented in the clean catalog.</x:v>
      </x:c>
    </x:row>
    <x:row r="9">
      <x:c r="A9" s="15" t="str">
        <x:v>Material lab 10 2023.csv</x:v>
      </x:c>
      <x:c r="B9" s="15" t="str">
        <x:v>csv</x:v>
      </x:c>
      <x:c r="C9" s="15" t="n">
        <x:v>436</x:v>
      </x:c>
      <x:c r="D9" s="15" t="str">
        <x:v>752aa7585a40d55d3c05ba748e58de63a9ca20f200db01dcf7cb127b87ecf944</x:v>
      </x:c>
      <x:c r="E9" s="15" t="str">
        <x:v>duplicate CSV export</x:v>
      </x:c>
      <x:c r="F9" s="15" t="str">
        <x:v>Processed; the corresponding XLSX was preferred to avoid duplicate records.</x:v>
      </x:c>
    </x:row>
    <x:row r="10">
      <x:c r="A10" s="15" t="str">
        <x:v>Material lab 10 2023.xlsx</x:v>
      </x:c>
      <x:c r="B10" s="15" t="str">
        <x:v>spreadsheet</x:v>
      </x:c>
      <x:c r="C10" s="15" t="n">
        <x:v>9627</x:v>
      </x:c>
      <x:c r="D10" s="15" t="str">
        <x:v>d2611b2b0399fe9f52a03b6ded06fc629e63ba7a3822fe859714c17f0da2a656</x:v>
      </x:c>
      <x:c r="E10" s="15" t="str">
        <x:v>reference or superseded source</x:v>
      </x:c>
      <x:c r="F10" s="15" t="str">
        <x:v>Processed for provenance; no unique current catalog row was taken from this file.</x:v>
      </x:c>
    </x:row>
    <x:row r="11">
      <x:c r="A11" s="15" t="str">
        <x:v>Petrobras project material quotation.xlsx</x:v>
      </x:c>
      <x:c r="B11" s="15" t="str">
        <x:v>spreadsheet</x:v>
      </x:c>
      <x:c r="C11" s="15" t="n">
        <x:v>11132</x:v>
      </x:c>
      <x:c r="D11" s="15" t="str">
        <x:v>3f8453f2d3a8fda4694d9e07b7528809ecf717e15c87dc34069fe6b250f0619a</x:v>
      </x:c>
      <x:c r="E11" s="15" t="str">
        <x:v>reference or superseded source</x:v>
      </x:c>
      <x:c r="F11" s="15" t="str">
        <x:v>Processed for provenance; no unique current catalog row was taken from this file.</x:v>
      </x:c>
    </x:row>
    <x:row r="12">
      <x:c r="A12" s="15" t="str">
        <x:v>SENS administration/1299.pdf</x:v>
      </x:c>
      <x:c r="B12" s="15" t="str">
        <x:v>pdf</x:v>
      </x:c>
      <x:c r="C12" s="15" t="n">
        <x:v>22494</x:v>
      </x:c>
      <x:c r="D12" s="15" t="str">
        <x:v>a7d834c4df28bfdb3d8f3e41dbe726675ef5026dc22907e2f9621c966a02539a</x:v>
      </x:c>
      <x:c r="E12" s="15" t="str">
        <x:v>inventory/quotation evidence</x:v>
      </x:c>
      <x:c r="F12" s="15" t="str">
        <x:v>Processed and represented in the clean catalog.</x:v>
      </x:c>
    </x:row>
    <x:row r="13">
      <x:c r="A13" s="15" t="str">
        <x:v>SENS administration/1376.pdf</x:v>
      </x:c>
      <x:c r="B13" s="15" t="str">
        <x:v>pdf</x:v>
      </x:c>
      <x:c r="C13" s="15" t="n">
        <x:v>41668</x:v>
      </x:c>
      <x:c r="D13" s="15" t="str">
        <x:v>6f41e5325966e3a2449d17a114b6812fe76c7a40543b3fca7d78c6508ab9a54d</x:v>
      </x:c>
      <x:c r="E13" s="15" t="str">
        <x:v>inventory/quotation evidence</x:v>
      </x:c>
      <x:c r="F13" s="15" t="str">
        <x:v>Processed and represented in the clean catalog.</x:v>
      </x:c>
    </x:row>
    <x:row r="14">
      <x:c r="A14" s="15" t="str">
        <x:v>SENS administration/20.074-I - USP LESTE.pdf</x:v>
      </x:c>
      <x:c r="B14" s="15" t="str">
        <x:v>pdf</x:v>
      </x:c>
      <x:c r="C14" s="15" t="n">
        <x:v>102473</x:v>
      </x:c>
      <x:c r="D14" s="15" t="str">
        <x:v>5e5c4c5788340ffe372f03192ddca93bc3c2d7be3be8b70c5880915b033fdf67</x:v>
      </x:c>
      <x:c r="E14" s="15" t="str">
        <x:v>inventory/quotation evidence</x:v>
      </x:c>
      <x:c r="F14" s="15" t="str">
        <x:v>Processed and represented in the clean catalog.</x:v>
      </x:c>
    </x:row>
    <x:row r="15">
      <x:c r="A15" s="15" t="str">
        <x:v>SENS administration/21.310-I USP LESTE atualizado.pdf</x:v>
      </x:c>
      <x:c r="B15" s="15" t="str">
        <x:v>pdf</x:v>
      </x:c>
      <x:c r="C15" s="15" t="n">
        <x:v>102815</x:v>
      </x:c>
      <x:c r="D15" s="15" t="str">
        <x:v>e58c52e28fae9bb0cd93a9fbd44187087620a90323724183ca804188024b416d</x:v>
      </x:c>
      <x:c r="E15" s="15" t="str">
        <x:v>inventory/quotation evidence</x:v>
      </x:c>
      <x:c r="F15" s="15" t="str">
        <x:v>Processed and represented in the clean catalog.</x:v>
      </x:c>
    </x:row>
    <x:row r="16">
      <x:c r="A16" s="15" t="str">
        <x:v>SENS administration/BR-30333-IRMS-253-Plus-BR30333-EN.pdf</x:v>
      </x:c>
      <x:c r="B16" s="15" t="str">
        <x:v>pdf</x:v>
      </x:c>
      <x:c r="C16" s="15" t="n">
        <x:v>4834796</x:v>
      </x:c>
      <x:c r="D16" s="15" t="str">
        <x:v>c36387a355f61559853a6ddfde0ffdfc96f2b35c9ed5d98041cc9bc37176bd9e</x:v>
      </x:c>
      <x:c r="E16" s="15" t="str">
        <x:v>reference document</x:v>
      </x:c>
      <x:c r="F16" s="15" t="str">
        <x:v>Processed for equipment/provider context; it is not a purchase or stock list.</x:v>
      </x:c>
    </x:row>
    <x:row r="17">
      <x:c r="A17" s="15" t="str">
        <x:v>SENS administration/IRMS Customer Training Brochure 2020.pdf</x:v>
      </x:c>
      <x:c r="B17" s="15" t="str">
        <x:v>pdf</x:v>
      </x:c>
      <x:c r="C17" s="15" t="n">
        <x:v>84316</x:v>
      </x:c>
      <x:c r="D17" s="15" t="str">
        <x:v>eeaccba5dc4f790b9331c10fa8134e3425dc1d00ebe435c201fa4e31399cbe75</x:v>
      </x:c>
      <x:c r="E17" s="15" t="str">
        <x:v>reference document</x:v>
      </x:c>
      <x:c r="F17" s="15" t="str">
        <x:v>Processed for equipment/provider context; it is not a purchase or stock list.</x:v>
      </x:c>
    </x:row>
    <x:row r="18">
      <x:c r="A18" s="15" t="str">
        <x:v>SENS administration/PN30360-Radke-10kV IRMS-PN30360-EN.pdf</x:v>
      </x:c>
      <x:c r="B18" s="15" t="str">
        <x:v>pdf</x:v>
      </x:c>
      <x:c r="C18" s="15" t="n">
        <x:v>1169902</x:v>
      </x:c>
      <x:c r="D18" s="15" t="str">
        <x:v>e6ed83a20990baf1abbb269048da3bc035375ba2280b73b98a88b7f4093eeeeb</x:v>
      </x:c>
      <x:c r="E18" s="15" t="str">
        <x:v>reference document</x:v>
      </x:c>
      <x:c r="F18" s="15" t="str">
        <x:v>Processed for equipment/provider context; it is not a purchase or stock list.</x:v>
      </x:c>
    </x:row>
    <x:row r="19">
      <x:c r="A19" s="15" t="str">
        <x:v>SENS administration/USP GEO 19.058-P.pdf</x:v>
      </x:c>
      <x:c r="B19" s="15" t="str">
        <x:v>pdf</x:v>
      </x:c>
      <x:c r="C19" s="15" t="n">
        <x:v>226333</x:v>
      </x:c>
      <x:c r="D19" s="15" t="str">
        <x:v>0f36539e0b892c588ebc93a7ba5d7ee45ed8dfcedf0c17433a49bafc70b4124e</x:v>
      </x:c>
      <x:c r="E19" s="15" t="str">
        <x:v>inventory/quotation evidence</x:v>
      </x:c>
      <x:c r="F19" s="15" t="str">
        <x:v>Processed and represented in the clean catalog.</x:v>
      </x:c>
    </x:row>
    <x:row r="20">
      <x:c r="A20" s="15" t="str">
        <x:v>SENS administration/USP GEO 19.058-P2.doc tradução.pdf</x:v>
      </x:c>
      <x:c r="B20" s="15" t="str">
        <x:v>pdf</x:v>
      </x:c>
      <x:c r="C20" s="15" t="n">
        <x:v>91565</x:v>
      </x:c>
      <x:c r="D20" s="15" t="str">
        <x:v>518fdaaa99c72a1582c60df13314083b3f2bdd5345756827e824f1f54ee64582</x:v>
      </x:c>
      <x:c r="E20" s="15" t="str">
        <x:v>reference or superseded source</x:v>
      </x:c>
      <x:c r="F20" s="15" t="str">
        <x:v>Processed for provenance; no unique current catalog row was taken from this file.</x:v>
      </x:c>
    </x:row>
    <x:row r="21">
      <x:c r="A21" s="15" t="str">
        <x:v>SENS administration/USP LESTE 18.305-S-1_P2L.pdf</x:v>
      </x:c>
      <x:c r="B21" s="15" t="str">
        <x:v>pdf</x:v>
      </x:c>
      <x:c r="C21" s="15" t="n">
        <x:v>192823</x:v>
      </x:c>
      <x:c r="D21" s="15" t="str">
        <x:v>59220b62c13d9d50aaa31f1f40bf34298b9eff5b556ee8f9ff7a8b0abb7ad32b</x:v>
      </x:c>
      <x:c r="E21" s="15" t="str">
        <x:v>inventory/quotation evidence</x:v>
      </x:c>
      <x:c r="F21" s="15" t="str">
        <x:v>Processed and represented in the clean catalog.</x:v>
      </x:c>
    </x:row>
    <x:row r="22">
      <x:c r="A22" s="15" t="str">
        <x:v>SENS administration/USP Leste  20.087-P.pdf</x:v>
      </x:c>
      <x:c r="B22" s="15" t="str">
        <x:v>pdf</x:v>
      </x:c>
      <x:c r="C22" s="15" t="n">
        <x:v>77858</x:v>
      </x:c>
      <x:c r="D22" s="15" t="str">
        <x:v>7904cba849a6f387da135186b761edce045289c82cd47799c2c7a893eca0f631</x:v>
      </x:c>
      <x:c r="E22" s="15" t="str">
        <x:v>reference or superseded source</x:v>
      </x:c>
      <x:c r="F22" s="15" t="str">
        <x:v>Processed for provenance; no unique current catalog row was taken from this file.</x:v>
      </x:c>
    </x:row>
    <x:row r="23">
      <x:c r="A23" s="15" t="str">
        <x:v>SENS administration/USP LESTE 23.205-I.pdf</x:v>
      </x:c>
      <x:c r="B23" s="15" t="str">
        <x:v>pdf</x:v>
      </x:c>
      <x:c r="C23" s="15" t="n">
        <x:v>113930</x:v>
      </x:c>
      <x:c r="D23" s="15" t="str">
        <x:v>06b84618583e575b8ab3552de53718eb53f08b59cccc22dc0cba1a0676d15d7e</x:v>
      </x:c>
      <x:c r="E23" s="15" t="str">
        <x:v>inventory/quotation evidence</x:v>
      </x:c>
      <x:c r="F23" s="15" t="str">
        <x:v>Processed and represented in the clean catalog.</x:v>
      </x:c>
    </x:row>
    <x:row r="24">
      <x:c r="A24" s="15" t="str">
        <x:v>SENS administration/USP_EACH_MAT253_050521.pdf</x:v>
      </x:c>
      <x:c r="B24" s="15" t="str">
        <x:v>pdf</x:v>
      </x:c>
      <x:c r="C24" s="15" t="n">
        <x:v>309525</x:v>
      </x:c>
      <x:c r="D24" s="15" t="str">
        <x:v>d5fd4a280d6cb49548919c751b10f3fab9dee2bcc7b21740731410bebf5ecdfa</x:v>
      </x:c>
      <x:c r="E24" s="15" t="str">
        <x:v>inventory/quotation evidence</x:v>
      </x:c>
      <x:c r="F24" s="15" t="str">
        <x:v>Processed and represented in the clean catalog.</x:v>
      </x:c>
    </x:row>
    <x:row r="25">
      <x:c r="A25" s="15" t="str">
        <x:v>Spares and consumable main list.xlsx</x:v>
      </x:c>
      <x:c r="B25" s="15" t="str">
        <x:v>spreadsheet</x:v>
      </x:c>
      <x:c r="C25" s="15" t="n">
        <x:v>12907</x:v>
      </x:c>
      <x:c r="D25" s="15" t="str">
        <x:v>c5d0c3249f76632647f28fc581f61c8e0e6e2584d46192a8ac74cb4a2eaef2ee</x:v>
      </x:c>
      <x:c r="E25" s="15" t="str">
        <x:v>inventory/quotation evidence</x:v>
      </x:c>
      <x:c r="F25" s="15" t="str">
        <x:v>Processed and represented in the clean catalog.</x:v>
      </x:c>
    </x:row>
    <x:row r="26">
      <x:c r="A26" s="15" t="str">
        <x:v>Thermo vs SENS quotation comparison.xlsx</x:v>
      </x:c>
      <x:c r="B26" s="15" t="str">
        <x:v>spreadsheet</x:v>
      </x:c>
      <x:c r="C26" s="15" t="n">
        <x:v>10540</x:v>
      </x:c>
      <x:c r="D26" s="15" t="str">
        <x:v>ecf9cc6f3dbc003488a4dac35552902213c3ff45a9393043f0cc9a10a9931fff</x:v>
      </x:c>
      <x:c r="E26" s="15" t="str">
        <x:v>inventory/quotation evidence</x:v>
      </x:c>
      <x:c r="F26" s="15" t="str">
        <x:v>Processed and represented in the clean catalog.</x:v>
      </x:c>
    </x:row>
    <x:row r="27">
      <x:c r="A27" s="15" t="str">
        <x:v>USP LESTE PETROBRAS 2024.xlsx</x:v>
      </x:c>
      <x:c r="B27" s="15" t="str">
        <x:v>spreadsheet</x:v>
      </x:c>
      <x:c r="C27" s="15" t="n">
        <x:v>19102</x:v>
      </x:c>
      <x:c r="D27" s="15" t="str">
        <x:v>ba17d28325489431669df5eaa0b4dab250928617ef81e2d5547e07359b48c91b</x:v>
      </x:c>
      <x:c r="E27" s="15" t="str">
        <x:v>reference or superseded source</x:v>
      </x:c>
      <x:c r="F27" s="15" t="str">
        <x:v>Processed for provenance; no unique current catalog row was taken from this file.</x:v>
      </x:c>
    </x:row>
    <x:row r="28">
      <x:c r="A28" s="15" t="str">
        <x:v>USP LESTE PETROBRAS 2024_RFL_CMC_SC.xlsx</x:v>
      </x:c>
      <x:c r="B28" s="15" t="str">
        <x:v>spreadsheet</x:v>
      </x:c>
      <x:c r="C28" s="15" t="n">
        <x:v>22589</x:v>
      </x:c>
      <x:c r="D28" s="15" t="str">
        <x:v>8e407641d4a33759e418c983fa663b0a3eb652edbdaf197cda2b770c47cad937</x:v>
      </x:c>
      <x:c r="E28" s="15" t="str">
        <x:v>inventory/quotation evidence</x:v>
      </x:c>
      <x:c r="F28" s="15" t="str">
        <x:v>Processed and represented in the clean catalog.</x:v>
      </x:c>
    </x:row>
  </x:sheetData>
  <x:pageMargins left="0.7" right="0.7" top="0.75" bottom="0.75" header="0.3" footer="0.3"/>
  <x:tableParts count="1">
    <x:tablePart xmlns:r="http://schemas.openxmlformats.org/officeDocument/2006/relationships" r:id="R37aee14c526944ff"/>
  </x:tableParts>
</x:worksheet>
</file>