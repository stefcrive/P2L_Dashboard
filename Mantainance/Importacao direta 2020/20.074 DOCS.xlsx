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ns-2\Desktop\"/>
    </mc:Choice>
  </mc:AlternateContent>
  <xr:revisionPtr revIDLastSave="0" documentId="13_ncr:1_{87432F74-E91A-459F-95C9-AFF01588CE11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INV" sheetId="33" r:id="rId1"/>
    <sheet name="PL" sheetId="34" r:id="rId2"/>
  </sheets>
  <definedNames>
    <definedName name="_xlnm.Print_Area" localSheetId="0">INV!$A$1:$I$44</definedName>
    <definedName name="_xlnm.Print_Area" localSheetId="1">PL!$A$1:$H$45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3" i="33" l="1"/>
  <c r="I24" i="33"/>
  <c r="I25" i="33"/>
  <c r="I26" i="33"/>
  <c r="I27" i="33"/>
  <c r="I28" i="33"/>
  <c r="I29" i="33"/>
  <c r="I22" i="33"/>
  <c r="I30" i="33" l="1"/>
</calcChain>
</file>

<file path=xl/sharedStrings.xml><?xml version="1.0" encoding="utf-8"?>
<sst xmlns="http://schemas.openxmlformats.org/spreadsheetml/2006/main" count="126" uniqueCount="74">
  <si>
    <t>Authorized Signature(s)</t>
    <phoneticPr fontId="4" type="noConversion"/>
  </si>
  <si>
    <t>Item</t>
  </si>
  <si>
    <t>Part No.</t>
  </si>
  <si>
    <t>Quantity</t>
  </si>
  <si>
    <t>Hanna-Kunath-Str. 11</t>
  </si>
  <si>
    <t>Thermo Fisher Scientific (Bremen) GmbH</t>
  </si>
  <si>
    <t xml:space="preserve">28199 Bremen </t>
  </si>
  <si>
    <t>GERMANY</t>
  </si>
  <si>
    <t>COMMERCIAL  INVOICE</t>
  </si>
  <si>
    <t>Bill to:</t>
  </si>
  <si>
    <t>Ship to:</t>
  </si>
  <si>
    <t>Shipped from :</t>
  </si>
  <si>
    <t>Our Ref. No. :</t>
  </si>
  <si>
    <t>Unit Price</t>
  </si>
  <si>
    <t>Total Price</t>
  </si>
  <si>
    <t>Product Description</t>
  </si>
  <si>
    <t>Packing Details:</t>
  </si>
  <si>
    <t>Payment Terms:</t>
  </si>
  <si>
    <t>Bremen, Germany</t>
  </si>
  <si>
    <t>Banking data:</t>
  </si>
  <si>
    <t xml:space="preserve">NCM: </t>
  </si>
  <si>
    <t>Incoterm:</t>
  </si>
  <si>
    <t>Bank: Bank of America</t>
  </si>
  <si>
    <t>Address: New York, NY</t>
  </si>
  <si>
    <t>Account Number: 4426395159</t>
  </si>
  <si>
    <t>ABA: 026009593</t>
  </si>
  <si>
    <t>SWIFT: BOFAUS3N</t>
  </si>
  <si>
    <t xml:space="preserve">Invoice Date:   </t>
  </si>
  <si>
    <t xml:space="preserve">Invoice No.    </t>
  </si>
  <si>
    <t>TOTAL</t>
  </si>
  <si>
    <t>01.</t>
  </si>
  <si>
    <t>02.</t>
  </si>
  <si>
    <t>03.</t>
  </si>
  <si>
    <t xml:space="preserve">Number of boxes:    </t>
  </si>
  <si>
    <t xml:space="preserve">Exporter/Beneficiary/Manufacturer </t>
  </si>
  <si>
    <t>Your Ref.:</t>
  </si>
  <si>
    <t>Proforma Invoice:</t>
  </si>
  <si>
    <t xml:space="preserve">PACKING LIST /WEIGHT MEMO NO. </t>
  </si>
  <si>
    <t>Exporter/Beneficiary/Manufacturer</t>
  </si>
  <si>
    <t xml:space="preserve">Date: </t>
  </si>
  <si>
    <t xml:space="preserve">Gross weight:   </t>
  </si>
  <si>
    <t xml:space="preserve">Net weight:    </t>
  </si>
  <si>
    <t>Dimensions:</t>
  </si>
  <si>
    <t>ACID CAPILLARY LONG</t>
  </si>
  <si>
    <t>CLEANING WIRE 1M ﾘ0,075 (FE/CR18/NI8)</t>
  </si>
  <si>
    <t>CLEANING WIRE 1M</t>
  </si>
  <si>
    <t>SPARE PARTS &amp; CONS.KIEL IV-NEWACID VALVE</t>
  </si>
  <si>
    <t>SPARE PARTS 253 PLUS</t>
  </si>
  <si>
    <t>BRE0010679</t>
  </si>
  <si>
    <t>MAINTENANCE KIT ACID SUPPLY KIEL IV</t>
  </si>
  <si>
    <t>BRE0016655</t>
  </si>
  <si>
    <t>REPLACEMENT KIT F. FAN 1199030 KIEL IV</t>
  </si>
  <si>
    <t>LIFTING CYLINDER CD85 100 MM TWIST-SAFE</t>
  </si>
  <si>
    <t>04.</t>
  </si>
  <si>
    <t>05.</t>
  </si>
  <si>
    <t>06.</t>
  </si>
  <si>
    <t>07.</t>
  </si>
  <si>
    <t>08.</t>
  </si>
  <si>
    <t>Fundação de Amparo à Pesquisa do Estado de São Paulo</t>
  </si>
  <si>
    <t>Rua Pio XI, 1500</t>
  </si>
  <si>
    <t>São Paulo – SP – Brazil</t>
  </si>
  <si>
    <t>05468-901</t>
  </si>
  <si>
    <t>Net 15 days</t>
  </si>
  <si>
    <t>20.074-I/SENS/2020</t>
  </si>
  <si>
    <t>PURCHASE ORDER # FAPESP - 2000792</t>
  </si>
  <si>
    <t>19.200 Kg</t>
  </si>
  <si>
    <t>14.323 Kg</t>
  </si>
  <si>
    <t xml:space="preserve">          Ex Works Bremen</t>
  </si>
  <si>
    <t xml:space="preserve">               Ex Works  Bremen</t>
  </si>
  <si>
    <t>Number of boxes:    1,00</t>
  </si>
  <si>
    <t>Gross weight:   19.200 Kg</t>
  </si>
  <si>
    <t>Net weight:    14.323 Kg</t>
  </si>
  <si>
    <t>59 x 53 x 75 Cms</t>
  </si>
  <si>
    <t>Dimensions: 59 x 53 x 75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</si>
</sst>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\ &quot;€&quot;;\-#,##0.00\ &quot;€&quot;"/>
    <numFmt numFmtId="165" formatCode="mmm\ dd\,yyyy"/>
    <numFmt numFmtId="166" formatCode="0_ "/>
    <numFmt numFmtId="167" formatCode="_-[$€-2]\ * #,##0.00_-;\-[$€-2]\ * #,##0.00_-;_-[$€-2]\ * &quot;-&quot;??_-;_-@_-"/>
  </numFmts>
  <fonts count="19" x14ac:knownFonts="1"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9"/>
      <name val="新細明體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sz val="12"/>
      <name val="Arial"/>
      <family val="2"/>
    </font>
    <font>
      <sz val="9"/>
      <name val="Times New Roman"/>
      <family val="1"/>
    </font>
    <font>
      <sz val="10"/>
      <name val="Comic Sans MS"/>
      <family val="4"/>
    </font>
    <font>
      <sz val="11"/>
      <name val="Century Gothic"/>
      <family val="2"/>
    </font>
    <font>
      <b/>
      <sz val="20"/>
      <name val="Times New Roman"/>
      <family val="1"/>
    </font>
    <font>
      <sz val="10"/>
      <name val="Arial"/>
      <family val="2"/>
    </font>
    <font>
      <sz val="18"/>
      <name val="Arial"/>
      <family val="2"/>
    </font>
    <font>
      <b/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66" fontId="0" fillId="0" borderId="0"/>
    <xf numFmtId="43" fontId="16" fillId="0" borderId="0" applyFont="0" applyFill="0" applyBorder="0" applyAlignment="0" applyProtection="0"/>
  </cellStyleXfs>
  <cellXfs count="130">
    <xf numFmtId="166" fontId="0" fillId="0" borderId="0" xfId="0"/>
    <xf numFmtId="166" fontId="1" fillId="0" borderId="0" xfId="0" applyFont="1" applyBorder="1"/>
    <xf numFmtId="166" fontId="2" fillId="0" borderId="0" xfId="0" applyFont="1"/>
    <xf numFmtId="166" fontId="2" fillId="0" borderId="0" xfId="0" applyFont="1" applyBorder="1"/>
    <xf numFmtId="166" fontId="2" fillId="0" borderId="0" xfId="0" applyFont="1" applyAlignment="1">
      <alignment horizontal="right"/>
    </xf>
    <xf numFmtId="166" fontId="2" fillId="0" borderId="3" xfId="0" applyFont="1" applyBorder="1"/>
    <xf numFmtId="166" fontId="5" fillId="0" borderId="0" xfId="0" applyFont="1"/>
    <xf numFmtId="166" fontId="2" fillId="0" borderId="0" xfId="0" applyFont="1" applyFill="1" applyBorder="1"/>
    <xf numFmtId="166" fontId="5" fillId="0" borderId="0" xfId="0" applyFont="1" applyBorder="1"/>
    <xf numFmtId="166" fontId="5" fillId="0" borderId="0" xfId="0" applyFont="1" applyAlignment="1">
      <alignment vertical="center"/>
    </xf>
    <xf numFmtId="166" fontId="6" fillId="0" borderId="0" xfId="0" applyFont="1"/>
    <xf numFmtId="166" fontId="7" fillId="0" borderId="0" xfId="0" applyFont="1"/>
    <xf numFmtId="166" fontId="8" fillId="0" borderId="0" xfId="0" applyFont="1"/>
    <xf numFmtId="4" fontId="2" fillId="0" borderId="0" xfId="0" applyNumberFormat="1" applyFont="1"/>
    <xf numFmtId="166" fontId="1" fillId="0" borderId="0" xfId="0" applyFont="1"/>
    <xf numFmtId="4" fontId="6" fillId="0" borderId="0" xfId="0" applyNumberFormat="1" applyFont="1"/>
    <xf numFmtId="166" fontId="2" fillId="0" borderId="0" xfId="0" applyFont="1" applyAlignment="1">
      <alignment horizontal="centerContinuous" vertical="distributed"/>
    </xf>
    <xf numFmtId="166" fontId="11" fillId="0" borderId="0" xfId="0" applyFont="1" applyBorder="1"/>
    <xf numFmtId="166" fontId="8" fillId="0" borderId="0" xfId="0" applyFont="1" applyBorder="1"/>
    <xf numFmtId="4" fontId="2" fillId="0" borderId="0" xfId="0" applyNumberFormat="1" applyFont="1" applyBorder="1"/>
    <xf numFmtId="166" fontId="2" fillId="0" borderId="0" xfId="0" applyFont="1" applyBorder="1" applyAlignment="1">
      <alignment horizontal="center"/>
    </xf>
    <xf numFmtId="166" fontId="2" fillId="0" borderId="0" xfId="0" applyFont="1" applyAlignment="1">
      <alignment horizontal="center"/>
    </xf>
    <xf numFmtId="166" fontId="2" fillId="0" borderId="3" xfId="0" applyFont="1" applyBorder="1" applyAlignment="1">
      <alignment horizontal="center"/>
    </xf>
    <xf numFmtId="166" fontId="2" fillId="0" borderId="0" xfId="0" applyFont="1" applyAlignment="1">
      <alignment vertical="center"/>
    </xf>
    <xf numFmtId="166" fontId="12" fillId="0" borderId="0" xfId="0" applyFont="1"/>
    <xf numFmtId="166" fontId="0" fillId="0" borderId="0" xfId="0" applyBorder="1"/>
    <xf numFmtId="166" fontId="13" fillId="0" borderId="0" xfId="0" applyFont="1" applyBorder="1"/>
    <xf numFmtId="166" fontId="8" fillId="0" borderId="3" xfId="0" applyFont="1" applyBorder="1"/>
    <xf numFmtId="165" fontId="2" fillId="0" borderId="0" xfId="0" applyNumberFormat="1" applyFont="1" applyBorder="1" applyAlignment="1">
      <alignment horizontal="left"/>
    </xf>
    <xf numFmtId="166" fontId="1" fillId="0" borderId="0" xfId="0" applyFont="1" applyAlignment="1">
      <alignment horizontal="center"/>
    </xf>
    <xf numFmtId="166" fontId="1" fillId="0" borderId="0" xfId="0" applyNumberFormat="1" applyFont="1" applyFill="1" applyAlignment="1">
      <alignment horizontal="center"/>
    </xf>
    <xf numFmtId="166" fontId="2" fillId="0" borderId="0" xfId="0" applyFont="1" applyBorder="1" applyAlignment="1">
      <alignment vertical="center"/>
    </xf>
    <xf numFmtId="166" fontId="2" fillId="0" borderId="0" xfId="0" applyFont="1" applyBorder="1" applyAlignment="1">
      <alignment horizontal="center" vertical="center"/>
    </xf>
    <xf numFmtId="166" fontId="9" fillId="0" borderId="0" xfId="0" applyFont="1" applyBorder="1"/>
    <xf numFmtId="166" fontId="14" fillId="0" borderId="0" xfId="0" applyFont="1"/>
    <xf numFmtId="166" fontId="1" fillId="0" borderId="10" xfId="0" applyFont="1" applyBorder="1"/>
    <xf numFmtId="166" fontId="5" fillId="0" borderId="0" xfId="0" applyFont="1" applyAlignment="1">
      <alignment horizontal="right"/>
    </xf>
    <xf numFmtId="166" fontId="1" fillId="0" borderId="10" xfId="0" applyFont="1" applyBorder="1" applyAlignment="1"/>
    <xf numFmtId="166" fontId="3" fillId="0" borderId="0" xfId="0" applyFont="1" applyBorder="1"/>
    <xf numFmtId="14" fontId="14" fillId="0" borderId="0" xfId="0" applyNumberFormat="1" applyFont="1" applyAlignment="1">
      <alignment horizontal="left"/>
    </xf>
    <xf numFmtId="166" fontId="3" fillId="0" borderId="0" xfId="0" applyFont="1" applyBorder="1" applyAlignment="1">
      <alignment horizontal="center" vertical="center"/>
    </xf>
    <xf numFmtId="166" fontId="3" fillId="0" borderId="0" xfId="0" applyFont="1" applyBorder="1" applyAlignment="1">
      <alignment horizontal="left" vertical="center"/>
    </xf>
    <xf numFmtId="166" fontId="3" fillId="0" borderId="0" xfId="0" applyFont="1" applyBorder="1" applyAlignment="1">
      <alignment horizontal="centerContinuous" vertical="center"/>
    </xf>
    <xf numFmtId="166" fontId="5" fillId="0" borderId="0" xfId="0" applyFont="1" applyBorder="1" applyAlignment="1">
      <alignment vertical="center"/>
    </xf>
    <xf numFmtId="166" fontId="1" fillId="0" borderId="0" xfId="0" applyFont="1" applyBorder="1" applyAlignment="1">
      <alignment horizontal="center"/>
    </xf>
    <xf numFmtId="166" fontId="1" fillId="0" borderId="0" xfId="0" quotePrefix="1" applyNumberFormat="1" applyFont="1" applyBorder="1" applyAlignment="1">
      <alignment horizontal="center"/>
    </xf>
    <xf numFmtId="166" fontId="1" fillId="0" borderId="0" xfId="0" quotePrefix="1" applyFont="1" applyBorder="1" applyAlignment="1">
      <alignment horizontal="center"/>
    </xf>
    <xf numFmtId="166" fontId="1" fillId="0" borderId="0" xfId="0" applyFont="1" applyFill="1" applyBorder="1"/>
    <xf numFmtId="4" fontId="8" fillId="0" borderId="0" xfId="0" applyNumberFormat="1" applyFont="1" applyBorder="1" applyAlignment="1">
      <alignment horizontal="left"/>
    </xf>
    <xf numFmtId="4" fontId="8" fillId="0" borderId="0" xfId="0" applyNumberFormat="1" applyFont="1" applyBorder="1"/>
    <xf numFmtId="166" fontId="12" fillId="0" borderId="0" xfId="0" applyFont="1" applyBorder="1"/>
    <xf numFmtId="164" fontId="9" fillId="0" borderId="0" xfId="0" applyNumberFormat="1" applyFont="1" applyBorder="1" applyAlignment="1">
      <alignment horizontal="center"/>
    </xf>
    <xf numFmtId="166" fontId="14" fillId="0" borderId="0" xfId="0" applyFont="1" applyAlignment="1">
      <alignment horizontal="left" vertical="center"/>
    </xf>
    <xf numFmtId="166" fontId="1" fillId="0" borderId="0" xfId="0" applyFont="1" applyAlignment="1">
      <alignment horizontal="left"/>
    </xf>
    <xf numFmtId="166" fontId="1" fillId="0" borderId="1" xfId="0" applyFont="1" applyBorder="1" applyAlignment="1"/>
    <xf numFmtId="166" fontId="1" fillId="0" borderId="2" xfId="0" applyFont="1" applyBorder="1" applyAlignment="1"/>
    <xf numFmtId="166" fontId="1" fillId="0" borderId="11" xfId="0" applyFont="1" applyBorder="1" applyAlignment="1"/>
    <xf numFmtId="166" fontId="1" fillId="0" borderId="0" xfId="0" applyFont="1" applyBorder="1" applyAlignment="1"/>
    <xf numFmtId="166" fontId="1" fillId="0" borderId="7" xfId="0" applyFont="1" applyBorder="1" applyAlignment="1"/>
    <xf numFmtId="166" fontId="1" fillId="0" borderId="11" xfId="0" applyFont="1" applyBorder="1"/>
    <xf numFmtId="166" fontId="1" fillId="0" borderId="12" xfId="0" applyFont="1" applyBorder="1" applyAlignment="1"/>
    <xf numFmtId="166" fontId="1" fillId="0" borderId="3" xfId="0" applyFont="1" applyBorder="1" applyAlignment="1"/>
    <xf numFmtId="166" fontId="1" fillId="0" borderId="12" xfId="0" applyFont="1" applyBorder="1"/>
    <xf numFmtId="167" fontId="2" fillId="0" borderId="0" xfId="1" applyNumberFormat="1" applyFont="1" applyBorder="1"/>
    <xf numFmtId="167" fontId="9" fillId="0" borderId="0" xfId="1" applyNumberFormat="1" applyFont="1" applyBorder="1" applyAlignment="1">
      <alignment horizontal="center"/>
    </xf>
    <xf numFmtId="166" fontId="3" fillId="0" borderId="0" xfId="0" applyFont="1" applyBorder="1" applyAlignment="1">
      <alignment horizontal="left"/>
    </xf>
    <xf numFmtId="166" fontId="1" fillId="0" borderId="0" xfId="0" applyFont="1" applyBorder="1" applyAlignment="1">
      <alignment horizontal="left"/>
    </xf>
    <xf numFmtId="166" fontId="1" fillId="0" borderId="0" xfId="0" applyFont="1" applyBorder="1" applyAlignment="1">
      <alignment horizontal="centerContinuous" vertical="center"/>
    </xf>
    <xf numFmtId="166" fontId="3" fillId="0" borderId="4" xfId="0" applyFont="1" applyBorder="1" applyAlignment="1">
      <alignment horizontal="center" vertical="center"/>
    </xf>
    <xf numFmtId="166" fontId="1" fillId="0" borderId="7" xfId="0" applyFont="1" applyBorder="1" applyAlignment="1">
      <alignment horizontal="centerContinuous" vertical="center"/>
    </xf>
    <xf numFmtId="4" fontId="3" fillId="0" borderId="6" xfId="0" applyNumberFormat="1" applyFont="1" applyBorder="1" applyAlignment="1">
      <alignment horizontal="center" vertical="center"/>
    </xf>
    <xf numFmtId="166" fontId="3" fillId="0" borderId="13" xfId="0" applyFont="1" applyBorder="1" applyAlignment="1">
      <alignment horizontal="left" vertical="center"/>
    </xf>
    <xf numFmtId="166" fontId="3" fillId="0" borderId="15" xfId="0" applyFont="1" applyBorder="1" applyAlignment="1">
      <alignment horizontal="centerContinuous" vertical="center"/>
    </xf>
    <xf numFmtId="166" fontId="3" fillId="0" borderId="14" xfId="0" applyFont="1" applyBorder="1" applyAlignment="1">
      <alignment horizontal="centerContinuous" vertical="center"/>
    </xf>
    <xf numFmtId="166" fontId="3" fillId="0" borderId="6" xfId="0" applyFont="1" applyBorder="1" applyAlignment="1">
      <alignment horizontal="center" vertical="center"/>
    </xf>
    <xf numFmtId="166" fontId="3" fillId="0" borderId="1" xfId="0" applyFont="1" applyBorder="1" applyAlignment="1">
      <alignment horizontal="centerContinuous" vertical="center"/>
    </xf>
    <xf numFmtId="166" fontId="3" fillId="0" borderId="2" xfId="0" applyFont="1" applyBorder="1" applyAlignment="1">
      <alignment horizontal="centerContinuous" vertical="center"/>
    </xf>
    <xf numFmtId="166" fontId="1" fillId="0" borderId="5" xfId="0" applyFont="1" applyBorder="1" applyAlignment="1">
      <alignment horizontal="center" vertical="center"/>
    </xf>
    <xf numFmtId="166" fontId="1" fillId="0" borderId="7" xfId="0" applyFont="1" applyBorder="1"/>
    <xf numFmtId="166" fontId="1" fillId="0" borderId="0" xfId="0" applyFont="1" applyFill="1" applyBorder="1" applyAlignment="1"/>
    <xf numFmtId="4" fontId="1" fillId="0" borderId="0" xfId="0" applyNumberFormat="1" applyFont="1" applyFill="1" applyBorder="1" applyAlignment="1">
      <alignment horizontal="center"/>
    </xf>
    <xf numFmtId="166" fontId="1" fillId="0" borderId="0" xfId="0" applyFont="1" applyFill="1" applyBorder="1" applyAlignment="1"/>
    <xf numFmtId="43" fontId="1" fillId="0" borderId="0" xfId="1" applyFont="1" applyBorder="1"/>
    <xf numFmtId="43" fontId="1" fillId="0" borderId="0" xfId="1" applyFont="1"/>
    <xf numFmtId="166" fontId="1" fillId="0" borderId="8" xfId="0" applyFont="1" applyBorder="1"/>
    <xf numFmtId="166" fontId="3" fillId="0" borderId="4" xfId="0" applyFont="1" applyBorder="1" applyAlignment="1">
      <alignment horizontal="center"/>
    </xf>
    <xf numFmtId="166" fontId="1" fillId="0" borderId="5" xfId="0" applyFont="1" applyBorder="1" applyAlignment="1">
      <alignment horizontal="center"/>
    </xf>
    <xf numFmtId="166" fontId="3" fillId="0" borderId="10" xfId="0" applyFont="1" applyBorder="1" applyAlignment="1">
      <alignment horizontal="left" vertical="center"/>
    </xf>
    <xf numFmtId="43" fontId="1" fillId="0" borderId="5" xfId="1" applyFont="1" applyBorder="1"/>
    <xf numFmtId="166" fontId="18" fillId="0" borderId="13" xfId="0" applyFont="1" applyBorder="1"/>
    <xf numFmtId="166" fontId="18" fillId="0" borderId="15" xfId="0" applyFont="1" applyBorder="1"/>
    <xf numFmtId="166" fontId="18" fillId="0" borderId="15" xfId="0" applyFont="1" applyBorder="1" applyAlignment="1">
      <alignment horizontal="center"/>
    </xf>
    <xf numFmtId="166" fontId="18" fillId="0" borderId="15" xfId="0" applyFont="1" applyBorder="1" applyAlignment="1">
      <alignment horizontal="left"/>
    </xf>
    <xf numFmtId="43" fontId="18" fillId="0" borderId="14" xfId="1" applyFont="1" applyBorder="1"/>
    <xf numFmtId="43" fontId="18" fillId="0" borderId="6" xfId="1" applyFont="1" applyBorder="1"/>
    <xf numFmtId="166" fontId="1" fillId="0" borderId="8" xfId="0" applyFont="1" applyBorder="1" applyAlignment="1"/>
    <xf numFmtId="166" fontId="1" fillId="0" borderId="5" xfId="0" applyFont="1" applyFill="1" applyBorder="1"/>
    <xf numFmtId="14" fontId="1" fillId="0" borderId="5" xfId="0" applyNumberFormat="1" applyFont="1" applyBorder="1" applyAlignment="1">
      <alignment horizontal="left"/>
    </xf>
    <xf numFmtId="14" fontId="14" fillId="0" borderId="9" xfId="0" applyNumberFormat="1" applyFont="1" applyBorder="1" applyAlignment="1">
      <alignment horizontal="left"/>
    </xf>
    <xf numFmtId="166" fontId="1" fillId="0" borderId="5" xfId="0" applyFont="1" applyBorder="1"/>
    <xf numFmtId="166" fontId="3" fillId="0" borderId="6" xfId="0" applyFont="1" applyBorder="1" applyAlignment="1">
      <alignment horizontal="center"/>
    </xf>
    <xf numFmtId="166" fontId="10" fillId="0" borderId="0" xfId="0" applyFont="1" applyBorder="1" applyAlignment="1">
      <alignment horizontal="center"/>
    </xf>
    <xf numFmtId="166" fontId="17" fillId="0" borderId="0" xfId="0" applyFont="1" applyAlignment="1">
      <alignment horizontal="center"/>
    </xf>
    <xf numFmtId="166" fontId="15" fillId="0" borderId="0" xfId="0" applyFont="1" applyBorder="1" applyAlignment="1">
      <alignment horizontal="center"/>
    </xf>
    <xf numFmtId="166" fontId="0" fillId="0" borderId="0" xfId="0" applyAlignment="1">
      <alignment horizontal="center"/>
    </xf>
    <xf numFmtId="166" fontId="1" fillId="0" borderId="0" xfId="0" applyFont="1" applyAlignment="1">
      <alignment vertical="center"/>
    </xf>
    <xf numFmtId="43" fontId="1" fillId="0" borderId="0" xfId="1" applyFont="1" applyAlignment="1">
      <alignment vertical="center"/>
    </xf>
    <xf numFmtId="49" fontId="1" fillId="0" borderId="0" xfId="0" applyNumberFormat="1" applyFont="1" applyAlignment="1">
      <alignment horizontal="left"/>
    </xf>
    <xf numFmtId="166" fontId="1" fillId="0" borderId="0" xfId="0" applyFont="1" applyBorder="1" applyAlignment="1">
      <alignment horizontal="center" vertical="center"/>
    </xf>
    <xf numFmtId="166" fontId="1" fillId="0" borderId="0" xfId="0" applyFont="1" applyFill="1" applyBorder="1" applyAlignment="1">
      <alignment vertical="top"/>
    </xf>
    <xf numFmtId="166" fontId="1" fillId="0" borderId="0" xfId="0" applyFont="1" applyBorder="1" applyAlignment="1">
      <alignment vertical="top"/>
    </xf>
    <xf numFmtId="4" fontId="1" fillId="0" borderId="0" xfId="0" quotePrefix="1" applyNumberFormat="1" applyFont="1" applyFill="1" applyBorder="1" applyAlignment="1">
      <alignment horizontal="left" vertical="top"/>
    </xf>
    <xf numFmtId="166" fontId="3" fillId="0" borderId="2" xfId="0" applyFont="1" applyBorder="1" applyAlignment="1">
      <alignment horizontal="center" vertical="center"/>
    </xf>
    <xf numFmtId="166" fontId="1" fillId="0" borderId="10" xfId="0" applyFont="1" applyBorder="1" applyAlignment="1">
      <alignment vertical="center"/>
    </xf>
    <xf numFmtId="166" fontId="1" fillId="0" borderId="1" xfId="0" applyFont="1" applyBorder="1"/>
    <xf numFmtId="166" fontId="1" fillId="0" borderId="1" xfId="0" applyFont="1" applyBorder="1" applyAlignment="1">
      <alignment horizontal="centerContinuous" vertical="center"/>
    </xf>
    <xf numFmtId="166" fontId="1" fillId="0" borderId="2" xfId="0" applyFont="1" applyBorder="1" applyAlignment="1">
      <alignment horizontal="centerContinuous" vertical="center"/>
    </xf>
    <xf numFmtId="166" fontId="1" fillId="0" borderId="11" xfId="0" applyFont="1" applyBorder="1" applyAlignment="1">
      <alignment vertical="center"/>
    </xf>
    <xf numFmtId="166" fontId="1" fillId="0" borderId="3" xfId="0" applyFont="1" applyBorder="1"/>
    <xf numFmtId="166" fontId="1" fillId="0" borderId="3" xfId="0" applyFont="1" applyBorder="1" applyAlignment="1">
      <alignment horizontal="centerContinuous" vertical="center"/>
    </xf>
    <xf numFmtId="166" fontId="1" fillId="0" borderId="8" xfId="0" applyFont="1" applyBorder="1" applyAlignment="1">
      <alignment horizontal="centerContinuous" vertical="center"/>
    </xf>
    <xf numFmtId="166" fontId="1" fillId="0" borderId="0" xfId="0" applyFont="1" applyAlignment="1">
      <alignment horizontal="center" vertical="center"/>
    </xf>
    <xf numFmtId="166" fontId="1" fillId="0" borderId="9" xfId="0" applyFont="1" applyBorder="1" applyAlignment="1">
      <alignment horizontal="center"/>
    </xf>
    <xf numFmtId="167" fontId="3" fillId="0" borderId="6" xfId="1" applyNumberFormat="1" applyFont="1" applyBorder="1" applyAlignment="1">
      <alignment horizontal="center" vertical="center"/>
    </xf>
    <xf numFmtId="166" fontId="1" fillId="0" borderId="7" xfId="0" applyFont="1" applyBorder="1" applyAlignment="1">
      <alignment horizontal="center"/>
    </xf>
    <xf numFmtId="166" fontId="1" fillId="0" borderId="4" xfId="0" applyFont="1" applyBorder="1" applyAlignment="1">
      <alignment horizontal="center"/>
    </xf>
    <xf numFmtId="166" fontId="1" fillId="0" borderId="4" xfId="0" applyFont="1" applyBorder="1" applyAlignment="1">
      <alignment horizontal="center" vertical="center"/>
    </xf>
    <xf numFmtId="166" fontId="1" fillId="0" borderId="1" xfId="0" applyFont="1" applyBorder="1" applyAlignment="1">
      <alignment horizontal="center" vertical="center"/>
    </xf>
    <xf numFmtId="166" fontId="1" fillId="0" borderId="3" xfId="0" applyFont="1" applyBorder="1" applyAlignment="1">
      <alignment horizontal="center"/>
    </xf>
    <xf numFmtId="4" fontId="3" fillId="0" borderId="4" xfId="0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4"/>
  <sheetViews>
    <sheetView topLeftCell="A7" workbookViewId="0">
      <selection activeCell="C43" sqref="C43"/>
    </sheetView>
  </sheetViews>
  <sheetFormatPr defaultColWidth="9.140625" defaultRowHeight="15.75" x14ac:dyDescent="0.25"/>
  <cols>
    <col min="1" max="2" width="10.7109375" style="2" customWidth="1"/>
    <col min="3" max="3" width="9.7109375" style="21" customWidth="1"/>
    <col min="4" max="4" width="24" style="2" customWidth="1"/>
    <col min="5" max="5" width="2.85546875" style="2" customWidth="1"/>
    <col min="6" max="6" width="7.42578125" style="2" customWidth="1"/>
    <col min="7" max="7" width="11.7109375" style="2" customWidth="1"/>
    <col min="8" max="8" width="16.42578125" style="2" customWidth="1"/>
    <col min="9" max="9" width="16.7109375" style="13" customWidth="1"/>
    <col min="10" max="10" width="15" style="2" customWidth="1"/>
    <col min="11" max="16384" width="9.140625" style="2"/>
  </cols>
  <sheetData>
    <row r="1" spans="1:12" ht="13.5" customHeight="1" x14ac:dyDescent="0.25">
      <c r="A1" s="3"/>
      <c r="B1" s="3"/>
      <c r="C1" s="20"/>
      <c r="D1" s="3"/>
      <c r="G1" s="8" t="s">
        <v>34</v>
      </c>
      <c r="H1" s="10"/>
    </row>
    <row r="2" spans="1:12" ht="13.5" customHeight="1" x14ac:dyDescent="0.25">
      <c r="A2" s="3"/>
      <c r="B2" s="3"/>
      <c r="C2" s="20"/>
      <c r="D2" s="3"/>
      <c r="G2" s="12" t="s">
        <v>5</v>
      </c>
      <c r="H2" s="10"/>
    </row>
    <row r="3" spans="1:12" ht="13.5" customHeight="1" x14ac:dyDescent="0.25">
      <c r="A3" s="3"/>
      <c r="B3" s="3"/>
      <c r="C3" s="20"/>
      <c r="D3" s="3"/>
      <c r="G3" s="12" t="s">
        <v>4</v>
      </c>
      <c r="H3" s="10"/>
      <c r="I3" s="15"/>
    </row>
    <row r="4" spans="1:12" ht="13.5" customHeight="1" x14ac:dyDescent="0.25">
      <c r="A4" s="3"/>
      <c r="B4" s="3"/>
      <c r="C4" s="20"/>
      <c r="D4" s="3"/>
      <c r="G4" s="12" t="s">
        <v>6</v>
      </c>
      <c r="H4" s="10"/>
      <c r="I4" s="15"/>
    </row>
    <row r="5" spans="1:12" ht="13.5" customHeight="1" x14ac:dyDescent="0.25">
      <c r="A5" s="3"/>
      <c r="B5" s="3"/>
      <c r="C5" s="20"/>
      <c r="D5" s="3"/>
      <c r="G5" s="18" t="s">
        <v>7</v>
      </c>
      <c r="H5" s="10"/>
      <c r="I5" s="15"/>
    </row>
    <row r="6" spans="1:12" x14ac:dyDescent="0.25">
      <c r="A6" s="3"/>
      <c r="B6" s="3"/>
      <c r="C6" s="20"/>
      <c r="D6" s="3"/>
      <c r="E6" s="3"/>
      <c r="H6" s="10"/>
      <c r="I6" s="15"/>
    </row>
    <row r="7" spans="1:12" ht="23.25" x14ac:dyDescent="0.35">
      <c r="A7" s="101" t="s">
        <v>8</v>
      </c>
      <c r="B7" s="102"/>
      <c r="C7" s="102"/>
      <c r="D7" s="102"/>
      <c r="E7" s="102"/>
      <c r="F7" s="102"/>
      <c r="G7" s="102"/>
      <c r="H7" s="102"/>
      <c r="I7" s="102"/>
      <c r="J7" s="16"/>
    </row>
    <row r="8" spans="1:12" ht="16.5" x14ac:dyDescent="0.25">
      <c r="A8" s="3"/>
      <c r="B8" s="3"/>
      <c r="C8" s="20"/>
      <c r="D8" s="3"/>
      <c r="E8" s="17"/>
      <c r="G8" s="6" t="s">
        <v>28</v>
      </c>
      <c r="H8" s="52"/>
      <c r="I8" s="2"/>
      <c r="J8" s="4"/>
    </row>
    <row r="9" spans="1:12" ht="16.5" x14ac:dyDescent="0.3">
      <c r="A9" s="3"/>
      <c r="B9" s="3"/>
      <c r="C9" s="20"/>
      <c r="D9" s="3"/>
      <c r="E9" s="3"/>
      <c r="G9" s="6" t="s">
        <v>27</v>
      </c>
      <c r="H9" s="39"/>
      <c r="I9" s="2"/>
      <c r="J9" s="3"/>
    </row>
    <row r="10" spans="1:12" x14ac:dyDescent="0.25">
      <c r="A10" s="3"/>
      <c r="B10" s="3"/>
      <c r="C10" s="20"/>
      <c r="D10" s="3"/>
      <c r="E10" s="3"/>
      <c r="F10" s="3"/>
      <c r="G10" s="3"/>
      <c r="H10" s="11"/>
      <c r="I10" s="19"/>
      <c r="J10" s="28"/>
    </row>
    <row r="11" spans="1:12" customFormat="1" ht="12.75" x14ac:dyDescent="0.2">
      <c r="A11" s="37" t="s">
        <v>9</v>
      </c>
      <c r="B11" s="54" t="s">
        <v>58</v>
      </c>
      <c r="C11" s="54"/>
      <c r="D11" s="55"/>
      <c r="E11" s="1"/>
      <c r="F11" s="35" t="s">
        <v>10</v>
      </c>
      <c r="G11" s="54" t="s">
        <v>58</v>
      </c>
      <c r="H11" s="54"/>
      <c r="I11" s="55"/>
      <c r="J11" s="25"/>
      <c r="K11" s="25"/>
    </row>
    <row r="12" spans="1:12" customFormat="1" ht="12.75" x14ac:dyDescent="0.2">
      <c r="A12" s="56"/>
      <c r="B12" s="1" t="s">
        <v>59</v>
      </c>
      <c r="C12" s="44"/>
      <c r="D12" s="78"/>
      <c r="E12" s="1"/>
      <c r="F12" s="59"/>
      <c r="G12" s="1" t="s">
        <v>59</v>
      </c>
      <c r="H12" s="1"/>
      <c r="I12" s="58"/>
      <c r="J12" s="25"/>
      <c r="K12" s="25"/>
    </row>
    <row r="13" spans="1:12" customFormat="1" ht="12.75" x14ac:dyDescent="0.2">
      <c r="A13" s="56"/>
      <c r="B13" s="57" t="s">
        <v>60</v>
      </c>
      <c r="C13" s="57"/>
      <c r="D13" s="58"/>
      <c r="E13" s="1"/>
      <c r="F13" s="59"/>
      <c r="G13" s="57" t="s">
        <v>60</v>
      </c>
      <c r="H13" s="57"/>
      <c r="I13" s="78"/>
      <c r="J13" s="25"/>
      <c r="K13" s="25"/>
    </row>
    <row r="14" spans="1:12" customFormat="1" ht="12.75" x14ac:dyDescent="0.2">
      <c r="A14" s="60"/>
      <c r="B14" s="61" t="s">
        <v>61</v>
      </c>
      <c r="C14" s="61"/>
      <c r="D14" s="84"/>
      <c r="E14" s="1"/>
      <c r="F14" s="62"/>
      <c r="G14" s="61" t="s">
        <v>61</v>
      </c>
      <c r="H14" s="61"/>
      <c r="I14" s="84"/>
      <c r="J14" s="25"/>
      <c r="K14" s="25"/>
    </row>
    <row r="15" spans="1:12" ht="12.75" customHeight="1" x14ac:dyDescent="0.25">
      <c r="A15" s="18"/>
      <c r="B15" s="3"/>
      <c r="C15" s="20"/>
      <c r="D15" s="3"/>
      <c r="E15" s="3"/>
      <c r="G15" s="18"/>
      <c r="H15" s="3"/>
      <c r="I15" s="19"/>
      <c r="J15" s="3"/>
      <c r="L15" s="1"/>
    </row>
    <row r="16" spans="1:12" ht="15" customHeight="1" x14ac:dyDescent="0.25">
      <c r="A16" s="1" t="s">
        <v>21</v>
      </c>
      <c r="B16" s="1"/>
      <c r="C16" s="44" t="s">
        <v>67</v>
      </c>
      <c r="D16" s="1"/>
      <c r="E16" s="1"/>
      <c r="F16" s="14" t="s">
        <v>12</v>
      </c>
      <c r="G16" s="1"/>
      <c r="H16" s="66">
        <v>182608831</v>
      </c>
      <c r="I16" s="29"/>
    </row>
    <row r="17" spans="1:15" ht="14.25" customHeight="1" x14ac:dyDescent="0.25">
      <c r="A17" s="14" t="s">
        <v>11</v>
      </c>
      <c r="B17" s="14"/>
      <c r="C17" s="53" t="s">
        <v>18</v>
      </c>
      <c r="D17" s="14"/>
      <c r="E17" s="14"/>
      <c r="F17" s="14" t="s">
        <v>35</v>
      </c>
      <c r="G17" s="14"/>
      <c r="H17" s="53" t="s">
        <v>64</v>
      </c>
      <c r="I17" s="30"/>
    </row>
    <row r="18" spans="1:15" ht="14.25" customHeight="1" x14ac:dyDescent="0.25">
      <c r="A18" s="14" t="s">
        <v>17</v>
      </c>
      <c r="B18" s="14"/>
      <c r="C18" s="53" t="s">
        <v>62</v>
      </c>
      <c r="D18" s="14"/>
      <c r="E18" s="14"/>
      <c r="F18" s="14" t="s">
        <v>20</v>
      </c>
      <c r="G18" s="14"/>
      <c r="H18" s="53">
        <v>90279099</v>
      </c>
      <c r="I18" s="14"/>
    </row>
    <row r="19" spans="1:15" ht="14.25" customHeight="1" x14ac:dyDescent="0.25">
      <c r="A19" s="14" t="s">
        <v>36</v>
      </c>
      <c r="B19" s="14"/>
      <c r="C19" s="107" t="s">
        <v>63</v>
      </c>
      <c r="D19" s="14"/>
      <c r="E19" s="14"/>
      <c r="I19" s="30"/>
    </row>
    <row r="20" spans="1:15" ht="13.15" customHeight="1" x14ac:dyDescent="0.25">
      <c r="A20" s="12"/>
      <c r="C20" s="2"/>
      <c r="G20" s="12"/>
      <c r="H20" s="14"/>
      <c r="I20" s="2"/>
      <c r="J20" s="12"/>
    </row>
    <row r="21" spans="1:15" s="9" customFormat="1" ht="15" customHeight="1" x14ac:dyDescent="0.2">
      <c r="A21" s="85" t="s">
        <v>1</v>
      </c>
      <c r="B21" s="68" t="s">
        <v>2</v>
      </c>
      <c r="C21" s="112" t="s">
        <v>3</v>
      </c>
      <c r="D21" s="87" t="s">
        <v>15</v>
      </c>
      <c r="E21" s="75"/>
      <c r="F21" s="75"/>
      <c r="G21" s="76"/>
      <c r="H21" s="123" t="s">
        <v>13</v>
      </c>
      <c r="I21" s="123" t="s">
        <v>14</v>
      </c>
    </row>
    <row r="22" spans="1:15" s="9" customFormat="1" ht="15" customHeight="1" x14ac:dyDescent="0.2">
      <c r="A22" s="86" t="s">
        <v>30</v>
      </c>
      <c r="B22" s="77">
        <v>1298140</v>
      </c>
      <c r="C22" s="121">
        <v>2</v>
      </c>
      <c r="D22" s="113" t="s">
        <v>43</v>
      </c>
      <c r="E22" s="114"/>
      <c r="F22" s="115"/>
      <c r="G22" s="116"/>
      <c r="H22" s="106">
        <v>549.4</v>
      </c>
      <c r="I22" s="88">
        <f>H22*C22</f>
        <v>1098.8</v>
      </c>
    </row>
    <row r="23" spans="1:15" s="9" customFormat="1" ht="15" customHeight="1" x14ac:dyDescent="0.2">
      <c r="A23" s="86" t="s">
        <v>31</v>
      </c>
      <c r="B23" s="77">
        <v>1314000</v>
      </c>
      <c r="C23" s="121">
        <v>1</v>
      </c>
      <c r="D23" s="117" t="s">
        <v>44</v>
      </c>
      <c r="E23" s="1"/>
      <c r="F23" s="67"/>
      <c r="G23" s="69"/>
      <c r="H23" s="106">
        <v>21.24</v>
      </c>
      <c r="I23" s="88">
        <f t="shared" ref="I23:I29" si="0">H23*C23</f>
        <v>21.24</v>
      </c>
    </row>
    <row r="24" spans="1:15" s="9" customFormat="1" ht="15" customHeight="1" x14ac:dyDescent="0.2">
      <c r="A24" s="86" t="s">
        <v>32</v>
      </c>
      <c r="B24" s="77">
        <v>1299570</v>
      </c>
      <c r="C24" s="121">
        <v>1</v>
      </c>
      <c r="D24" s="117" t="s">
        <v>45</v>
      </c>
      <c r="E24" s="1"/>
      <c r="F24" s="67"/>
      <c r="G24" s="69"/>
      <c r="H24" s="106">
        <v>20.6</v>
      </c>
      <c r="I24" s="88">
        <f t="shared" si="0"/>
        <v>20.6</v>
      </c>
    </row>
    <row r="25" spans="1:15" s="9" customFormat="1" ht="15" customHeight="1" x14ac:dyDescent="0.2">
      <c r="A25" s="86" t="s">
        <v>53</v>
      </c>
      <c r="B25" s="77">
        <v>1309920</v>
      </c>
      <c r="C25" s="121">
        <v>1</v>
      </c>
      <c r="D25" s="117" t="s">
        <v>46</v>
      </c>
      <c r="E25" s="1"/>
      <c r="F25" s="67"/>
      <c r="G25" s="69"/>
      <c r="H25" s="106">
        <v>3198.5</v>
      </c>
      <c r="I25" s="88">
        <f t="shared" si="0"/>
        <v>3198.5</v>
      </c>
    </row>
    <row r="26" spans="1:15" s="9" customFormat="1" ht="15" customHeight="1" x14ac:dyDescent="0.2">
      <c r="A26" s="86" t="s">
        <v>54</v>
      </c>
      <c r="B26" s="77">
        <v>1322930</v>
      </c>
      <c r="C26" s="121">
        <v>1</v>
      </c>
      <c r="D26" s="117" t="s">
        <v>47</v>
      </c>
      <c r="E26" s="1"/>
      <c r="F26" s="67"/>
      <c r="G26" s="69"/>
      <c r="H26" s="106">
        <v>4688.9399999999996</v>
      </c>
      <c r="I26" s="88">
        <f t="shared" si="0"/>
        <v>4688.9399999999996</v>
      </c>
    </row>
    <row r="27" spans="1:15" s="9" customFormat="1" ht="15" customHeight="1" x14ac:dyDescent="0.2">
      <c r="A27" s="86" t="s">
        <v>55</v>
      </c>
      <c r="B27" s="77" t="s">
        <v>48</v>
      </c>
      <c r="C27" s="121">
        <v>1</v>
      </c>
      <c r="D27" s="117" t="s">
        <v>49</v>
      </c>
      <c r="E27" s="1"/>
      <c r="F27" s="67"/>
      <c r="G27" s="69"/>
      <c r="H27" s="106">
        <v>334.62</v>
      </c>
      <c r="I27" s="88">
        <f t="shared" si="0"/>
        <v>334.62</v>
      </c>
    </row>
    <row r="28" spans="1:15" s="9" customFormat="1" ht="15" customHeight="1" x14ac:dyDescent="0.2">
      <c r="A28" s="86" t="s">
        <v>56</v>
      </c>
      <c r="B28" s="86" t="s">
        <v>50</v>
      </c>
      <c r="C28" s="29">
        <v>1</v>
      </c>
      <c r="D28" s="59" t="s">
        <v>51</v>
      </c>
      <c r="E28" s="1"/>
      <c r="F28" s="67"/>
      <c r="G28" s="69"/>
      <c r="H28" s="83">
        <v>964.25</v>
      </c>
      <c r="I28" s="88">
        <f t="shared" si="0"/>
        <v>964.25</v>
      </c>
    </row>
    <row r="29" spans="1:15" s="9" customFormat="1" ht="15" customHeight="1" x14ac:dyDescent="0.2">
      <c r="A29" s="86" t="s">
        <v>57</v>
      </c>
      <c r="B29" s="122">
        <v>1117210</v>
      </c>
      <c r="C29" s="29">
        <v>2</v>
      </c>
      <c r="D29" s="62" t="s">
        <v>52</v>
      </c>
      <c r="E29" s="118"/>
      <c r="F29" s="119"/>
      <c r="G29" s="120"/>
      <c r="H29" s="83">
        <v>117.5</v>
      </c>
      <c r="I29" s="88">
        <f t="shared" si="0"/>
        <v>235</v>
      </c>
      <c r="N29" s="105"/>
      <c r="O29" s="105"/>
    </row>
    <row r="30" spans="1:15" ht="15" customHeight="1" x14ac:dyDescent="0.25">
      <c r="A30" s="89"/>
      <c r="B30" s="90" t="s">
        <v>29</v>
      </c>
      <c r="C30" s="91"/>
      <c r="D30" s="92"/>
      <c r="E30" s="90"/>
      <c r="F30" s="90"/>
      <c r="G30" s="90"/>
      <c r="H30" s="93"/>
      <c r="I30" s="94">
        <f>SUM(I22:I29)</f>
        <v>10561.949999999999</v>
      </c>
    </row>
    <row r="31" spans="1:15" ht="15" customHeight="1" x14ac:dyDescent="0.25">
      <c r="A31" s="1"/>
      <c r="B31" s="1"/>
      <c r="C31" s="44"/>
      <c r="D31" s="66"/>
      <c r="E31" s="1"/>
      <c r="F31" s="1"/>
      <c r="G31" s="1"/>
      <c r="H31" s="82"/>
      <c r="I31" s="83"/>
    </row>
    <row r="32" spans="1:15" ht="13.5" customHeight="1" x14ac:dyDescent="0.25">
      <c r="A32" s="1" t="s">
        <v>19</v>
      </c>
      <c r="B32" s="1"/>
      <c r="C32" s="44"/>
      <c r="D32" s="65"/>
      <c r="E32" s="3"/>
      <c r="F32" s="3"/>
      <c r="G32" s="3"/>
      <c r="H32" s="63"/>
      <c r="I32" s="64"/>
    </row>
    <row r="33" spans="1:10" ht="13.5" customHeight="1" x14ac:dyDescent="0.25">
      <c r="A33" s="1" t="s">
        <v>22</v>
      </c>
      <c r="B33" s="1"/>
      <c r="C33" s="44"/>
      <c r="D33" s="65"/>
      <c r="E33" s="3"/>
      <c r="F33" s="3"/>
      <c r="G33" s="3"/>
      <c r="H33" s="63"/>
      <c r="I33" s="64"/>
    </row>
    <row r="34" spans="1:10" ht="13.5" customHeight="1" x14ac:dyDescent="0.25">
      <c r="A34" s="1" t="s">
        <v>23</v>
      </c>
      <c r="B34" s="1"/>
      <c r="C34" s="44"/>
      <c r="D34" s="65"/>
      <c r="E34" s="3"/>
      <c r="F34" s="3"/>
      <c r="G34" s="3"/>
      <c r="H34" s="63"/>
      <c r="I34" s="64"/>
    </row>
    <row r="35" spans="1:10" ht="13.5" customHeight="1" x14ac:dyDescent="0.25">
      <c r="A35" s="1" t="s">
        <v>24</v>
      </c>
      <c r="B35" s="1"/>
      <c r="C35" s="44"/>
      <c r="D35" s="65"/>
      <c r="E35" s="3"/>
      <c r="F35" s="3"/>
      <c r="G35" s="3"/>
      <c r="H35" s="63"/>
      <c r="I35" s="64"/>
    </row>
    <row r="36" spans="1:10" ht="13.5" customHeight="1" x14ac:dyDescent="0.25">
      <c r="A36" s="1" t="s">
        <v>25</v>
      </c>
      <c r="B36" s="1"/>
      <c r="C36" s="44"/>
      <c r="D36" s="65"/>
      <c r="E36" s="3"/>
      <c r="F36" s="3"/>
      <c r="G36" s="3"/>
      <c r="H36" s="63"/>
      <c r="I36" s="64"/>
    </row>
    <row r="37" spans="1:10" ht="13.5" customHeight="1" x14ac:dyDescent="0.25">
      <c r="A37" s="1" t="s">
        <v>26</v>
      </c>
      <c r="B37" s="1"/>
      <c r="C37" s="44"/>
      <c r="D37" s="65"/>
      <c r="E37" s="3"/>
      <c r="F37" s="3"/>
      <c r="G37" s="3"/>
      <c r="H37" s="63"/>
      <c r="I37" s="64"/>
    </row>
    <row r="38" spans="1:10" ht="13.5" customHeight="1" x14ac:dyDescent="0.25">
      <c r="A38" s="1"/>
      <c r="B38" s="66"/>
      <c r="C38" s="44"/>
      <c r="D38" s="65"/>
      <c r="E38" s="3"/>
      <c r="F38" s="3"/>
      <c r="G38" s="3"/>
      <c r="H38" s="63"/>
      <c r="I38" s="64"/>
    </row>
    <row r="39" spans="1:10" ht="13.5" customHeight="1" x14ac:dyDescent="0.25">
      <c r="A39" s="47" t="s">
        <v>33</v>
      </c>
      <c r="B39" s="47"/>
      <c r="C39" s="111">
        <v>1</v>
      </c>
      <c r="D39" s="47"/>
      <c r="F39" s="3"/>
      <c r="H39" s="36"/>
      <c r="I39" s="51"/>
    </row>
    <row r="40" spans="1:10" ht="13.5" customHeight="1" x14ac:dyDescent="0.25">
      <c r="A40" s="47" t="s">
        <v>40</v>
      </c>
      <c r="B40" s="79"/>
      <c r="C40" s="109" t="s">
        <v>65</v>
      </c>
      <c r="D40" s="47"/>
      <c r="F40" s="3"/>
      <c r="H40" s="36"/>
      <c r="I40" s="51"/>
    </row>
    <row r="41" spans="1:10" ht="13.5" customHeight="1" x14ac:dyDescent="0.25">
      <c r="A41" s="47" t="s">
        <v>41</v>
      </c>
      <c r="B41" s="79"/>
      <c r="C41" s="109" t="s">
        <v>66</v>
      </c>
      <c r="D41" s="80"/>
      <c r="F41" s="3"/>
      <c r="H41" s="36"/>
      <c r="I41" s="51"/>
    </row>
    <row r="42" spans="1:10" ht="13.5" customHeight="1" x14ac:dyDescent="0.25">
      <c r="A42" s="14" t="s">
        <v>42</v>
      </c>
      <c r="B42" s="1"/>
      <c r="C42" s="110" t="s">
        <v>72</v>
      </c>
      <c r="D42" s="3"/>
      <c r="E42" s="3"/>
      <c r="F42" s="27"/>
      <c r="G42" s="22"/>
      <c r="H42" s="5"/>
      <c r="I42" s="19"/>
    </row>
    <row r="43" spans="1:10" ht="13.5" customHeight="1" x14ac:dyDescent="0.25">
      <c r="A43" s="14"/>
      <c r="B43" s="1"/>
      <c r="C43" s="20"/>
      <c r="D43" s="3"/>
      <c r="E43" s="3"/>
      <c r="G43" s="24" t="s">
        <v>0</v>
      </c>
      <c r="I43" s="19"/>
    </row>
    <row r="44" spans="1:10" ht="13.5" customHeight="1" x14ac:dyDescent="0.3">
      <c r="A44" s="14"/>
      <c r="B44" s="26"/>
      <c r="C44" s="23"/>
      <c r="D44" s="23"/>
      <c r="E44" s="3"/>
      <c r="F44" s="3"/>
      <c r="G44" s="3"/>
      <c r="H44" s="3"/>
      <c r="I44" s="19"/>
    </row>
    <row r="45" spans="1:10" ht="15" customHeight="1" x14ac:dyDescent="0.25">
      <c r="B45" s="3"/>
      <c r="E45" s="3"/>
      <c r="F45" s="3"/>
      <c r="G45" s="3"/>
      <c r="H45" s="3"/>
      <c r="I45" s="19"/>
    </row>
    <row r="46" spans="1:10" ht="12.75" customHeight="1" x14ac:dyDescent="0.25">
      <c r="B46" s="33"/>
      <c r="C46" s="31"/>
      <c r="D46" s="31"/>
      <c r="E46" s="3"/>
      <c r="F46" s="3"/>
      <c r="G46" s="3"/>
      <c r="H46" s="3"/>
      <c r="I46" s="19"/>
      <c r="J46" s="3"/>
    </row>
    <row r="47" spans="1:10" x14ac:dyDescent="0.25">
      <c r="A47" s="3"/>
      <c r="I47" s="2"/>
      <c r="J47" s="3"/>
    </row>
    <row r="48" spans="1:10" s="23" customFormat="1" x14ac:dyDescent="0.25">
      <c r="A48" s="3"/>
      <c r="B48" s="2"/>
      <c r="C48" s="21"/>
      <c r="D48" s="2"/>
      <c r="E48" s="2"/>
      <c r="F48" s="2"/>
      <c r="G48" s="2"/>
      <c r="H48" s="2"/>
      <c r="I48" s="1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</sheetData>
  <mergeCells count="1">
    <mergeCell ref="A7:I7"/>
  </mergeCells>
  <pageMargins left="0.51181102362204722" right="0.34" top="1.44" bottom="0.78740157480314965" header="0.31496062992125984" footer="0.31496062992125984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1"/>
  <sheetViews>
    <sheetView tabSelected="1" workbookViewId="0">
      <selection activeCell="H26" sqref="H26"/>
    </sheetView>
  </sheetViews>
  <sheetFormatPr defaultColWidth="9.140625" defaultRowHeight="15.75" x14ac:dyDescent="0.25"/>
  <cols>
    <col min="1" max="1" width="6.7109375" style="2" customWidth="1"/>
    <col min="2" max="2" width="10.42578125" style="2" customWidth="1"/>
    <col min="3" max="3" width="8" style="21" customWidth="1"/>
    <col min="4" max="4" width="29.42578125" style="2" customWidth="1"/>
    <col min="5" max="5" width="3.42578125" style="2" customWidth="1"/>
    <col min="6" max="6" width="7.42578125" style="2" customWidth="1"/>
    <col min="7" max="7" width="5.140625" style="2" customWidth="1"/>
    <col min="8" max="8" width="42.85546875" style="2" customWidth="1"/>
    <col min="9" max="9" width="9.140625" style="2"/>
    <col min="10" max="10" width="10.7109375" style="2" bestFit="1" customWidth="1"/>
    <col min="11" max="11" width="62.140625" style="2" bestFit="1" customWidth="1"/>
    <col min="12" max="16384" width="9.140625" style="2"/>
  </cols>
  <sheetData>
    <row r="1" spans="1:9" ht="13.5" customHeight="1" x14ac:dyDescent="0.25">
      <c r="A1" s="3"/>
      <c r="B1" s="3"/>
      <c r="C1" s="20"/>
      <c r="D1" s="3"/>
      <c r="G1" s="8" t="s">
        <v>38</v>
      </c>
      <c r="H1" s="10"/>
    </row>
    <row r="2" spans="1:9" ht="13.5" customHeight="1" x14ac:dyDescent="0.25">
      <c r="A2" s="3"/>
      <c r="B2" s="3"/>
      <c r="C2" s="20"/>
      <c r="D2" s="3"/>
      <c r="G2" s="14" t="s">
        <v>5</v>
      </c>
      <c r="H2" s="14"/>
    </row>
    <row r="3" spans="1:9" ht="13.5" customHeight="1" x14ac:dyDescent="0.25">
      <c r="A3" s="3"/>
      <c r="B3" s="3"/>
      <c r="C3" s="20"/>
      <c r="D3" s="3"/>
      <c r="G3" s="14" t="s">
        <v>4</v>
      </c>
      <c r="H3" s="14"/>
    </row>
    <row r="4" spans="1:9" ht="13.5" customHeight="1" x14ac:dyDescent="0.25">
      <c r="A4" s="3"/>
      <c r="B4" s="3"/>
      <c r="C4" s="20"/>
      <c r="D4" s="3"/>
      <c r="G4" s="14" t="s">
        <v>6</v>
      </c>
      <c r="H4" s="14"/>
    </row>
    <row r="5" spans="1:9" ht="13.5" customHeight="1" x14ac:dyDescent="0.25">
      <c r="A5" s="3"/>
      <c r="B5" s="3"/>
      <c r="C5" s="20"/>
      <c r="D5" s="3"/>
      <c r="G5" s="1" t="s">
        <v>7</v>
      </c>
      <c r="H5" s="14"/>
    </row>
    <row r="6" spans="1:9" x14ac:dyDescent="0.25">
      <c r="A6" s="3"/>
      <c r="B6" s="3"/>
      <c r="C6" s="20"/>
      <c r="D6" s="3"/>
      <c r="E6" s="3"/>
      <c r="H6" s="10"/>
    </row>
    <row r="7" spans="1:9" ht="21" customHeight="1" x14ac:dyDescent="0.35">
      <c r="A7" s="103" t="s">
        <v>37</v>
      </c>
      <c r="B7" s="104"/>
      <c r="C7" s="104"/>
      <c r="D7" s="104"/>
      <c r="E7" s="104"/>
      <c r="F7" s="104"/>
      <c r="G7" s="104"/>
      <c r="H7" s="104"/>
    </row>
    <row r="8" spans="1:9" ht="16.5" x14ac:dyDescent="0.3">
      <c r="A8" s="3"/>
      <c r="B8" s="3"/>
      <c r="C8" s="20"/>
      <c r="D8" s="3"/>
      <c r="E8" s="17"/>
      <c r="G8" s="6"/>
      <c r="H8" s="34"/>
    </row>
    <row r="9" spans="1:9" ht="16.5" x14ac:dyDescent="0.3">
      <c r="A9" s="3"/>
      <c r="B9" s="3"/>
      <c r="C9" s="20"/>
      <c r="D9" s="3"/>
      <c r="E9" s="3"/>
      <c r="G9" s="6" t="s">
        <v>39</v>
      </c>
      <c r="H9" s="39"/>
    </row>
    <row r="10" spans="1:9" x14ac:dyDescent="0.25">
      <c r="A10" s="37" t="s">
        <v>9</v>
      </c>
      <c r="B10" s="54" t="s">
        <v>58</v>
      </c>
      <c r="C10" s="54"/>
      <c r="D10" s="55"/>
      <c r="E10" s="1"/>
      <c r="F10" s="35" t="s">
        <v>10</v>
      </c>
      <c r="G10" s="54" t="s">
        <v>58</v>
      </c>
      <c r="H10" s="55"/>
      <c r="I10" s="57"/>
    </row>
    <row r="11" spans="1:9" x14ac:dyDescent="0.25">
      <c r="A11" s="56"/>
      <c r="B11" s="1" t="s">
        <v>59</v>
      </c>
      <c r="C11" s="44"/>
      <c r="D11" s="78"/>
      <c r="E11" s="1"/>
      <c r="F11" s="59"/>
      <c r="G11" s="1" t="s">
        <v>59</v>
      </c>
      <c r="H11" s="124"/>
      <c r="I11" s="1"/>
    </row>
    <row r="12" spans="1:9" x14ac:dyDescent="0.25">
      <c r="A12" s="56"/>
      <c r="B12" s="57" t="s">
        <v>60</v>
      </c>
      <c r="C12" s="57"/>
      <c r="D12" s="58"/>
      <c r="E12" s="1"/>
      <c r="F12" s="59"/>
      <c r="G12" s="57" t="s">
        <v>60</v>
      </c>
      <c r="H12" s="58"/>
      <c r="I12" s="57"/>
    </row>
    <row r="13" spans="1:9" x14ac:dyDescent="0.25">
      <c r="A13" s="60"/>
      <c r="B13" s="61" t="s">
        <v>61</v>
      </c>
      <c r="C13" s="61"/>
      <c r="D13" s="84"/>
      <c r="E13" s="1"/>
      <c r="F13" s="62"/>
      <c r="G13" s="61" t="s">
        <v>61</v>
      </c>
      <c r="H13" s="95"/>
      <c r="I13" s="1"/>
    </row>
    <row r="14" spans="1:9" x14ac:dyDescent="0.25">
      <c r="A14" s="18"/>
      <c r="B14" s="3"/>
      <c r="C14" s="20"/>
      <c r="D14" s="3"/>
      <c r="E14" s="3"/>
      <c r="G14" s="18"/>
      <c r="H14" s="3"/>
    </row>
    <row r="15" spans="1:9" x14ac:dyDescent="0.25">
      <c r="A15" s="1" t="s">
        <v>21</v>
      </c>
      <c r="B15" s="1"/>
      <c r="C15" s="44" t="s">
        <v>68</v>
      </c>
      <c r="D15" s="1"/>
      <c r="E15" s="1"/>
      <c r="F15" s="14" t="s">
        <v>12</v>
      </c>
      <c r="G15" s="1"/>
      <c r="H15" s="66">
        <v>182608831</v>
      </c>
    </row>
    <row r="16" spans="1:9" x14ac:dyDescent="0.25">
      <c r="A16" s="14" t="s">
        <v>11</v>
      </c>
      <c r="B16" s="14"/>
      <c r="C16" s="53" t="s">
        <v>18</v>
      </c>
      <c r="D16" s="14"/>
      <c r="E16" s="14"/>
      <c r="F16" s="14" t="s">
        <v>35</v>
      </c>
      <c r="G16" s="14"/>
      <c r="H16" s="53" t="s">
        <v>64</v>
      </c>
    </row>
    <row r="17" spans="1:10" x14ac:dyDescent="0.25">
      <c r="A17" s="14" t="s">
        <v>17</v>
      </c>
      <c r="B17" s="14"/>
      <c r="C17" s="53" t="s">
        <v>62</v>
      </c>
      <c r="D17" s="14"/>
      <c r="E17" s="14"/>
      <c r="F17" s="14" t="s">
        <v>20</v>
      </c>
      <c r="G17" s="14"/>
      <c r="H17" s="53">
        <v>90279099</v>
      </c>
    </row>
    <row r="18" spans="1:10" x14ac:dyDescent="0.25">
      <c r="A18" s="14" t="s">
        <v>36</v>
      </c>
      <c r="B18" s="14"/>
      <c r="C18" s="53" t="s">
        <v>63</v>
      </c>
      <c r="D18" s="14"/>
      <c r="E18" s="14"/>
    </row>
    <row r="19" spans="1:10" x14ac:dyDescent="0.25">
      <c r="A19" s="12"/>
      <c r="C19" s="2"/>
      <c r="G19" s="12"/>
      <c r="H19" s="14"/>
    </row>
    <row r="20" spans="1:10" x14ac:dyDescent="0.25">
      <c r="A20" s="100" t="s">
        <v>1</v>
      </c>
      <c r="B20" s="74" t="s">
        <v>2</v>
      </c>
      <c r="C20" s="74" t="s">
        <v>3</v>
      </c>
      <c r="D20" s="71" t="s">
        <v>15</v>
      </c>
      <c r="E20" s="72"/>
      <c r="F20" s="72"/>
      <c r="G20" s="73"/>
      <c r="H20" s="70" t="s">
        <v>16</v>
      </c>
      <c r="I20" s="47"/>
    </row>
    <row r="21" spans="1:10" x14ac:dyDescent="0.25">
      <c r="A21" s="125" t="s">
        <v>30</v>
      </c>
      <c r="B21" s="126">
        <v>1298140</v>
      </c>
      <c r="C21" s="127">
        <v>2</v>
      </c>
      <c r="D21" s="113" t="s">
        <v>43</v>
      </c>
      <c r="E21" s="114"/>
      <c r="F21" s="115"/>
      <c r="G21" s="116"/>
      <c r="H21" s="129"/>
      <c r="I21" s="47"/>
    </row>
    <row r="22" spans="1:10" x14ac:dyDescent="0.25">
      <c r="A22" s="86" t="s">
        <v>31</v>
      </c>
      <c r="B22" s="77">
        <v>1314000</v>
      </c>
      <c r="C22" s="108">
        <v>1</v>
      </c>
      <c r="D22" s="117" t="s">
        <v>44</v>
      </c>
      <c r="E22" s="1"/>
      <c r="F22" s="67"/>
      <c r="G22" s="69"/>
      <c r="H22" s="96" t="s">
        <v>69</v>
      </c>
      <c r="I22" s="47"/>
      <c r="J22" s="111"/>
    </row>
    <row r="23" spans="1:10" x14ac:dyDescent="0.25">
      <c r="A23" s="86" t="s">
        <v>32</v>
      </c>
      <c r="B23" s="77">
        <v>1299570</v>
      </c>
      <c r="C23" s="108">
        <v>1</v>
      </c>
      <c r="D23" s="117" t="s">
        <v>45</v>
      </c>
      <c r="E23" s="1"/>
      <c r="F23" s="67"/>
      <c r="G23" s="69"/>
      <c r="H23" s="96" t="s">
        <v>70</v>
      </c>
      <c r="I23" s="81"/>
      <c r="J23" s="109"/>
    </row>
    <row r="24" spans="1:10" x14ac:dyDescent="0.25">
      <c r="A24" s="86" t="s">
        <v>53</v>
      </c>
      <c r="B24" s="77">
        <v>1309920</v>
      </c>
      <c r="C24" s="108">
        <v>1</v>
      </c>
      <c r="D24" s="117" t="s">
        <v>46</v>
      </c>
      <c r="E24" s="1"/>
      <c r="F24" s="67"/>
      <c r="G24" s="69"/>
      <c r="H24" s="96" t="s">
        <v>71</v>
      </c>
      <c r="I24" s="81"/>
      <c r="J24" s="109"/>
    </row>
    <row r="25" spans="1:10" x14ac:dyDescent="0.25">
      <c r="A25" s="86" t="s">
        <v>54</v>
      </c>
      <c r="B25" s="77">
        <v>1322930</v>
      </c>
      <c r="C25" s="108">
        <v>1</v>
      </c>
      <c r="D25" s="117" t="s">
        <v>47</v>
      </c>
      <c r="E25" s="1"/>
      <c r="F25" s="67"/>
      <c r="G25" s="69"/>
      <c r="H25" s="99" t="s">
        <v>73</v>
      </c>
      <c r="I25" s="1"/>
      <c r="J25" s="110"/>
    </row>
    <row r="26" spans="1:10" x14ac:dyDescent="0.25">
      <c r="A26" s="86" t="s">
        <v>55</v>
      </c>
      <c r="B26" s="77" t="s">
        <v>48</v>
      </c>
      <c r="C26" s="108">
        <v>1</v>
      </c>
      <c r="D26" s="117" t="s">
        <v>49</v>
      </c>
      <c r="E26" s="1"/>
      <c r="F26" s="67"/>
      <c r="G26" s="69"/>
      <c r="H26" s="96"/>
    </row>
    <row r="27" spans="1:10" x14ac:dyDescent="0.25">
      <c r="A27" s="86" t="s">
        <v>56</v>
      </c>
      <c r="B27" s="86" t="s">
        <v>50</v>
      </c>
      <c r="C27" s="44">
        <v>1</v>
      </c>
      <c r="D27" s="59" t="s">
        <v>51</v>
      </c>
      <c r="E27" s="1"/>
      <c r="F27" s="67"/>
      <c r="G27" s="69"/>
      <c r="H27" s="97"/>
    </row>
    <row r="28" spans="1:10" ht="16.5" x14ac:dyDescent="0.3">
      <c r="A28" s="122" t="s">
        <v>57</v>
      </c>
      <c r="B28" s="122">
        <v>1117210</v>
      </c>
      <c r="C28" s="128">
        <v>2</v>
      </c>
      <c r="D28" s="62" t="s">
        <v>52</v>
      </c>
      <c r="E28" s="118"/>
      <c r="F28" s="119"/>
      <c r="G28" s="120"/>
      <c r="H28" s="98"/>
    </row>
    <row r="29" spans="1:10" ht="16.5" x14ac:dyDescent="0.3">
      <c r="A29" s="3"/>
      <c r="B29" s="3"/>
      <c r="C29" s="20"/>
      <c r="D29" s="3"/>
      <c r="E29" s="3"/>
      <c r="G29" s="6"/>
      <c r="H29" s="39"/>
    </row>
    <row r="30" spans="1:10" ht="16.5" x14ac:dyDescent="0.3">
      <c r="A30" s="3"/>
      <c r="B30" s="3"/>
      <c r="C30" s="20"/>
      <c r="D30" s="3"/>
      <c r="E30" s="3"/>
      <c r="G30" s="6"/>
      <c r="H30" s="39"/>
    </row>
    <row r="31" spans="1:10" ht="13.5" customHeight="1" x14ac:dyDescent="0.25">
      <c r="A31" s="14"/>
      <c r="B31" s="7"/>
      <c r="D31" s="7"/>
      <c r="E31" s="31"/>
      <c r="F31" s="3"/>
      <c r="G31" s="3"/>
    </row>
    <row r="32" spans="1:10" ht="13.5" customHeight="1" x14ac:dyDescent="0.25">
      <c r="A32" s="14"/>
      <c r="B32" s="1"/>
      <c r="C32" s="32"/>
      <c r="D32" s="3"/>
      <c r="E32" s="3"/>
      <c r="F32" s="27"/>
      <c r="G32" s="22"/>
      <c r="H32" s="5"/>
    </row>
    <row r="33" spans="1:8" ht="13.5" customHeight="1" x14ac:dyDescent="0.25">
      <c r="A33" s="14"/>
      <c r="B33" s="1"/>
      <c r="C33" s="20"/>
      <c r="D33" s="3"/>
      <c r="E33" s="3"/>
      <c r="G33" s="24" t="s">
        <v>0</v>
      </c>
    </row>
    <row r="34" spans="1:8" ht="13.5" customHeight="1" x14ac:dyDescent="0.3">
      <c r="A34" s="14"/>
      <c r="B34" s="26"/>
      <c r="C34" s="23"/>
      <c r="D34" s="23"/>
      <c r="E34" s="3"/>
      <c r="F34" s="3"/>
      <c r="G34" s="3"/>
      <c r="H34" s="3"/>
    </row>
    <row r="35" spans="1:8" s="3" customFormat="1" ht="15" customHeight="1" x14ac:dyDescent="0.25">
      <c r="C35" s="20"/>
    </row>
    <row r="36" spans="1:8" s="3" customFormat="1" ht="14.25" customHeight="1" x14ac:dyDescent="0.25">
      <c r="A36" s="18"/>
      <c r="G36" s="18"/>
    </row>
    <row r="37" spans="1:8" s="43" customFormat="1" ht="18" customHeight="1" x14ac:dyDescent="0.2">
      <c r="A37" s="40"/>
      <c r="B37" s="40"/>
      <c r="C37" s="40"/>
      <c r="D37" s="41"/>
      <c r="E37" s="42"/>
      <c r="F37" s="42"/>
      <c r="G37" s="42"/>
    </row>
    <row r="38" spans="1:8" s="3" customFormat="1" ht="13.5" customHeight="1" x14ac:dyDescent="0.25">
      <c r="A38" s="44"/>
      <c r="B38" s="45"/>
      <c r="C38" s="46"/>
      <c r="D38" s="47"/>
      <c r="E38" s="38"/>
      <c r="F38" s="38"/>
      <c r="G38" s="1"/>
    </row>
    <row r="39" spans="1:8" s="3" customFormat="1" ht="13.5" customHeight="1" x14ac:dyDescent="0.25">
      <c r="A39" s="44"/>
      <c r="B39" s="45"/>
      <c r="C39" s="46"/>
      <c r="D39" s="47"/>
      <c r="E39" s="38"/>
      <c r="F39" s="38"/>
      <c r="G39" s="1"/>
      <c r="H39" s="48"/>
    </row>
    <row r="40" spans="1:8" s="3" customFormat="1" ht="13.5" customHeight="1" x14ac:dyDescent="0.25">
      <c r="A40" s="44"/>
      <c r="B40" s="45"/>
      <c r="C40" s="46"/>
      <c r="D40" s="47"/>
      <c r="E40" s="38"/>
      <c r="F40" s="38"/>
      <c r="G40" s="1"/>
      <c r="H40" s="49"/>
    </row>
    <row r="41" spans="1:8" s="3" customFormat="1" ht="13.5" customHeight="1" x14ac:dyDescent="0.25">
      <c r="A41" s="44"/>
      <c r="B41" s="45"/>
      <c r="C41" s="46"/>
      <c r="D41" s="47"/>
      <c r="E41" s="38"/>
      <c r="F41" s="38"/>
      <c r="G41" s="1"/>
      <c r="H41" s="49"/>
    </row>
    <row r="42" spans="1:8" s="3" customFormat="1" ht="13.5" customHeight="1" x14ac:dyDescent="0.25">
      <c r="A42" s="1"/>
      <c r="B42" s="1"/>
      <c r="C42" s="32"/>
      <c r="F42" s="18"/>
      <c r="G42" s="20"/>
    </row>
    <row r="43" spans="1:8" s="3" customFormat="1" ht="13.5" customHeight="1" x14ac:dyDescent="0.25">
      <c r="A43" s="1"/>
      <c r="B43" s="1"/>
      <c r="C43" s="20"/>
      <c r="G43" s="50"/>
    </row>
    <row r="44" spans="1:8" s="3" customFormat="1" ht="13.5" customHeight="1" x14ac:dyDescent="0.3">
      <c r="A44" s="1"/>
      <c r="B44" s="26"/>
      <c r="C44" s="31"/>
      <c r="D44" s="31"/>
    </row>
    <row r="45" spans="1:8" s="3" customFormat="1" x14ac:dyDescent="0.25">
      <c r="C45" s="20"/>
    </row>
    <row r="46" spans="1:8" s="3" customFormat="1" x14ac:dyDescent="0.25">
      <c r="B46" s="33"/>
      <c r="C46" s="31"/>
      <c r="D46" s="31"/>
    </row>
    <row r="47" spans="1:8" s="3" customFormat="1" x14ac:dyDescent="0.25">
      <c r="C47" s="20"/>
    </row>
    <row r="48" spans="1:8" s="31" customFormat="1" x14ac:dyDescent="0.25">
      <c r="A48" s="3"/>
      <c r="B48" s="3"/>
      <c r="C48" s="20"/>
      <c r="D48" s="3"/>
      <c r="E48" s="3"/>
      <c r="F48" s="3"/>
      <c r="G48" s="3"/>
      <c r="H48" s="3"/>
    </row>
    <row r="49" spans="3:3" s="3" customFormat="1" x14ac:dyDescent="0.25">
      <c r="C49" s="20"/>
    </row>
    <row r="50" spans="3:3" s="3" customFormat="1" x14ac:dyDescent="0.25">
      <c r="C50" s="20"/>
    </row>
    <row r="51" spans="3:3" s="3" customFormat="1" x14ac:dyDescent="0.25">
      <c r="C51" s="20"/>
    </row>
  </sheetData>
  <mergeCells count="1">
    <mergeCell ref="A7:H7"/>
  </mergeCells>
  <pageMargins left="0.43307086614173229" right="0.39370078740157483" top="1.8110236220472442" bottom="0.78740157480314965" header="0.31496062992125984" footer="0.31496062992125984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INV</vt:lpstr>
      <vt:lpstr>PL</vt:lpstr>
      <vt:lpstr>INV!Area_de_impressao</vt:lpstr>
      <vt:lpstr>PL!Area_de_impressao</vt:lpstr>
    </vt:vector>
  </TitlesOfParts>
  <Company>ThermoQuest (HK)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 Chan</dc:creator>
  <cp:lastModifiedBy>Sens-2</cp:lastModifiedBy>
  <cp:lastPrinted>2018-08-16T12:51:13Z</cp:lastPrinted>
  <dcterms:created xsi:type="dcterms:W3CDTF">1999-11-29T04:27:45Z</dcterms:created>
  <dcterms:modified xsi:type="dcterms:W3CDTF">2020-09-17T16:41:41Z</dcterms:modified>
</cp:coreProperties>
</file>