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520" windowHeight="1560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5" i="1" l="1"/>
  <c r="G51" i="1"/>
  <c r="G52" i="1"/>
  <c r="G53" i="1"/>
  <c r="G54" i="1"/>
  <c r="G50" i="1"/>
  <c r="F50" i="1"/>
  <c r="E55" i="1"/>
  <c r="D55" i="1"/>
  <c r="E51" i="1"/>
  <c r="E52" i="1"/>
  <c r="E53" i="1"/>
  <c r="E54" i="1"/>
  <c r="E50" i="1"/>
  <c r="D51" i="1"/>
  <c r="D52" i="1"/>
  <c r="D53" i="1"/>
  <c r="D54" i="1"/>
  <c r="D50" i="1"/>
  <c r="A53" i="1"/>
  <c r="D33" i="1"/>
  <c r="G33" i="1"/>
  <c r="D34" i="1"/>
  <c r="G34" i="1"/>
  <c r="G35" i="1"/>
  <c r="D18" i="1"/>
  <c r="G18" i="1"/>
  <c r="D19" i="1"/>
  <c r="G19" i="1"/>
  <c r="D20" i="1"/>
  <c r="G20" i="1"/>
  <c r="G21" i="1"/>
  <c r="D10" i="1"/>
  <c r="G10" i="1"/>
  <c r="D11" i="1"/>
  <c r="G11" i="1"/>
  <c r="D12" i="1"/>
  <c r="G12" i="1"/>
  <c r="G13" i="1"/>
  <c r="E33" i="1"/>
  <c r="E34" i="1"/>
  <c r="E35" i="1"/>
  <c r="F33" i="1"/>
  <c r="F34" i="1"/>
  <c r="F35" i="1"/>
  <c r="D41" i="1"/>
  <c r="G41" i="1"/>
  <c r="D42" i="1"/>
  <c r="G42" i="1"/>
  <c r="D43" i="1"/>
  <c r="G43" i="1"/>
  <c r="G44" i="1"/>
  <c r="E41" i="1"/>
  <c r="E42" i="1"/>
  <c r="E43" i="1"/>
  <c r="F41" i="1"/>
  <c r="D27" i="1"/>
  <c r="G27" i="1"/>
  <c r="E26" i="1"/>
  <c r="D26" i="1"/>
  <c r="F26" i="1"/>
  <c r="E18" i="1"/>
  <c r="E19" i="1"/>
  <c r="E20" i="1"/>
  <c r="E21" i="1"/>
  <c r="F18" i="1"/>
  <c r="E10" i="1"/>
  <c r="F10" i="1"/>
  <c r="F11" i="1"/>
  <c r="F12" i="1"/>
  <c r="F13" i="1"/>
  <c r="F19" i="1"/>
  <c r="F20" i="1"/>
  <c r="F21" i="1"/>
  <c r="F27" i="1"/>
  <c r="G26" i="1"/>
</calcChain>
</file>

<file path=xl/comments1.xml><?xml version="1.0" encoding="utf-8"?>
<comments xmlns="http://schemas.openxmlformats.org/spreadsheetml/2006/main">
  <authors>
    <author>GeoIsotopica</author>
  </authors>
  <commentList>
    <comment ref="B40" authorId="0">
      <text>
        <r>
          <rPr>
            <b/>
            <sz val="9"/>
            <color indexed="81"/>
            <rFont val="Segoe UI"/>
            <charset val="1"/>
          </rPr>
          <t>GeoIsotopica:</t>
        </r>
        <r>
          <rPr>
            <sz val="9"/>
            <color indexed="81"/>
            <rFont val="Segoe UI"/>
            <charset val="1"/>
          </rPr>
          <t xml:space="preserve">
Medida no tempo 0min., 5min. E 10min. Após transferência e limpeza do picnômetro</t>
        </r>
      </text>
    </comment>
    <comment ref="C40" authorId="0">
      <text>
        <r>
          <rPr>
            <b/>
            <sz val="9"/>
            <color indexed="81"/>
            <rFont val="Segoe UI"/>
            <charset val="1"/>
          </rPr>
          <t>GeoIsotopica:</t>
        </r>
        <r>
          <rPr>
            <sz val="9"/>
            <color indexed="81"/>
            <rFont val="Segoe UI"/>
            <charset val="1"/>
          </rPr>
          <t xml:space="preserve">
Medida no tempo 0min., 5min. E 10min. Após transferência e limpeza do picnômetro</t>
        </r>
      </text>
    </comment>
    <comment ref="B49" authorId="0">
      <text>
        <r>
          <rPr>
            <b/>
            <sz val="9"/>
            <color indexed="81"/>
            <rFont val="Segoe UI"/>
            <charset val="1"/>
          </rPr>
          <t>GeoIsotopica:</t>
        </r>
        <r>
          <rPr>
            <sz val="9"/>
            <color indexed="81"/>
            <rFont val="Segoe UI"/>
            <charset val="1"/>
          </rPr>
          <t xml:space="preserve">
Medida no tempo 0min., 5min. E 10min. Após transferência e limpeza do picnômetro</t>
        </r>
      </text>
    </comment>
    <comment ref="C49" authorId="0">
      <text>
        <r>
          <rPr>
            <b/>
            <sz val="9"/>
            <color indexed="81"/>
            <rFont val="Segoe UI"/>
            <charset val="1"/>
          </rPr>
          <t>GeoIsotopica:</t>
        </r>
        <r>
          <rPr>
            <sz val="9"/>
            <color indexed="81"/>
            <rFont val="Segoe UI"/>
            <charset val="1"/>
          </rPr>
          <t xml:space="preserve">
Medida no tempo 0min., 5min. E 10min. Após transferência e limpeza do picnômetro</t>
        </r>
      </text>
    </comment>
  </commentList>
</comments>
</file>

<file path=xl/sharedStrings.xml><?xml version="1.0" encoding="utf-8"?>
<sst xmlns="http://schemas.openxmlformats.org/spreadsheetml/2006/main" count="56" uniqueCount="21">
  <si>
    <t>ácido da fábrica</t>
  </si>
  <si>
    <t>vazio</t>
  </si>
  <si>
    <t>massa do picnometro em gramas</t>
  </si>
  <si>
    <t>H3PO4</t>
  </si>
  <si>
    <t>água</t>
  </si>
  <si>
    <t>massa H3PO4</t>
  </si>
  <si>
    <t>Volume do picnometro a 22oC = 1.041ml</t>
  </si>
  <si>
    <t>Cálculos de densidade do H3PO4 para MAT-Kiel (precisar ser entre 1.92-1.97)</t>
  </si>
  <si>
    <t>massa H2O</t>
  </si>
  <si>
    <t>densidade relativa</t>
  </si>
  <si>
    <t>densidade absoluta</t>
  </si>
  <si>
    <t>ácido 85% tratado</t>
  </si>
  <si>
    <t>medida 19:18</t>
  </si>
  <si>
    <t>medida 21:03</t>
  </si>
  <si>
    <t>mistura ácido da fábrica tratado + ácido 85% tratado (50+150ml)</t>
  </si>
  <si>
    <t>mistura do ácido remanescente no balão do Kiel + 500ml do ácido 85% tratado (1.97)</t>
  </si>
  <si>
    <t>valores em azul = média</t>
  </si>
  <si>
    <t>ácido da fábrica tratado (frasco quebrou sobrando poucos ml do mesmo) - medida da tarde</t>
  </si>
  <si>
    <t>***valores do picnômetro vazio e água repetidos da tarde (valores acima), medido somente o ácido a noite</t>
  </si>
  <si>
    <t>densidade do ácido do balão após queda de energia e resfriamento do equipamento</t>
  </si>
  <si>
    <t>valores em negrito = valor final da densidade absoluta e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</si>
</sst>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2"/>
      <color theme="3"/>
      <name val="Calibri"/>
      <family val="2"/>
      <scheme val="minor"/>
    </font>
    <font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4" fontId="0" fillId="0" borderId="0" xfId="0" applyNumberFormat="1"/>
    <xf numFmtId="165" fontId="6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/>
    <xf numFmtId="14" fontId="0" fillId="0" borderId="0" xfId="0" applyNumberFormat="1" applyAlignment="1">
      <alignment horizontal="right"/>
    </xf>
    <xf numFmtId="0" fontId="3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5"/>
  <sheetViews>
    <sheetView tabSelected="1" topLeftCell="A37" workbookViewId="0">
      <selection activeCell="H48" sqref="H48"/>
    </sheetView>
  </sheetViews>
  <sheetFormatPr baseColWidth="10" defaultColWidth="11" defaultRowHeight="15" x14ac:dyDescent="0"/>
  <sheetData>
    <row r="1" spans="1:9">
      <c r="A1" t="s">
        <v>7</v>
      </c>
      <c r="H1" s="13" t="s">
        <v>16</v>
      </c>
    </row>
    <row r="2" spans="1:9">
      <c r="A2" t="s">
        <v>6</v>
      </c>
      <c r="H2" s="15" t="s">
        <v>20</v>
      </c>
    </row>
    <row r="4" spans="1:9">
      <c r="A4" t="s">
        <v>2</v>
      </c>
    </row>
    <row r="6" spans="1:9">
      <c r="A6" s="9">
        <v>42080</v>
      </c>
    </row>
    <row r="7" spans="1:9">
      <c r="A7" t="s">
        <v>0</v>
      </c>
    </row>
    <row r="9" spans="1:9">
      <c r="A9" s="2" t="s">
        <v>1</v>
      </c>
      <c r="B9" s="2" t="s">
        <v>3</v>
      </c>
      <c r="C9" s="2" t="s">
        <v>4</v>
      </c>
      <c r="D9" s="2" t="s">
        <v>5</v>
      </c>
      <c r="E9" s="2" t="s">
        <v>8</v>
      </c>
      <c r="F9" s="2" t="s">
        <v>9</v>
      </c>
      <c r="G9" s="2" t="s">
        <v>10</v>
      </c>
    </row>
    <row r="10" spans="1:9">
      <c r="A10" s="4">
        <v>3.5265200000000001</v>
      </c>
      <c r="B10" s="4">
        <v>5.33474</v>
      </c>
      <c r="C10" s="4">
        <v>4.5633600000000003</v>
      </c>
      <c r="D10" s="4">
        <f>B10-A10</f>
        <v>1.8082199999999999</v>
      </c>
      <c r="E10" s="4">
        <f>C10-A10</f>
        <v>1.0368400000000002</v>
      </c>
      <c r="F10" s="4">
        <f>D10/E10</f>
        <v>1.7439720689788198</v>
      </c>
      <c r="G10" s="5">
        <f>D10/1.041</f>
        <v>1.7370028818443806</v>
      </c>
    </row>
    <row r="11" spans="1:9">
      <c r="A11" s="3"/>
      <c r="B11" s="4">
        <v>5.4499899999999997</v>
      </c>
      <c r="C11" s="4"/>
      <c r="D11" s="4">
        <f>B11-A10</f>
        <v>1.9234699999999996</v>
      </c>
      <c r="E11" s="4"/>
      <c r="F11" s="4">
        <f>D11/E10</f>
        <v>1.8551271170093739</v>
      </c>
      <c r="G11" s="5">
        <f t="shared" ref="G11:G12" si="0">D11/1.041</f>
        <v>1.8477137367915464</v>
      </c>
    </row>
    <row r="12" spans="1:9">
      <c r="A12" s="3"/>
      <c r="B12" s="4">
        <v>5.4702500000000001</v>
      </c>
      <c r="C12" s="4"/>
      <c r="D12" s="4">
        <f>B12-A10</f>
        <v>1.94373</v>
      </c>
      <c r="E12" s="4"/>
      <c r="F12" s="4">
        <f>D12/E10</f>
        <v>1.8746672582076305</v>
      </c>
      <c r="G12" s="5">
        <f t="shared" si="0"/>
        <v>1.8671757925072048</v>
      </c>
    </row>
    <row r="13" spans="1:9">
      <c r="F13" s="10">
        <f>AVERAGE(F10:F12)</f>
        <v>1.8245888147319416</v>
      </c>
      <c r="G13" s="10">
        <f>AVERAGE(G10:G12)</f>
        <v>1.8172974703810436</v>
      </c>
      <c r="I13" s="6"/>
    </row>
    <row r="14" spans="1:9">
      <c r="A14" s="9">
        <v>42118</v>
      </c>
    </row>
    <row r="15" spans="1:9">
      <c r="A15" t="s">
        <v>17</v>
      </c>
    </row>
    <row r="17" spans="1:10">
      <c r="A17" s="2" t="s">
        <v>1</v>
      </c>
      <c r="B17" s="2" t="s">
        <v>3</v>
      </c>
      <c r="C17" s="2" t="s">
        <v>4</v>
      </c>
      <c r="D17" s="2" t="s">
        <v>5</v>
      </c>
      <c r="E17" s="2" t="s">
        <v>8</v>
      </c>
      <c r="F17" s="2" t="s">
        <v>9</v>
      </c>
      <c r="G17" s="2" t="s">
        <v>10</v>
      </c>
    </row>
    <row r="18" spans="1:10">
      <c r="A18" s="4">
        <v>3.5265499999999999</v>
      </c>
      <c r="B18" s="4">
        <v>5.5396999999999998</v>
      </c>
      <c r="C18" s="4">
        <v>4.5624900000000004</v>
      </c>
      <c r="D18" s="4">
        <f>B18-A18</f>
        <v>2.01315</v>
      </c>
      <c r="E18" s="4">
        <f>C18-A18</f>
        <v>1.0359400000000005</v>
      </c>
      <c r="F18" s="4">
        <f>D18/$E$21</f>
        <v>1.9428011696470786</v>
      </c>
      <c r="G18" s="5">
        <f>D18/1.041</f>
        <v>1.9338616714697408</v>
      </c>
    </row>
    <row r="19" spans="1:10">
      <c r="A19" s="3"/>
      <c r="B19" s="4">
        <v>5.5398899999999998</v>
      </c>
      <c r="C19" s="4">
        <v>4.5632900000000003</v>
      </c>
      <c r="D19" s="4">
        <f>B19-A18</f>
        <v>2.0133399999999999</v>
      </c>
      <c r="E19" s="4">
        <f>C19-A18</f>
        <v>1.0367400000000004</v>
      </c>
      <c r="F19" s="4">
        <f t="shared" ref="F19:F20" si="1">D19/$E$21</f>
        <v>1.9429845301628041</v>
      </c>
      <c r="G19" s="5">
        <f t="shared" ref="G19:G20" si="2">D19/1.041</f>
        <v>1.9340441882804995</v>
      </c>
    </row>
    <row r="20" spans="1:10">
      <c r="A20" s="3"/>
      <c r="B20" s="4">
        <v>5.5399099999999999</v>
      </c>
      <c r="C20" s="4">
        <v>4.5625</v>
      </c>
      <c r="D20" s="4">
        <f>B20-A18</f>
        <v>2.01336</v>
      </c>
      <c r="E20" s="4">
        <f>C20-A18</f>
        <v>1.0359500000000001</v>
      </c>
      <c r="F20" s="4">
        <f t="shared" si="1"/>
        <v>1.9430038312697229</v>
      </c>
      <c r="G20" s="5">
        <f t="shared" si="2"/>
        <v>1.9340634005763691</v>
      </c>
    </row>
    <row r="21" spans="1:10">
      <c r="B21" s="6"/>
      <c r="C21" s="6"/>
      <c r="D21" s="6"/>
      <c r="E21" s="11">
        <f>AVERAGE(E18:E20)</f>
        <v>1.0362100000000003</v>
      </c>
      <c r="F21" s="10">
        <f>AVERAGE(F18:F20)</f>
        <v>1.9429298436932019</v>
      </c>
      <c r="G21" s="10">
        <f>AVERAGE(G18:G20)</f>
        <v>1.9339897534422033</v>
      </c>
      <c r="I21" s="6"/>
    </row>
    <row r="22" spans="1:10">
      <c r="A22" s="9">
        <v>42118</v>
      </c>
    </row>
    <row r="23" spans="1:10">
      <c r="A23" t="s">
        <v>11</v>
      </c>
    </row>
    <row r="25" spans="1:10">
      <c r="A25" s="2" t="s">
        <v>1</v>
      </c>
      <c r="B25" s="2" t="s">
        <v>3</v>
      </c>
      <c r="C25" s="2" t="s">
        <v>4</v>
      </c>
      <c r="D25" s="2" t="s">
        <v>5</v>
      </c>
      <c r="E25" s="2" t="s">
        <v>8</v>
      </c>
      <c r="F25" s="2" t="s">
        <v>9</v>
      </c>
      <c r="G25" s="2" t="s">
        <v>10</v>
      </c>
      <c r="I25" s="1" t="s">
        <v>18</v>
      </c>
      <c r="J25" s="1"/>
    </row>
    <row r="26" spans="1:10">
      <c r="A26" s="4">
        <v>3.5265499999999999</v>
      </c>
      <c r="B26" s="4">
        <v>5.5181100000000001</v>
      </c>
      <c r="C26" s="4">
        <v>4.5624900000000004</v>
      </c>
      <c r="D26" s="4">
        <f>B26-A26</f>
        <v>1.9915600000000002</v>
      </c>
      <c r="E26" s="4">
        <f>C26-A26</f>
        <v>1.0359400000000005</v>
      </c>
      <c r="F26" s="8">
        <f>D26/$E$26</f>
        <v>1.9224665521169173</v>
      </c>
      <c r="G26" s="5">
        <f>D26/1.041</f>
        <v>1.9131219980787708</v>
      </c>
      <c r="H26" t="s">
        <v>12</v>
      </c>
    </row>
    <row r="27" spans="1:10">
      <c r="A27" s="4"/>
      <c r="B27" s="5">
        <v>5.57369</v>
      </c>
      <c r="C27" s="4">
        <v>5.5624900000000004</v>
      </c>
      <c r="D27" s="4">
        <f>B27-A26</f>
        <v>2.0471400000000002</v>
      </c>
      <c r="E27" s="4"/>
      <c r="F27" s="8">
        <f>D27/$E$26</f>
        <v>1.9761183080101157</v>
      </c>
      <c r="G27" s="5">
        <f>D27/1.041</f>
        <v>1.9665129682997122</v>
      </c>
      <c r="H27" t="s">
        <v>13</v>
      </c>
    </row>
    <row r="29" spans="1:10">
      <c r="A29" s="14">
        <v>42130</v>
      </c>
      <c r="I29" s="6"/>
    </row>
    <row r="30" spans="1:10">
      <c r="A30" t="s">
        <v>14</v>
      </c>
    </row>
    <row r="32" spans="1:10">
      <c r="A32" s="2" t="s">
        <v>1</v>
      </c>
      <c r="B32" s="2" t="s">
        <v>3</v>
      </c>
      <c r="C32" s="2" t="s">
        <v>4</v>
      </c>
      <c r="D32" s="2" t="s">
        <v>5</v>
      </c>
      <c r="E32" s="2" t="s">
        <v>8</v>
      </c>
      <c r="F32" s="2" t="s">
        <v>9</v>
      </c>
      <c r="G32" s="2" t="s">
        <v>10</v>
      </c>
    </row>
    <row r="33" spans="1:9">
      <c r="A33" s="4">
        <v>3.5265499999999999</v>
      </c>
      <c r="B33" s="4">
        <v>5.5487299999999999</v>
      </c>
      <c r="C33" s="4">
        <v>4.5645800000000003</v>
      </c>
      <c r="D33" s="4">
        <f>B33-A33</f>
        <v>2.0221800000000001</v>
      </c>
      <c r="E33" s="4">
        <f>C33-A33</f>
        <v>1.0380300000000005</v>
      </c>
      <c r="F33" s="4">
        <f>D33/$E$35</f>
        <v>1.9473435859903887</v>
      </c>
      <c r="G33" s="5">
        <f>D33/1.041</f>
        <v>1.9425360230547553</v>
      </c>
    </row>
    <row r="34" spans="1:9">
      <c r="A34" s="3"/>
      <c r="B34" s="4">
        <v>5.54915</v>
      </c>
      <c r="C34" s="4">
        <v>4.5653800000000002</v>
      </c>
      <c r="D34" s="4">
        <f>B34-A33</f>
        <v>2.0226000000000002</v>
      </c>
      <c r="E34" s="4">
        <f>C34-A33</f>
        <v>1.0388300000000004</v>
      </c>
      <c r="F34" s="4">
        <f>D34/$E$35</f>
        <v>1.9477480427183338</v>
      </c>
      <c r="G34" s="5">
        <f t="shared" ref="G34" si="3">D34/1.041</f>
        <v>1.9429394812680119</v>
      </c>
    </row>
    <row r="35" spans="1:9">
      <c r="B35" s="6"/>
      <c r="C35" s="6"/>
      <c r="D35" s="6"/>
      <c r="E35" s="11">
        <f>AVERAGE(E33:E34)</f>
        <v>1.0384300000000004</v>
      </c>
      <c r="F35" s="10">
        <f>AVERAGE(F33:F34)</f>
        <v>1.9475458143543611</v>
      </c>
      <c r="G35" s="10">
        <f>AVERAGE(G33:G34)</f>
        <v>1.9427377521613836</v>
      </c>
      <c r="I35" s="6"/>
    </row>
    <row r="37" spans="1:9">
      <c r="A37" s="14">
        <v>42255</v>
      </c>
    </row>
    <row r="38" spans="1:9">
      <c r="A38" t="s">
        <v>15</v>
      </c>
    </row>
    <row r="40" spans="1:9">
      <c r="A40" s="2" t="s">
        <v>1</v>
      </c>
      <c r="B40" s="2" t="s">
        <v>3</v>
      </c>
      <c r="C40" s="2" t="s">
        <v>4</v>
      </c>
      <c r="D40" s="2" t="s">
        <v>5</v>
      </c>
      <c r="E40" s="2" t="s">
        <v>8</v>
      </c>
      <c r="F40" s="2" t="s">
        <v>9</v>
      </c>
      <c r="G40" s="2" t="s">
        <v>10</v>
      </c>
    </row>
    <row r="41" spans="1:9">
      <c r="A41" s="4">
        <v>3.5266099999999998</v>
      </c>
      <c r="B41" s="4">
        <v>5.5576299999999996</v>
      </c>
      <c r="C41" s="4">
        <v>4.5646699999999996</v>
      </c>
      <c r="D41" s="4">
        <f>B41-$A$41</f>
        <v>2.0310199999999998</v>
      </c>
      <c r="E41" s="4">
        <f>C41-$A$41</f>
        <v>1.0380599999999998</v>
      </c>
      <c r="F41" s="12">
        <f>AVERAGE(D41:D43)/AVERAGE(E41:E43)</f>
        <v>1.9578395119239997</v>
      </c>
      <c r="G41" s="5">
        <f>D41/1.041</f>
        <v>1.9510278578290106</v>
      </c>
    </row>
    <row r="42" spans="1:9">
      <c r="A42" s="3"/>
      <c r="B42" s="4">
        <v>5.5578900000000004</v>
      </c>
      <c r="C42" s="4">
        <v>4.5640900000000002</v>
      </c>
      <c r="D42" s="4">
        <f t="shared" ref="D42" si="4">B42-$A$41</f>
        <v>2.0312800000000006</v>
      </c>
      <c r="E42" s="4">
        <f t="shared" ref="E42:E43" si="5">C42-$A$41</f>
        <v>1.0374800000000004</v>
      </c>
      <c r="F42" s="4"/>
      <c r="G42" s="5">
        <f t="shared" ref="G42:G43" si="6">D42/1.041</f>
        <v>1.951277617675313</v>
      </c>
    </row>
    <row r="43" spans="1:9">
      <c r="B43" s="5">
        <v>5.5583400000000003</v>
      </c>
      <c r="C43" s="5">
        <v>4.5636999999999999</v>
      </c>
      <c r="D43" s="4">
        <f>B43-$A$41</f>
        <v>2.0317300000000005</v>
      </c>
      <c r="E43" s="4">
        <f t="shared" si="5"/>
        <v>1.0370900000000001</v>
      </c>
      <c r="F43" s="7"/>
      <c r="G43" s="5">
        <f t="shared" si="6"/>
        <v>1.9517098943323734</v>
      </c>
    </row>
    <row r="44" spans="1:9">
      <c r="G44" s="10">
        <f>AVERAGE(G41:G43)</f>
        <v>1.9513384566122323</v>
      </c>
      <c r="I44" s="6"/>
    </row>
    <row r="46" spans="1:9">
      <c r="A46" s="9">
        <v>42373</v>
      </c>
    </row>
    <row r="47" spans="1:9">
      <c r="A47" t="s">
        <v>19</v>
      </c>
    </row>
    <row r="49" spans="1:7">
      <c r="A49" s="2" t="s">
        <v>1</v>
      </c>
      <c r="B49" s="2" t="s">
        <v>3</v>
      </c>
      <c r="C49" s="2" t="s">
        <v>4</v>
      </c>
      <c r="D49" s="2" t="s">
        <v>5</v>
      </c>
      <c r="E49" s="2" t="s">
        <v>8</v>
      </c>
      <c r="F49" s="2" t="s">
        <v>9</v>
      </c>
      <c r="G49" s="2" t="s">
        <v>10</v>
      </c>
    </row>
    <row r="50" spans="1:7">
      <c r="A50" s="5">
        <v>3.5265900000000001</v>
      </c>
      <c r="B50" s="5">
        <v>5.5628299999999999</v>
      </c>
      <c r="C50" s="5">
        <v>4.5639700000000003</v>
      </c>
      <c r="D50" s="5">
        <f>B50-$A$53</f>
        <v>2.0362666666666667</v>
      </c>
      <c r="E50" s="5">
        <f>C50-$A$53</f>
        <v>1.037406666666667</v>
      </c>
      <c r="F50" s="10">
        <f>D55/E55</f>
        <v>1.9635501571025253</v>
      </c>
      <c r="G50" s="5">
        <f>D50/1.041</f>
        <v>1.9560678834454053</v>
      </c>
    </row>
    <row r="51" spans="1:7">
      <c r="A51" s="5">
        <v>3.5265599999999999</v>
      </c>
      <c r="B51" s="5">
        <v>5.5629900000000001</v>
      </c>
      <c r="C51" s="5">
        <v>4.56379</v>
      </c>
      <c r="D51" s="5">
        <f t="shared" ref="D51:D54" si="7">B51-$A$53</f>
        <v>2.0364266666666668</v>
      </c>
      <c r="E51" s="5">
        <f t="shared" ref="E51:E54" si="8">C51-$A$53</f>
        <v>1.0372266666666667</v>
      </c>
      <c r="G51" s="5">
        <f t="shared" ref="G51:G54" si="9">D51/1.041</f>
        <v>1.9562215818123603</v>
      </c>
    </row>
    <row r="52" spans="1:7">
      <c r="A52" s="5">
        <v>3.5265399999999998</v>
      </c>
      <c r="B52" s="5">
        <v>5.56304</v>
      </c>
      <c r="C52" s="5">
        <v>4.56365</v>
      </c>
      <c r="D52" s="5">
        <f t="shared" si="7"/>
        <v>2.0364766666666667</v>
      </c>
      <c r="E52" s="5">
        <f t="shared" si="8"/>
        <v>1.0370866666666667</v>
      </c>
      <c r="G52" s="5">
        <f t="shared" si="9"/>
        <v>1.9562696125520336</v>
      </c>
    </row>
    <row r="53" spans="1:7">
      <c r="A53" s="11">
        <f>AVERAGE(A50:A52)</f>
        <v>3.5265633333333333</v>
      </c>
      <c r="B53" s="5">
        <v>5.56304</v>
      </c>
      <c r="C53" s="5">
        <v>4.5635700000000003</v>
      </c>
      <c r="D53" s="5">
        <f t="shared" si="7"/>
        <v>2.0364766666666667</v>
      </c>
      <c r="E53" s="5">
        <f t="shared" si="8"/>
        <v>1.0370066666666671</v>
      </c>
      <c r="G53" s="5">
        <f t="shared" si="9"/>
        <v>1.9562696125520336</v>
      </c>
    </row>
    <row r="54" spans="1:7">
      <c r="B54" s="5">
        <v>5.5630499999999996</v>
      </c>
      <c r="C54" s="5">
        <v>4.5634100000000002</v>
      </c>
      <c r="D54" s="5">
        <f t="shared" si="7"/>
        <v>2.0364866666666663</v>
      </c>
      <c r="E54" s="5">
        <f t="shared" si="8"/>
        <v>1.0368466666666669</v>
      </c>
      <c r="G54" s="5">
        <f t="shared" si="9"/>
        <v>1.9562792186999678</v>
      </c>
    </row>
    <row r="55" spans="1:7">
      <c r="B55" s="11"/>
      <c r="C55" s="11"/>
      <c r="D55" s="11">
        <f>AVERAGE(D50:D54)</f>
        <v>2.0364266666666668</v>
      </c>
      <c r="E55" s="11">
        <f>AVERAGE(E50:E54)</f>
        <v>1.0371146666666669</v>
      </c>
      <c r="G55" s="10">
        <f>AVERAGE(G50:G54)</f>
        <v>1.9562215818123601</v>
      </c>
    </row>
  </sheetData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Perretti</dc:creator>
  <cp:lastModifiedBy>Adriana Perretti</cp:lastModifiedBy>
  <dcterms:created xsi:type="dcterms:W3CDTF">2015-04-24T18:07:57Z</dcterms:created>
  <dcterms:modified xsi:type="dcterms:W3CDTF">2016-01-12T11:28:48Z</dcterms:modified>
</cp:coreProperties>
</file>