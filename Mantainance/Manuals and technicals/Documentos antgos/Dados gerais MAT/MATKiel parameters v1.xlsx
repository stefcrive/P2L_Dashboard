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drawings/drawing3.xml" ContentType="application/vnd.openxmlformats-officedocument.drawing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drawings/drawing4.xml" ContentType="application/vnd.openxmlformats-officedocument.drawing+xml"/>
  <Override PartName="/xl/charts/chart2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autoCompressPictures="0"/>
  <bookViews>
    <workbookView xWindow="240" yWindow="0" windowWidth="20730" windowHeight="11760"/>
  </bookViews>
  <sheets>
    <sheet name="CO2 refil" sheetId="1" r:id="rId1"/>
    <sheet name="Curvas massa_P_II" sheetId="3" r:id="rId2"/>
    <sheet name="Gotas" sheetId="4" r:id="rId3"/>
    <sheet name="Exploratório" sheetId="2" r:id="rId4"/>
    <sheet name="Massa" sheetId="5" r:id="rId5"/>
  </sheets>
  <calcPr calcId="145621" concurrentCalc="0"/>
  <extLst>
    <ext xmlns:mx="http://schemas.microsoft.com/office/mac/excel/2008/main" uri="{7523E5D3-25F3-A5E0-1632-64F254C22452}">
      <mx:ArchID Flags="2"/>
    </ex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Q9" i="1" l="1"/>
  <c r="AQ8" i="1"/>
  <c r="AQ7" i="1"/>
  <c r="AQ6" i="1"/>
  <c r="AQ5" i="1"/>
  <c r="AQ4" i="1"/>
  <c r="AM12" i="1"/>
  <c r="AM10" i="1"/>
  <c r="AM8" i="1"/>
  <c r="AM6" i="1"/>
  <c r="O31" i="1"/>
  <c r="O32" i="1"/>
  <c r="AA12" i="1"/>
  <c r="AA11" i="1"/>
  <c r="AA10" i="1"/>
  <c r="AA9" i="1"/>
  <c r="AA8" i="1"/>
  <c r="AA7" i="1"/>
  <c r="AA6" i="1"/>
  <c r="AA5" i="1"/>
  <c r="AA4" i="1"/>
  <c r="T27" i="1"/>
  <c r="Q28" i="1"/>
  <c r="Q27" i="1"/>
  <c r="Q26" i="1"/>
  <c r="AZ158" i="3"/>
  <c r="AZ157" i="3"/>
  <c r="AY159" i="3"/>
  <c r="AY158" i="3"/>
  <c r="AY157" i="3"/>
  <c r="AZ159" i="3"/>
  <c r="AT160" i="5"/>
  <c r="AT159" i="5"/>
  <c r="AT158" i="5"/>
  <c r="AT157" i="5"/>
  <c r="AT156" i="5"/>
  <c r="AT155" i="5"/>
  <c r="AT154" i="5"/>
  <c r="AT153" i="5"/>
  <c r="AT152" i="5"/>
  <c r="AT151" i="5"/>
  <c r="AH7" i="5"/>
  <c r="AH8" i="5"/>
  <c r="AH9" i="5"/>
  <c r="AH10" i="5"/>
  <c r="AH11" i="5"/>
  <c r="AH12" i="5"/>
  <c r="AH13" i="5"/>
  <c r="AH14" i="5"/>
  <c r="AH15" i="5"/>
  <c r="AH16" i="5"/>
  <c r="AH17" i="5"/>
  <c r="AH18" i="5"/>
  <c r="AH19" i="5"/>
  <c r="AH20" i="5"/>
  <c r="AH21" i="5"/>
  <c r="AH22" i="5"/>
  <c r="AH23" i="5"/>
  <c r="AH24" i="5"/>
  <c r="AH25" i="5"/>
  <c r="AH26" i="5"/>
  <c r="AH27" i="5"/>
  <c r="AH28" i="5"/>
  <c r="AH29" i="5"/>
  <c r="AH30" i="5"/>
  <c r="AH31" i="5"/>
  <c r="AH32" i="5"/>
  <c r="AH33" i="5"/>
  <c r="AM70" i="5"/>
  <c r="AM71" i="5"/>
  <c r="AM72" i="5"/>
  <c r="AM73" i="5"/>
  <c r="AM74" i="5"/>
  <c r="AM75" i="5"/>
  <c r="AM76" i="5"/>
  <c r="AM77" i="5"/>
  <c r="AM78" i="5"/>
  <c r="AM79" i="5"/>
  <c r="AM80" i="5"/>
  <c r="AM81" i="5"/>
  <c r="AM82" i="5"/>
  <c r="AM83" i="5"/>
  <c r="AM84" i="5"/>
  <c r="AM85" i="5"/>
  <c r="AM86" i="5"/>
  <c r="AM87" i="5"/>
  <c r="AM88" i="5"/>
  <c r="AM89" i="5"/>
  <c r="AM90" i="5"/>
  <c r="AM91" i="5"/>
  <c r="AM92" i="5"/>
  <c r="AM93" i="5"/>
  <c r="AM94" i="5"/>
  <c r="AM95" i="5"/>
  <c r="AM96" i="5"/>
  <c r="AM97" i="5"/>
  <c r="AM98" i="5"/>
  <c r="AM99" i="5"/>
  <c r="AM100" i="5"/>
  <c r="AM101" i="5"/>
  <c r="AM102" i="5"/>
  <c r="AM103" i="5"/>
  <c r="AM104" i="5"/>
  <c r="AM105" i="5"/>
  <c r="AM106" i="5"/>
  <c r="AM107" i="5"/>
  <c r="AQ113" i="5"/>
  <c r="AQ114" i="5"/>
  <c r="AQ115" i="5"/>
  <c r="AQ116" i="5"/>
  <c r="AQ117" i="5"/>
  <c r="AQ118" i="5"/>
  <c r="AQ119" i="5"/>
  <c r="AQ121" i="5"/>
  <c r="AQ122" i="5"/>
  <c r="AQ123" i="5"/>
  <c r="AQ124" i="5"/>
  <c r="AQ125" i="5"/>
  <c r="AQ126" i="5"/>
  <c r="AQ127" i="5"/>
  <c r="AQ128" i="5"/>
  <c r="AQ129" i="5"/>
  <c r="AQ130" i="5"/>
  <c r="AQ131" i="5"/>
  <c r="AQ132" i="5"/>
  <c r="AQ133" i="5"/>
  <c r="AQ134" i="5"/>
  <c r="AQ135" i="5"/>
  <c r="AQ136" i="5"/>
  <c r="AQ137" i="5"/>
  <c r="AQ138" i="5"/>
  <c r="AQ139" i="5"/>
  <c r="AQ140" i="5"/>
  <c r="AQ141" i="5"/>
  <c r="AQ142" i="5"/>
  <c r="AQ143" i="5"/>
  <c r="AQ144" i="5"/>
  <c r="AQ145" i="5"/>
  <c r="AQ146" i="5"/>
  <c r="AR146" i="5"/>
  <c r="AR145" i="5"/>
  <c r="AR144" i="5"/>
  <c r="AR143" i="5"/>
  <c r="AR142" i="5"/>
  <c r="AR141" i="5"/>
  <c r="AR140" i="5"/>
  <c r="AR139" i="5"/>
  <c r="AR138" i="5"/>
  <c r="AR137" i="5"/>
  <c r="AR136" i="5"/>
  <c r="AR135" i="5"/>
  <c r="AR134" i="5"/>
  <c r="AR133" i="5"/>
  <c r="AR132" i="5"/>
  <c r="AR131" i="5"/>
  <c r="AR130" i="5"/>
  <c r="AR129" i="5"/>
  <c r="AR128" i="5"/>
  <c r="AR127" i="5"/>
  <c r="AR126" i="5"/>
  <c r="AR125" i="5"/>
  <c r="AR124" i="5"/>
  <c r="AR123" i="5"/>
  <c r="AR122" i="5"/>
  <c r="AR121" i="5"/>
  <c r="AR119" i="5"/>
  <c r="AR118" i="5"/>
  <c r="AR117" i="5"/>
  <c r="AR116" i="5"/>
  <c r="AR115" i="5"/>
  <c r="AR114" i="5"/>
  <c r="AR113" i="5"/>
  <c r="AL107" i="5"/>
  <c r="AL106" i="5"/>
  <c r="AL105" i="5"/>
  <c r="AL104" i="5"/>
  <c r="AL103" i="5"/>
  <c r="AL102" i="5"/>
  <c r="AL101" i="5"/>
  <c r="AL100" i="5"/>
  <c r="AL99" i="5"/>
  <c r="AL98" i="5"/>
  <c r="AL97" i="5"/>
  <c r="AL96" i="5"/>
  <c r="AL95" i="5"/>
  <c r="AL94" i="5"/>
  <c r="AL93" i="5"/>
  <c r="AL92" i="5"/>
  <c r="AL91" i="5"/>
  <c r="AL90" i="5"/>
  <c r="AL89" i="5"/>
  <c r="AL88" i="5"/>
  <c r="AL87" i="5"/>
  <c r="AL86" i="5"/>
  <c r="AL85" i="5"/>
  <c r="AL84" i="5"/>
  <c r="AL83" i="5"/>
  <c r="AL82" i="5"/>
  <c r="AL81" i="5"/>
  <c r="AL80" i="5"/>
  <c r="AL79" i="5"/>
  <c r="AL78" i="5"/>
  <c r="AL77" i="5"/>
  <c r="AL76" i="5"/>
  <c r="AL75" i="5"/>
  <c r="AL74" i="5"/>
  <c r="AL73" i="5"/>
  <c r="AL72" i="5"/>
  <c r="AL71" i="5"/>
  <c r="AL70" i="5"/>
  <c r="AJ66" i="5"/>
  <c r="AJ65" i="5"/>
  <c r="AJ64" i="5"/>
  <c r="AJ63" i="5"/>
  <c r="AJ62" i="5"/>
  <c r="AJ61" i="5"/>
  <c r="AJ60" i="5"/>
  <c r="AJ59" i="5"/>
  <c r="AJ58" i="5"/>
  <c r="AJ57" i="5"/>
  <c r="AJ56" i="5"/>
  <c r="AJ55" i="5"/>
  <c r="AJ54" i="5"/>
  <c r="AJ53" i="5"/>
  <c r="AJ52" i="5"/>
  <c r="AJ51" i="5"/>
  <c r="AJ50" i="5"/>
  <c r="AJ49" i="5"/>
  <c r="AJ48" i="5"/>
  <c r="AJ47" i="5"/>
  <c r="AJ46" i="5"/>
  <c r="AJ45" i="5"/>
  <c r="AJ44" i="5"/>
  <c r="AJ43" i="5"/>
  <c r="AJ42" i="5"/>
  <c r="AJ41" i="5"/>
  <c r="AJ40" i="5"/>
  <c r="AJ39" i="5"/>
  <c r="AJ38" i="5"/>
  <c r="AJ37" i="5"/>
  <c r="AT177" i="4"/>
  <c r="AT176" i="4"/>
  <c r="AT175" i="4"/>
  <c r="AT174" i="4"/>
  <c r="AT173" i="4"/>
  <c r="AT172" i="4"/>
  <c r="AT171" i="4"/>
  <c r="AT170" i="4"/>
  <c r="AT169" i="4"/>
  <c r="AT168" i="4"/>
  <c r="AT167" i="4"/>
  <c r="AT166" i="4"/>
  <c r="AT165" i="4"/>
  <c r="AT164" i="4"/>
  <c r="AT163" i="4"/>
  <c r="AT162" i="4"/>
  <c r="AT161" i="4"/>
  <c r="AT160" i="4"/>
  <c r="AT159" i="4"/>
  <c r="AT158" i="4"/>
  <c r="AT157" i="4"/>
  <c r="AT156" i="4"/>
  <c r="AT155" i="4"/>
  <c r="AT154" i="4"/>
  <c r="AT153" i="4"/>
  <c r="AT152" i="4"/>
  <c r="AT151" i="4"/>
  <c r="AH7" i="4"/>
  <c r="AH8" i="4"/>
  <c r="AH9" i="4"/>
  <c r="AH10" i="4"/>
  <c r="AH11" i="4"/>
  <c r="AH12" i="4"/>
  <c r="AH13" i="4"/>
  <c r="AH14" i="4"/>
  <c r="AH15" i="4"/>
  <c r="AH16" i="4"/>
  <c r="AH17" i="4"/>
  <c r="AH18" i="4"/>
  <c r="AH19" i="4"/>
  <c r="AH20" i="4"/>
  <c r="AH21" i="4"/>
  <c r="AH22" i="4"/>
  <c r="AH23" i="4"/>
  <c r="AH24" i="4"/>
  <c r="AH25" i="4"/>
  <c r="AH26" i="4"/>
  <c r="AH27" i="4"/>
  <c r="AH28" i="4"/>
  <c r="AH29" i="4"/>
  <c r="AH30" i="4"/>
  <c r="AH31" i="4"/>
  <c r="AH32" i="4"/>
  <c r="AH33" i="4"/>
  <c r="AM70" i="4"/>
  <c r="AM71" i="4"/>
  <c r="AM72" i="4"/>
  <c r="AM73" i="4"/>
  <c r="AM74" i="4"/>
  <c r="AM75" i="4"/>
  <c r="AM76" i="4"/>
  <c r="AM77" i="4"/>
  <c r="AM78" i="4"/>
  <c r="AM79" i="4"/>
  <c r="AM80" i="4"/>
  <c r="AM81" i="4"/>
  <c r="AM82" i="4"/>
  <c r="AM83" i="4"/>
  <c r="AM84" i="4"/>
  <c r="AM85" i="4"/>
  <c r="AM86" i="4"/>
  <c r="AM87" i="4"/>
  <c r="AM88" i="4"/>
  <c r="AM89" i="4"/>
  <c r="AM90" i="4"/>
  <c r="AM91" i="4"/>
  <c r="AM92" i="4"/>
  <c r="AM93" i="4"/>
  <c r="AM94" i="4"/>
  <c r="AM95" i="4"/>
  <c r="AM96" i="4"/>
  <c r="AM97" i="4"/>
  <c r="AM98" i="4"/>
  <c r="AM99" i="4"/>
  <c r="AM100" i="4"/>
  <c r="AM101" i="4"/>
  <c r="AM102" i="4"/>
  <c r="AM103" i="4"/>
  <c r="AM104" i="4"/>
  <c r="AM105" i="4"/>
  <c r="AM106" i="4"/>
  <c r="AM107" i="4"/>
  <c r="AQ113" i="4"/>
  <c r="AQ114" i="4"/>
  <c r="AQ115" i="4"/>
  <c r="AQ116" i="4"/>
  <c r="AQ117" i="4"/>
  <c r="AQ118" i="4"/>
  <c r="AQ119" i="4"/>
  <c r="AQ121" i="4"/>
  <c r="AQ122" i="4"/>
  <c r="AQ123" i="4"/>
  <c r="AQ124" i="4"/>
  <c r="AQ125" i="4"/>
  <c r="AQ126" i="4"/>
  <c r="AQ127" i="4"/>
  <c r="AQ128" i="4"/>
  <c r="AQ129" i="4"/>
  <c r="AQ130" i="4"/>
  <c r="AQ131" i="4"/>
  <c r="AQ132" i="4"/>
  <c r="AQ133" i="4"/>
  <c r="AQ134" i="4"/>
  <c r="AQ135" i="4"/>
  <c r="AQ136" i="4"/>
  <c r="AQ137" i="4"/>
  <c r="AQ138" i="4"/>
  <c r="AQ139" i="4"/>
  <c r="AQ140" i="4"/>
  <c r="AQ141" i="4"/>
  <c r="AQ142" i="4"/>
  <c r="AQ143" i="4"/>
  <c r="AQ144" i="4"/>
  <c r="AQ145" i="4"/>
  <c r="AQ146" i="4"/>
  <c r="AR146" i="4"/>
  <c r="AR145" i="4"/>
  <c r="AR144" i="4"/>
  <c r="AR143" i="4"/>
  <c r="AR142" i="4"/>
  <c r="AR141" i="4"/>
  <c r="AR140" i="4"/>
  <c r="AR139" i="4"/>
  <c r="AR138" i="4"/>
  <c r="AR137" i="4"/>
  <c r="AR136" i="4"/>
  <c r="AR135" i="4"/>
  <c r="AR134" i="4"/>
  <c r="AR133" i="4"/>
  <c r="AR132" i="4"/>
  <c r="AR131" i="4"/>
  <c r="AR130" i="4"/>
  <c r="AR129" i="4"/>
  <c r="AR128" i="4"/>
  <c r="AR127" i="4"/>
  <c r="AR126" i="4"/>
  <c r="AR125" i="4"/>
  <c r="AR124" i="4"/>
  <c r="AR123" i="4"/>
  <c r="AR122" i="4"/>
  <c r="AR121" i="4"/>
  <c r="AR119" i="4"/>
  <c r="AR118" i="4"/>
  <c r="AR117" i="4"/>
  <c r="AR116" i="4"/>
  <c r="AR115" i="4"/>
  <c r="AR114" i="4"/>
  <c r="AR113" i="4"/>
  <c r="AL107" i="4"/>
  <c r="AL106" i="4"/>
  <c r="AL105" i="4"/>
  <c r="AL104" i="4"/>
  <c r="AL103" i="4"/>
  <c r="AL102" i="4"/>
  <c r="AL101" i="4"/>
  <c r="AL100" i="4"/>
  <c r="AL99" i="4"/>
  <c r="AL98" i="4"/>
  <c r="AL97" i="4"/>
  <c r="AL96" i="4"/>
  <c r="AL95" i="4"/>
  <c r="AL94" i="4"/>
  <c r="AL93" i="4"/>
  <c r="AL92" i="4"/>
  <c r="AL91" i="4"/>
  <c r="AL90" i="4"/>
  <c r="AL89" i="4"/>
  <c r="AL88" i="4"/>
  <c r="AL87" i="4"/>
  <c r="AL86" i="4"/>
  <c r="AL85" i="4"/>
  <c r="AL84" i="4"/>
  <c r="AL83" i="4"/>
  <c r="AL82" i="4"/>
  <c r="AL81" i="4"/>
  <c r="AL80" i="4"/>
  <c r="AL79" i="4"/>
  <c r="AL78" i="4"/>
  <c r="AL77" i="4"/>
  <c r="AL76" i="4"/>
  <c r="AL75" i="4"/>
  <c r="AL74" i="4"/>
  <c r="AL73" i="4"/>
  <c r="AL72" i="4"/>
  <c r="AL71" i="4"/>
  <c r="AL70" i="4"/>
  <c r="AJ66" i="4"/>
  <c r="AJ65" i="4"/>
  <c r="AJ64" i="4"/>
  <c r="AJ63" i="4"/>
  <c r="AJ62" i="4"/>
  <c r="AJ61" i="4"/>
  <c r="AJ60" i="4"/>
  <c r="AJ59" i="4"/>
  <c r="AJ58" i="4"/>
  <c r="AJ57" i="4"/>
  <c r="AJ56" i="4"/>
  <c r="AJ55" i="4"/>
  <c r="AJ54" i="4"/>
  <c r="AJ53" i="4"/>
  <c r="AJ52" i="4"/>
  <c r="AJ51" i="4"/>
  <c r="AJ50" i="4"/>
  <c r="AJ49" i="4"/>
  <c r="AJ48" i="4"/>
  <c r="AJ47" i="4"/>
  <c r="AJ46" i="4"/>
  <c r="AJ45" i="4"/>
  <c r="AJ44" i="4"/>
  <c r="AJ43" i="4"/>
  <c r="AJ42" i="4"/>
  <c r="AJ41" i="4"/>
  <c r="AJ40" i="4"/>
  <c r="AJ39" i="4"/>
  <c r="AJ38" i="4"/>
  <c r="AJ37" i="4"/>
  <c r="AU160" i="3"/>
  <c r="AU159" i="3"/>
  <c r="AU158" i="3"/>
  <c r="AU157" i="3"/>
  <c r="AU156" i="3"/>
  <c r="AU155" i="3"/>
  <c r="AU154" i="3"/>
  <c r="AU153" i="3"/>
  <c r="AU152" i="3"/>
  <c r="AU151" i="3"/>
  <c r="AH7" i="3"/>
  <c r="AH8" i="3"/>
  <c r="AH9" i="3"/>
  <c r="AH10" i="3"/>
  <c r="AH11" i="3"/>
  <c r="AH12" i="3"/>
  <c r="AH13" i="3"/>
  <c r="AH14" i="3"/>
  <c r="AH15" i="3"/>
  <c r="AH16" i="3"/>
  <c r="AH17" i="3"/>
  <c r="AH18" i="3"/>
  <c r="AH19" i="3"/>
  <c r="AH20" i="3"/>
  <c r="AH21" i="3"/>
  <c r="AH22" i="3"/>
  <c r="AH23" i="3"/>
  <c r="AH24" i="3"/>
  <c r="AH25" i="3"/>
  <c r="AH26" i="3"/>
  <c r="AH27" i="3"/>
  <c r="AH28" i="3"/>
  <c r="AH29" i="3"/>
  <c r="AH30" i="3"/>
  <c r="AH31" i="3"/>
  <c r="AH32" i="3"/>
  <c r="AH33" i="3"/>
  <c r="AQ70" i="3"/>
  <c r="AQ71" i="3"/>
  <c r="AQ72" i="3"/>
  <c r="AQ73" i="3"/>
  <c r="AQ74" i="3"/>
  <c r="AQ75" i="3"/>
  <c r="AQ76" i="3"/>
  <c r="AQ77" i="3"/>
  <c r="AQ78" i="3"/>
  <c r="AQ79" i="3"/>
  <c r="AQ80" i="3"/>
  <c r="AQ81" i="3"/>
  <c r="AQ82" i="3"/>
  <c r="AQ83" i="3"/>
  <c r="AQ84" i="3"/>
  <c r="AQ85" i="3"/>
  <c r="AQ86" i="3"/>
  <c r="AQ87" i="3"/>
  <c r="AQ88" i="3"/>
  <c r="AQ89" i="3"/>
  <c r="AQ90" i="3"/>
  <c r="AQ91" i="3"/>
  <c r="AQ92" i="3"/>
  <c r="AQ93" i="3"/>
  <c r="AQ94" i="3"/>
  <c r="AQ95" i="3"/>
  <c r="AQ96" i="3"/>
  <c r="AQ97" i="3"/>
  <c r="AQ98" i="3"/>
  <c r="AQ99" i="3"/>
  <c r="AQ100" i="3"/>
  <c r="AQ101" i="3"/>
  <c r="AQ102" i="3"/>
  <c r="AQ103" i="3"/>
  <c r="AQ104" i="3"/>
  <c r="AQ105" i="3"/>
  <c r="AQ106" i="3"/>
  <c r="AQ107" i="3"/>
  <c r="AU113" i="3"/>
  <c r="AU114" i="3"/>
  <c r="AU115" i="3"/>
  <c r="AU116" i="3"/>
  <c r="AU117" i="3"/>
  <c r="AU118" i="3"/>
  <c r="AU119" i="3"/>
  <c r="AU121" i="3"/>
  <c r="AU122" i="3"/>
  <c r="AU123" i="3"/>
  <c r="AU124" i="3"/>
  <c r="AU125" i="3"/>
  <c r="AU126" i="3"/>
  <c r="AU127" i="3"/>
  <c r="AU128" i="3"/>
  <c r="AU129" i="3"/>
  <c r="AU130" i="3"/>
  <c r="AU131" i="3"/>
  <c r="AU132" i="3"/>
  <c r="AU133" i="3"/>
  <c r="AU134" i="3"/>
  <c r="AU135" i="3"/>
  <c r="AU136" i="3"/>
  <c r="AU137" i="3"/>
  <c r="AU138" i="3"/>
  <c r="AU139" i="3"/>
  <c r="AU140" i="3"/>
  <c r="AU141" i="3"/>
  <c r="AU142" i="3"/>
  <c r="AU143" i="3"/>
  <c r="AU144" i="3"/>
  <c r="AU145" i="3"/>
  <c r="AU146" i="3"/>
  <c r="BI146" i="3"/>
  <c r="BI144" i="3"/>
  <c r="BB146" i="3"/>
  <c r="BG146" i="3"/>
  <c r="BH146" i="3"/>
  <c r="BH145" i="3"/>
  <c r="BG145" i="3"/>
  <c r="AO39" i="3"/>
  <c r="BE144" i="3"/>
  <c r="BB144" i="3"/>
  <c r="AY144" i="3"/>
  <c r="AT105" i="3"/>
  <c r="AN66" i="3"/>
  <c r="AN65" i="3"/>
  <c r="AN64" i="3"/>
  <c r="AK33" i="3"/>
  <c r="AK32" i="3"/>
  <c r="AK31" i="3"/>
  <c r="AP78" i="3"/>
  <c r="AP77" i="3"/>
  <c r="AP76" i="3"/>
  <c r="BF145" i="3"/>
  <c r="BF144" i="3"/>
  <c r="BF146" i="3"/>
  <c r="BE146" i="3"/>
  <c r="BE145" i="3"/>
  <c r="BC145" i="3"/>
  <c r="BC144" i="3"/>
  <c r="BC146" i="3"/>
  <c r="BB145" i="3"/>
  <c r="AZ145" i="3"/>
  <c r="AZ144" i="3"/>
  <c r="AY146" i="3"/>
  <c r="AZ146" i="3"/>
  <c r="AY145" i="3"/>
  <c r="AV115" i="3"/>
  <c r="AV116" i="3"/>
  <c r="AV117" i="3"/>
  <c r="AV118" i="3"/>
  <c r="AV121" i="3"/>
  <c r="AV122" i="3"/>
  <c r="AV123" i="3"/>
  <c r="AV124" i="3"/>
  <c r="AV125" i="3"/>
  <c r="AV126" i="3"/>
  <c r="AV127" i="3"/>
  <c r="AV128" i="3"/>
  <c r="AV129" i="3"/>
  <c r="AV130" i="3"/>
  <c r="AV131" i="3"/>
  <c r="AV132" i="3"/>
  <c r="AV133" i="3"/>
  <c r="AV134" i="3"/>
  <c r="AV135" i="3"/>
  <c r="AV136" i="3"/>
  <c r="AV137" i="3"/>
  <c r="AV138" i="3"/>
  <c r="AV139" i="3"/>
  <c r="AV140" i="3"/>
  <c r="AV141" i="3"/>
  <c r="AV142" i="3"/>
  <c r="AV143" i="3"/>
  <c r="AV144" i="3"/>
  <c r="AV145" i="3"/>
  <c r="AV146" i="3"/>
  <c r="AV114" i="3"/>
  <c r="AV119" i="3"/>
  <c r="AV113" i="3"/>
  <c r="AX106" i="3"/>
  <c r="AX105" i="3"/>
  <c r="AW107" i="3"/>
  <c r="AX107" i="3"/>
  <c r="AW106" i="3"/>
  <c r="AW105" i="3"/>
  <c r="AU106" i="3"/>
  <c r="AU105" i="3"/>
  <c r="AT107" i="3"/>
  <c r="AU107" i="3"/>
  <c r="AT106" i="3"/>
  <c r="AP107" i="3"/>
  <c r="AP106" i="3"/>
  <c r="AP105" i="3"/>
  <c r="AP104" i="3"/>
  <c r="AP103" i="3"/>
  <c r="AP102" i="3"/>
  <c r="AP101" i="3"/>
  <c r="AP100" i="3"/>
  <c r="AP99" i="3"/>
  <c r="AP98" i="3"/>
  <c r="AP97" i="3"/>
  <c r="AP96" i="3"/>
  <c r="AP95" i="3"/>
  <c r="AP94" i="3"/>
  <c r="AP93" i="3"/>
  <c r="AP92" i="3"/>
  <c r="AP91" i="3"/>
  <c r="AP90" i="3"/>
  <c r="AP89" i="3"/>
  <c r="AP88" i="3"/>
  <c r="AP87" i="3"/>
  <c r="AP86" i="3"/>
  <c r="AP85" i="3"/>
  <c r="AP84" i="3"/>
  <c r="AP83" i="3"/>
  <c r="AP82" i="3"/>
  <c r="AP81" i="3"/>
  <c r="AP80" i="3"/>
  <c r="AP79" i="3"/>
  <c r="AP75" i="3"/>
  <c r="AP74" i="3"/>
  <c r="AP73" i="3"/>
  <c r="AP72" i="3"/>
  <c r="AP71" i="3"/>
  <c r="AP70" i="3"/>
  <c r="AR66" i="3"/>
  <c r="AR65" i="3"/>
  <c r="AR64" i="3"/>
  <c r="AQ66" i="3"/>
  <c r="AQ65" i="3"/>
  <c r="AQ64" i="3"/>
  <c r="AO66" i="3"/>
  <c r="AO65" i="3"/>
  <c r="AO64" i="3"/>
  <c r="AJ66" i="3"/>
  <c r="AJ65" i="3"/>
  <c r="AJ64" i="3"/>
  <c r="AJ63" i="3"/>
  <c r="AJ62" i="3"/>
  <c r="AJ61" i="3"/>
  <c r="AJ60" i="3"/>
  <c r="AJ59" i="3"/>
  <c r="AJ58" i="3"/>
  <c r="AJ57" i="3"/>
  <c r="AJ56" i="3"/>
  <c r="AJ55" i="3"/>
  <c r="AJ54" i="3"/>
  <c r="AJ53" i="3"/>
  <c r="AJ52" i="3"/>
  <c r="AJ51" i="3"/>
  <c r="AJ50" i="3"/>
  <c r="AJ49" i="3"/>
  <c r="AJ48" i="3"/>
  <c r="AJ47" i="3"/>
  <c r="AJ46" i="3"/>
  <c r="AJ45" i="3"/>
  <c r="AJ44" i="3"/>
  <c r="AJ43" i="3"/>
  <c r="AJ42" i="3"/>
  <c r="AJ41" i="3"/>
  <c r="AJ40" i="3"/>
  <c r="AJ39" i="3"/>
  <c r="AJ38" i="3"/>
  <c r="AJ37" i="3"/>
  <c r="AL33" i="3"/>
  <c r="AL32" i="3"/>
  <c r="AL31" i="3"/>
  <c r="AU41" i="2"/>
  <c r="AU40" i="2"/>
  <c r="AU39" i="2"/>
  <c r="AU38" i="2"/>
  <c r="AU37" i="2"/>
  <c r="AU36" i="2"/>
  <c r="AU35" i="2"/>
  <c r="AU34" i="2"/>
  <c r="AU33" i="2"/>
  <c r="AU32" i="2"/>
  <c r="AU31" i="2"/>
  <c r="AU30" i="2"/>
  <c r="AU29" i="2"/>
  <c r="AU28" i="2"/>
  <c r="AU27" i="2"/>
  <c r="AU26" i="2"/>
  <c r="AU25" i="2"/>
  <c r="AU24" i="2"/>
  <c r="AU23" i="2"/>
  <c r="AU22" i="2"/>
  <c r="AU21" i="2"/>
  <c r="AU20" i="2"/>
  <c r="AU19" i="2"/>
  <c r="AU18" i="2"/>
  <c r="AU17" i="2"/>
  <c r="AU16" i="2"/>
  <c r="AU15" i="2"/>
  <c r="AU14" i="2"/>
  <c r="AU13" i="2"/>
  <c r="AU12" i="2"/>
  <c r="AU11" i="2"/>
  <c r="AU10" i="2"/>
  <c r="AU9" i="2"/>
  <c r="AU8" i="2"/>
  <c r="AU7" i="2"/>
  <c r="AU6" i="2"/>
  <c r="AU5" i="2"/>
  <c r="AU4" i="2"/>
</calcChain>
</file>

<file path=xl/sharedStrings.xml><?xml version="1.0" encoding="utf-8"?>
<sst xmlns="http://schemas.openxmlformats.org/spreadsheetml/2006/main" count="5034" uniqueCount="829">
  <si>
    <t>aberto!</t>
  </si>
  <si>
    <t>Pressure</t>
  </si>
  <si>
    <t>Intensity</t>
  </si>
  <si>
    <t>%</t>
  </si>
  <si>
    <t>Refil time</t>
  </si>
  <si>
    <t>%bellow</t>
  </si>
  <si>
    <t>Decaimento Reference</t>
  </si>
  <si>
    <t>sequência direta 35RR</t>
  </si>
  <si>
    <t>amostras com 4g</t>
  </si>
  <si>
    <t>P50%</t>
  </si>
  <si>
    <t>Hora</t>
  </si>
  <si>
    <t>Amostra</t>
  </si>
  <si>
    <t>RR 35!</t>
  </si>
  <si>
    <t>RR35</t>
  </si>
  <si>
    <t>analisando 4g</t>
  </si>
  <si>
    <t>almoço</t>
  </si>
  <si>
    <t>lanche</t>
  </si>
  <si>
    <t>amostras com 5g</t>
  </si>
  <si>
    <t>analisando 5g</t>
  </si>
  <si>
    <t>RR30</t>
  </si>
  <si>
    <t>RR25</t>
  </si>
  <si>
    <t>analisando 6g</t>
  </si>
  <si>
    <t>analisando 3g</t>
  </si>
  <si>
    <t>19815 E 240815</t>
  </si>
  <si>
    <t>Row</t>
  </si>
  <si>
    <t>Identifier 1</t>
  </si>
  <si>
    <t>Identifier 2</t>
  </si>
  <si>
    <t>Comment</t>
  </si>
  <si>
    <t>Weight (mg)</t>
  </si>
  <si>
    <t>d 13C/12C</t>
  </si>
  <si>
    <t>d 13C/12C  Mean</t>
  </si>
  <si>
    <t>d 13C/12C  Std Dev</t>
  </si>
  <si>
    <t>d 18O/16O</t>
  </si>
  <si>
    <t>d 18O/16O  Mean</t>
  </si>
  <si>
    <t>d 18O/16O  Std Dev</t>
  </si>
  <si>
    <t>Method</t>
  </si>
  <si>
    <t>Gotas</t>
  </si>
  <si>
    <t xml:space="preserve">Reaction </t>
  </si>
  <si>
    <t>Transfer</t>
  </si>
  <si>
    <t>Pressadjust</t>
  </si>
  <si>
    <t>Date</t>
  </si>
  <si>
    <t>Time</t>
  </si>
  <si>
    <t>FileHeader: Filename</t>
  </si>
  <si>
    <t>Measurment Infos</t>
  </si>
  <si>
    <t>P</t>
  </si>
  <si>
    <t>II</t>
  </si>
  <si>
    <t>BL</t>
  </si>
  <si>
    <t>BR</t>
  </si>
  <si>
    <t>Diferença BL-BR</t>
  </si>
  <si>
    <t>NBS19_01</t>
  </si>
  <si>
    <t>4g</t>
  </si>
  <si>
    <t>Kiel IV Adriana 3gt_RR30_reac480_trans90</t>
  </si>
  <si>
    <t>08/19/15</t>
  </si>
  <si>
    <t>13:35:51</t>
  </si>
  <si>
    <t>NBS19_01_mvar_4g_-0002.did</t>
  </si>
  <si>
    <t>Acid: 69.9 (°C);LeakRate (µBar/Min):  559 ; 0 xtra drops;P no Acid :   20;P gases:   80;Total CO2 :  735;# Exp.:  0;CO2 after Exp.:  735;RR pressure 7.0 (100%);RR pressure 14.6 (50%);VM1 aftr Trfr.:   20;PC (62146);Background: 1.57 mV,1.66 mV,2.18 mV (The</t>
  </si>
  <si>
    <t>NBS19_02</t>
  </si>
  <si>
    <t>14:02:52</t>
  </si>
  <si>
    <t>NBS19_02_mvar_4g_-0002.did</t>
  </si>
  <si>
    <t xml:space="preserve"> Acid: 69.8 (°C); LeakRate (µBar/Min):  404 ;  0 xtra drops; P no Acid :  108;Total CO2 :  763;# Exp.:  0;CO2 after Exp.:  763;RR skipped 13.9 (50%);VM1 aftr Trfr.:   20;PC (62146);Background: 1.94 mV,2.06 mV,2.69 mV (Thermo);Init int: 4166.99;PressAdjust</t>
  </si>
  <si>
    <t>NBS19_03</t>
  </si>
  <si>
    <t>14:32:48</t>
  </si>
  <si>
    <t>NBS19_03_mvar_4g_-0002.did</t>
  </si>
  <si>
    <t xml:space="preserve"> Acid: 69.8 (°C); LeakRate (µBar/Min):  326 ;  0 xtra drops; P no Acid :   20;Total CO2 :  728;# Exp.:  0;CO2 after Exp.:  728;RR skipped 13.3 (50%);VM1 aftr Trfr.:   27;PC (62146);Background: 2.07 mV,2.21 mV,2.87 mV (Thermo);Init int: 3358.57;PressAdjust</t>
  </si>
  <si>
    <t>NBS19_04</t>
  </si>
  <si>
    <t>15:01:14</t>
  </si>
  <si>
    <t>NBS19_04_mvar_4g_-0002.did</t>
  </si>
  <si>
    <t xml:space="preserve"> Acid: 69.7 (°C); LeakRate (µBar/Min):  220 ;  0 xtra drops; P no Acid :   55;Total CO2 :  784;# Exp.:  0;CO2 after Exp.:  784;RR skipped 12.9 (50%);VM1 aftr Trfr.:   20;PC (62146);Background: 2.07 mV,2.19 mV,2.87 mV (Thermo);Init int: 4364.87;PressAdjust</t>
  </si>
  <si>
    <t>NBS19_07</t>
  </si>
  <si>
    <t>Kiel IV Adriana 3gt_RR30_reac480_trans135</t>
  </si>
  <si>
    <t>08/24/15</t>
  </si>
  <si>
    <t>15:29:10</t>
  </si>
  <si>
    <t>NBS19_07_mvar_4g_-0003.did</t>
  </si>
  <si>
    <t xml:space="preserve"> Acid: 69.9 (°C); LeakRate (µBar/Min):  397 ;  0 xtra drops; P no Acid :   44;Total CO2 :  884;# Exp.:  0;CO2 after Exp.:  884;RR pressure 7.0 (100%);RR pressure 14.7 (50%);VM1 aftr Trfr.:   37;PC (62156);Background: 1.88 mV,1.98 mV,2.57 mV (Thermo);Init</t>
  </si>
  <si>
    <t>NBS19_08</t>
  </si>
  <si>
    <t>16:00:09</t>
  </si>
  <si>
    <t>NBS19_08_mvar_4g_-0003.did</t>
  </si>
  <si>
    <t xml:space="preserve"> Acid: 69.9 (°C); LeakRate (µBar/Min):  368 ;  0 xtra drops; P no Acid :  182;Total CO2 :  809;# Exp.:  0;CO2 after Exp.:  809;RR skipped 13.6 (50%);VM1 aftr Trfr.:   41;PC (62156);Background: 2.01 mV,2.14 mV,2.76 mV (Thermo);Init int: 3561.78;PressAdjust</t>
  </si>
  <si>
    <t>NBS19_09</t>
  </si>
  <si>
    <t>16:31:39</t>
  </si>
  <si>
    <t>NBS19_09_mvar_4g_-0003.did</t>
  </si>
  <si>
    <t xml:space="preserve"> Acid: 69.9 (°C); LeakRate (µBar/Min):  333 ;  0 xtra drops; P no Acid :   69;Total CO2 :  852;# Exp.:  0;CO2 after Exp.:  852;RR skipped 13.2 (50%);VM1 aftr Trfr.:   41;PC (62156);Background: 1.97 mV,2.09 mV,2.72 mV (Thermo);Init int: 3770.02;PressAdjust</t>
  </si>
  <si>
    <t>NBS19_10</t>
  </si>
  <si>
    <t>17:00:48</t>
  </si>
  <si>
    <t>NBS19_10_mvar_4g_-0003.did</t>
  </si>
  <si>
    <t xml:space="preserve"> Acid: 69.9 (°C); LeakRate (µBar/Min):  305 ;  0 xtra drops; P no Acid :  154;Total CO2 :  876;# Exp.:  0;CO2 after Exp.:  876;RR skipped 12.8 (50%);VM1 aftr Trfr.:   37;PC (62156);Background: 1.98 mV,2.09 mV,2.72 mV (Thermo);Init int: 4508.21;PressAdjust</t>
  </si>
  <si>
    <t>Kiel IV Adriana 3gt_RR30_reac600_trans90</t>
  </si>
  <si>
    <t>09:13:22</t>
  </si>
  <si>
    <t>NBS19_01_mvar_4g_-0003.did</t>
  </si>
  <si>
    <t>Acid: 70.0 (°C);LeakRate (µBar/Min):  694 ; 0 xtra drops;P no Acid :   30;P gases:  101;Total CO2 :  908;# Exp.:  0;CO2 after Exp.:  912;RR pressure 7.0 (100%);RR pressure 14.7 (50%);VM1 aftr Trfr.:   37;PC (62156);Background: 0.90 mV,0.91 mV,1.17 mV (The</t>
  </si>
  <si>
    <t>09:41:58</t>
  </si>
  <si>
    <t>NBS19_02_mvar_4g_-0003.did</t>
  </si>
  <si>
    <t xml:space="preserve"> Acid: 69.9 (°C); LeakRate (µBar/Min):  744 ;  0 xtra drops; P no Acid :  218;Total CO2 :  894;# Exp.:  0;CO2 after Exp.:  894;RR skipped 13.6 (50%);VM1 aftr Trfr.:   37;PC (62156);Background: 1.40 mV,1.48 mV,1.90 mV (Thermo);Init int: 5033.00;PressAdjust</t>
  </si>
  <si>
    <t>tube test</t>
  </si>
  <si>
    <t>dirty</t>
  </si>
  <si>
    <t>Kiel IV</t>
  </si>
  <si>
    <t>08/25/15</t>
  </si>
  <si>
    <t>05:22:00</t>
  </si>
  <si>
    <t>tube test_mvar_dirty_-0003.did</t>
  </si>
  <si>
    <t xml:space="preserve"> Acid: 70.1 (°C); LeakRate (µBar/Min):  127 ;  0 xtra drops; P no Acid :   62;Total CO2 :   37;# Exp.:  0;CO2 after Exp.:   37;RR skipped 10.3 (50%);VM1 aftr Trfr.:   37;PC (62156);Background: 2.07 mV,2.20 mV,2.85 mV (Thermo);Init int:    5.31;PressAdjust</t>
  </si>
  <si>
    <t>teste Or</t>
  </si>
  <si>
    <t>6g</t>
  </si>
  <si>
    <t>Kiel IV Adriana</t>
  </si>
  <si>
    <t>08/21/15</t>
  </si>
  <si>
    <t>15:21:39</t>
  </si>
  <si>
    <t>NBS19_01_testeOr_teste Or-0004.did</t>
  </si>
  <si>
    <t>Acid: 70.2 (°C);LeakRate (µBar/Min):  906 ; 0 xtra drops;P no Acid :   34;P gases:   90;Total CO2 :  968;# Exp.:  0;CO2 after Exp.:  968;RR pressure 5.8 (100%);RR pressure 12.1 (50%);VM1 aftr Trfr.:   27;PC (62156);Background: 1.37 mV,1.44 mV,1.87 mV (The</t>
  </si>
  <si>
    <t>15:49:06</t>
  </si>
  <si>
    <t>NBS19_02_testeOr_teste Or-0004.did</t>
  </si>
  <si>
    <t xml:space="preserve"> Acid: 70.8 (°C); LeakRate (µBar/Min):  184 ;  0 xtra drops; P no Acid :  105;Total CO2 :   34;# Exp.:  0;CO2 after Exp.:   34;RR skipped 11.0 (50%);VM1 aftr Trfr.:   27;PC (62156);Background: 2.10 mV,2.24 mV,2.92 mV (Thermo);Init int:    8.41;PressAdjust</t>
  </si>
  <si>
    <t>NBS19_05</t>
  </si>
  <si>
    <t>15:33:45</t>
  </si>
  <si>
    <t>NBS19_05_mvar_4g_-0002.did</t>
  </si>
  <si>
    <t xml:space="preserve"> Acid: 69.7 (°C); LeakRate (µBar/Min):  326 ;  0 xtra drops; P no Acid :   30;Total CO2 :  802;# Exp.:  0;CO2 after Exp.:  802;RR skipped 12.3 (50%);VM1 aftr Trfr.:   27;PC (62146);Background: 2.18 mV,2.33 mV,3.06 mV (Thermo);Init int: 4098.65;PressAdjust</t>
  </si>
  <si>
    <t>NBS19_06</t>
  </si>
  <si>
    <t>16:06:26</t>
  </si>
  <si>
    <t>NBS19_06_mvar_4g_-0002.did</t>
  </si>
  <si>
    <t xml:space="preserve"> Acid: 69.8 (°C); LeakRate (µBar/Min):  241 ;  0 xtra drops; P no Acid :   90;Total CO2 :  816;# Exp.:  0;CO2 after Exp.:  816;RR skipped 11.8 (50%);VM1 aftr Trfr.:   30;PC (62146);Background: 2.19 mV,2.35 mV,3.07 mV (Thermo);Init int: 4238.39;PressAdjust</t>
  </si>
  <si>
    <t>NBS19_11</t>
  </si>
  <si>
    <t>Kiel IV Adriana 3gt_RR30_reac600_trans135</t>
  </si>
  <si>
    <t>17:34:02</t>
  </si>
  <si>
    <t>NBS19_11_mvar_4g_-0003.did</t>
  </si>
  <si>
    <t xml:space="preserve"> Acid: 69.9 (°C); LeakRate (µBar/Min):  538 ;  0 xtra drops; P no Acid :   37;Total CO2 :  752;# Exp.:  0;CO2 after Exp.:  752;RR skipped 12.2 (50%);VM1 aftr Trfr.:   34;PC (62146);Background: 2.02 mV,2.15 mV,2.76 mV (Thermo);Init int: 3042.29;PressAdjust</t>
  </si>
  <si>
    <t>?????</t>
  </si>
  <si>
    <t>NBS19_12</t>
  </si>
  <si>
    <t>18:04:52</t>
  </si>
  <si>
    <t>NBS19_12_mvar_4g_-0003.did</t>
  </si>
  <si>
    <t xml:space="preserve"> Acid: 70.0 (°C); LeakRate (µBar/Min):  276 ;  0 xtra drops; P no Acid :  119;Total CO2 :  752;# Exp.:  0;CO2 after Exp.:  752;RR skipped 11.8 (50%);VM1 aftr Trfr.:   37;PC (62156);Background: 1.93 mV,2.05 mV,2.64 mV (Thermo);Init int: 3089.23;PressAdjust</t>
  </si>
  <si>
    <t>NBS19_13</t>
  </si>
  <si>
    <t>18:40:21</t>
  </si>
  <si>
    <t>NBS19_13_mvar_4g_-0003.did</t>
  </si>
  <si>
    <t xml:space="preserve"> Acid: 70.0 (°C); LeakRate (µBar/Min):  340 ;  0 xtra drops; P no Acid :   37;Total CO2 :  834;# Exp.:  0;CO2 after Exp.:  834;RR pressure 6.9 (100%);RR pressure 14.7 (50%);VM1 aftr Trfr.:   37;PC (62156);Background: 1.92 mV,2.01 mV,2.63 mV (Thermo);Init</t>
  </si>
  <si>
    <t>NBS19_14</t>
  </si>
  <si>
    <t>19:12:06</t>
  </si>
  <si>
    <t>NBS19_14_mvar_4g_-0003.did</t>
  </si>
  <si>
    <t xml:space="preserve"> Acid: 69.9 (°C); LeakRate (µBar/Min):  149 ;  0 xtra drops; P no Acid :   44;Total CO2 :  873;# Exp.:  0;CO2 after Exp.:  873;RR skipped 13.7 (50%);VM1 aftr Trfr.:   37;PC (62156);Background: 2.06 mV,2.16 mV,2.82 mV (Thermo);Init int: 4515.52;PressAdjust</t>
  </si>
  <si>
    <t>Kiel IV Adriana 3gt_RR30_reac720_trans90</t>
  </si>
  <si>
    <t>10:15:43</t>
  </si>
  <si>
    <t>NBS19_03_mvar_4g_-0003.did</t>
  </si>
  <si>
    <t xml:space="preserve"> Acid: 69.9 (°C); LeakRate (µBar/Min):  368 ;  0 xtra drops; P no Acid :   55;Total CO2 :  908;# Exp.:  0;CO2 after Exp.:  905;RR skipped 12.9 (50%);VM1 aftr Trfr.:   37;PC (62156);Background: 1.58 mV,1.68 mV,2.16 mV (Thermo);Init int: 5077.81;PressAdjust</t>
  </si>
  <si>
    <t>14:58:38</t>
  </si>
  <si>
    <t>NBS19_06_mvar_4g_-0003.did</t>
  </si>
  <si>
    <t>Acid: 69.9 (°C);LeakRate (µBar/Min):  574 ; 0 xtra drops;P no Acid :  179;P gases: 1007;Total CO2 :  944;# Exp.:  0;CO2 after Exp.:  944;RR skipped 10.6 (50%);VM1 aftr Trfr.:   41;PC (62156);Background: 1.56 mV,1.63 mV,2.11 mV (Thermo);Init int: 5355.48;P</t>
  </si>
  <si>
    <t>NBS19_15</t>
  </si>
  <si>
    <t>Kiel IV Adriana 3gt_RR30_reac720_trans135</t>
  </si>
  <si>
    <t>19:47:41</t>
  </si>
  <si>
    <t>NBS19_15_mvar_4g_-0003.did</t>
  </si>
  <si>
    <t xml:space="preserve"> Acid: 70.0 (°C); LeakRate (µBar/Min):  319 ;  0 xtra drops; P no Acid :   34;Total CO2 :  859;# Exp.:  0;CO2 after Exp.:  859;RR skipped 12.9 (50%);VM1 aftr Trfr.:   41;PC (62156);Background: 2.11 mV,2.23 mV,2.89 mV (Thermo);Init int: 4345.13;PressAdjust</t>
  </si>
  <si>
    <t>NBS19_16</t>
  </si>
  <si>
    <t>20:20:44</t>
  </si>
  <si>
    <t>NBS19_16_mvar_4g_-0003.did</t>
  </si>
  <si>
    <t xml:space="preserve"> Acid: 69.9 (°C); LeakRate (µBar/Min):  156 ;  0 xtra drops; P no Acid :   44;Total CO2 :  749;# Exp.:  0;CO2 after Exp.:  749;RR skipped 12.4 (50%);VM1 aftr Trfr.:   37;PC (62156);Background: 2.12 mV,2.24 mV,2.87 mV (Thermo);Init int: 3012.15;PressAdjust</t>
  </si>
  <si>
    <t>NBS19_17</t>
  </si>
  <si>
    <t>20:56:44</t>
  </si>
  <si>
    <t>NBS19_17_mvar_4g_-0003.did</t>
  </si>
  <si>
    <t xml:space="preserve"> Acid: 69.9 (°C); LeakRate (µBar/Min):  305 ;  0 xtra drops; P no Acid :   34;Total CO2 :  869;# Exp.:  0;CO2 after Exp.:  873;RR skipped 12.0 (50%);VM1 aftr Trfr.:   41;PC (62146);Background: 2.01 mV,2.12 mV,2.75 mV (Thermo);Init int: 4495.39;PressAdjust</t>
  </si>
  <si>
    <t>NBS19_18</t>
  </si>
  <si>
    <t>21:31:00</t>
  </si>
  <si>
    <t>NBS19_18_mvar_4g_-0003.did</t>
  </si>
  <si>
    <t xml:space="preserve"> Acid: 70.0 (°C); LeakRate (µBar/Min):  177 ;  0 xtra drops; P no Acid :   44;Total CO2 :  827;# Exp.:  0;CO2 after Exp.:  827;RR skipped 11.4 (50%);VM1 aftr Trfr.:   34;PC (62156);Background: 2.09 mV,2.22 mV,2.88 mV (Thermo);Init int: 3785.95;PressAdjust</t>
  </si>
  <si>
    <t>NBS19_19</t>
  </si>
  <si>
    <t>Kiel IV Adriana 4gt_RR30_reac480_trans90</t>
  </si>
  <si>
    <t>22:06:08</t>
  </si>
  <si>
    <t>NBS19_19_mvar_4g_-0003.did</t>
  </si>
  <si>
    <t xml:space="preserve"> Acid: 69.9 (°C); LeakRate (µBar/Min):  305 ;  0 xtra drops; P no Acid :   34;Total CO2 :   37;# Exp.:  0;CO2 after Exp.:   37;RR pressure 6.8 (100%);RR pressure 14.6 (50%);VM1 aftr Trfr.:   37;PC (62156);Background: 2.05 mV,2.16 mV,2.83 mV (Thermo);Init</t>
  </si>
  <si>
    <t>NBS19_20</t>
  </si>
  <si>
    <t>22:35:39</t>
  </si>
  <si>
    <t>NBS19_20_mvar_4g_-0003.did</t>
  </si>
  <si>
    <t xml:space="preserve"> Acid: 70.0 (°C); LeakRate (µBar/Min):  205 ;  0 xtra drops; P no Acid :   58;Total CO2 :  813;# Exp.:  0;CO2 after Exp.:  813;RR skipped 14.2 (50%);VM1 aftr Trfr.:   41;PC (62146);Background: 1.83 mV,1.93 mV,2.52 mV (Thermo);Init int: 3597.49;PressAdjust</t>
  </si>
  <si>
    <t>NBS19_21</t>
  </si>
  <si>
    <t>23:07:09</t>
  </si>
  <si>
    <t>NBS19_21_mvar_4g_-0003.did</t>
  </si>
  <si>
    <t xml:space="preserve"> Acid: 70.0 (°C); LeakRate (µBar/Min):  283 ;  0 xtra drops; P no Acid :   34;Total CO2 :  791;# Exp.:  0;CO2 after Exp.:  791;RR skipped 13.5 (50%);VM1 aftr Trfr.:   37;PC (62156);Background: 2.02 mV,2.13 mV,2.76 mV (Thermo);Init int: 3476.65;PressAdjust</t>
  </si>
  <si>
    <t>NBS19_22</t>
  </si>
  <si>
    <t>23:37:50</t>
  </si>
  <si>
    <t>NBS19_22_mvar_4g_-0003.did</t>
  </si>
  <si>
    <t xml:space="preserve"> Acid: 69.9 (°C); LeakRate (µBar/Min):  191 ;  0 xtra drops; P no Acid :   80;Total CO2 :  745;# Exp.:  0;CO2 after Exp.:  745;RR skipped 12.9 (50%);VM1 aftr Trfr.:   37;PC (62156);Background: 2.03 mV,2.14 mV,2.78 mV (Thermo);Init int: 2934.55;PressAdjust</t>
  </si>
  <si>
    <t>NBS19_23</t>
  </si>
  <si>
    <t>Kiel IV Adriana 4gt_RR30_reac600_trans90</t>
  </si>
  <si>
    <t>00:10:31</t>
  </si>
  <si>
    <t>NBS19_23_mvar_4g_-0003.did</t>
  </si>
  <si>
    <t xml:space="preserve"> Acid: 70.0 (°C); LeakRate (µBar/Min):  283 ;  0 xtra drops; P no Acid :   37;Total CO2 :  905;# Exp.:  0;CO2 after Exp.:  905;RR skipped 12.9 (50%);VM1 aftr Trfr.:   37;PC (62146);Background: 1.99 mV,2.10 mV,2.72 mV (Thermo);Init int: 5007.49;PressAdjust</t>
  </si>
  <si>
    <t>NBS19_24</t>
  </si>
  <si>
    <t>00:44:11</t>
  </si>
  <si>
    <t>NBS19_24_mvar_4g_-0003.did</t>
  </si>
  <si>
    <t xml:space="preserve"> Acid: 69.9 (°C); LeakRate (µBar/Min):  184 ;  0 xtra drops; P no Acid :   90;Total CO2 :  841;# Exp.:  0;CO2 after Exp.:  837;RR skipped 11.9 (50%);VM1 aftr Trfr.:   37;PC (62156);Background: 2.17 mV,2.30 mV,2.97 mV (Thermo);Init int: 3959.25;PressAdjust</t>
  </si>
  <si>
    <t>NBS19_25</t>
  </si>
  <si>
    <t>01:19:57</t>
  </si>
  <si>
    <t>NBS19_25_mvar_4g_-0003.did</t>
  </si>
  <si>
    <t xml:space="preserve"> Acid: 70.0 (°C); LeakRate (µBar/Min):  276 ;  0 xtra drops; P no Acid :   37;Total CO2 :  866;# Exp.:  0;CO2 after Exp.:  866;RR pressure 6.8 (100%);RR pressure 14.6 (50%);VM1 aftr Trfr.:   37;PC (62156);Background: 2.09 mV,2.20 mV,2.85 mV (Thermo);Init</t>
  </si>
  <si>
    <t>NBS19_26</t>
  </si>
  <si>
    <t>01:53:26</t>
  </si>
  <si>
    <t>NBS19_26_mvar_4g_-0003.did</t>
  </si>
  <si>
    <t xml:space="preserve"> Acid: 70.0 (°C); LeakRate (µBar/Min):  212 ;  0 xtra drops; P no Acid :   55;Total CO2 :  862;# Exp.:  0;CO2 after Exp.:  862;RR skipped 13.5 (50%);VM1 aftr Trfr.:   41;PC (62156);Background: 2.21 mV,2.33 mV,3.02 mV (Thermo);Init int: 4278.69;PressAdjust</t>
  </si>
  <si>
    <t>NBS19_31</t>
  </si>
  <si>
    <t>04:49:42</t>
  </si>
  <si>
    <t>NBS19_31_mvar_4g_-0003.did</t>
  </si>
  <si>
    <t xml:space="preserve"> Acid: 70.0 (°C); LeakRate (µBar/Min):  312 ;  0 xtra drops; P no Acid :   37;Total CO2 :  791;# Exp.:  0;CO2 after Exp.:  795;RR skipped 10.6 (50%);VM1 aftr Trfr.:   37;PC (62156);Background: 2.15 mV,2.28 mV,2.94 mV (Thermo);Init int: 3332.90;PressAdjust</t>
  </si>
  <si>
    <t>NBS19_27</t>
  </si>
  <si>
    <t>Kiel IV Adriana 4gt_RR30_reac720_trans90</t>
  </si>
  <si>
    <t>02:31:20</t>
  </si>
  <si>
    <t>NBS19_27_mvar_4g_-0003.did</t>
  </si>
  <si>
    <t xml:space="preserve"> Acid: 70.0 (°C); LeakRate (µBar/Min):  283 ;  0 xtra drops; P no Acid :   37;Total CO2 :  873;# Exp.:  0;CO2 after Exp.:  873;RR skipped 12.9 (50%);VM1 aftr Trfr.:  321;PC (62156);Background: 2.21 mV,2.34 mV,2.98 mV (Thermo);Init int: 3528.40;PressAdjust</t>
  </si>
  <si>
    <t>NBS19_28</t>
  </si>
  <si>
    <t>03:06:13</t>
  </si>
  <si>
    <t>NBS19_28_mvar_4g_-0003.did</t>
  </si>
  <si>
    <t xml:space="preserve"> Acid: 69.9 (°C); LeakRate (µBar/Min):  184 ;  0 xtra drops; P no Acid :   51;Total CO2 :  905;# Exp.:  0;CO2 after Exp.:  905;RR skipped 12.4 (50%);VM1 aftr Trfr.:   41;PC (62156);Background: 2.16 mV,2.29 mV,2.95 mV (Thermo);Init int: 4776.98;PressAdjust</t>
  </si>
  <si>
    <t>NBS19_29</t>
  </si>
  <si>
    <t>03:41:22</t>
  </si>
  <si>
    <t>NBS19_29_mvar_4g_-0003.did</t>
  </si>
  <si>
    <t xml:space="preserve"> Acid: 70.1 (°C); LeakRate (µBar/Min):  312 ;  0 xtra drops; P no Acid :   37;Total CO2 :  866;# Exp.:  0;CO2 after Exp.:  866;RR skipped 11.8 (50%);VM1 aftr Trfr.:   41;PC (62156);Background: 2.22 mV,2.35 mV,3.05 mV (Thermo);Init int: 4317.41;PressAdjust</t>
  </si>
  <si>
    <t>NBS19_30</t>
  </si>
  <si>
    <t>04:17:09</t>
  </si>
  <si>
    <t>NBS19_30_mvar_4g_-0003.did</t>
  </si>
  <si>
    <t xml:space="preserve"> Acid: 70.0 (°C); LeakRate (µBar/Min):  191 ;  0 xtra drops; P no Acid :   48;Total CO2 :  834;# Exp.:  0;CO2 after Exp.:  834;RR skipped 11.2 (50%);VM1 aftr Trfr.:   37;PC (62146);Background: 2.20 mV,2.34 mV,3.02 mV (Thermo);Init int: 3916.95;PressAdjust</t>
  </si>
  <si>
    <t>July</t>
  </si>
  <si>
    <t>Different dates</t>
  </si>
  <si>
    <t>Diferença em número de gotas, tempo de reação e tempo de transfer</t>
  </si>
  <si>
    <t>A partir de 30jun, quando foi feito o ajuste do fluxo das 2 linhas para o MAT</t>
  </si>
  <si>
    <t>Row,Identifier 1,Identifier 2,Comment,Weight [mg],d 13C/12C,d 13C/12C  Mean,d 13C/12C  Std.Dev.,d 18O/16O,d 18O/16O  Mean,d 18O/16O  Std.Dev.,Method,Pressadjust,Date,Time,FileHeader: Filename,Measurment Infos</t>
  </si>
  <si>
    <t>weight</t>
  </si>
  <si>
    <t>Expected values according to Thermo manual</t>
  </si>
  <si>
    <t>1,NBS19_01,3g,RR25-1,3g,-4.500,1.836,0.005,-14.050,-2.388,0.021,Kiel IV Adriana25RR,1,07/30/15,08:24:40,NBS19_01_cv_3g_RR25-1-0000.did,Acid: 70.0 [°C]</t>
  </si>
  <si>
    <t>Kiel IV Adriana25RR</t>
  </si>
  <si>
    <t xml:space="preserve">LeakRate [µBar/Min]:  786 </t>
  </si>
  <si>
    <t xml:space="preserve"> 0 xtra drops</t>
  </si>
  <si>
    <t>P no Acid :   37</t>
  </si>
  <si>
    <t>P gases:  122</t>
  </si>
  <si>
    <t>Total CO2 :  795</t>
  </si>
  <si>
    <t># Exp.:  0</t>
  </si>
  <si>
    <t>CO2 after Exp.:  795</t>
  </si>
  <si>
    <t>RR pressure 5.9 (100%)</t>
  </si>
  <si>
    <t>RR pressure 12.2 (50%)</t>
  </si>
  <si>
    <t>VM1 aftr Trfr.:   44</t>
  </si>
  <si>
    <t>PC [62156]</t>
  </si>
  <si>
    <t>Background: 1.24 mV</t>
  </si>
  <si>
    <t>1.32 mV</t>
  </si>
  <si>
    <t>1.66 mV (Thermo)</t>
  </si>
  <si>
    <t>Init int: 3536.00</t>
  </si>
  <si>
    <t>PressAdjust: L: 3173.6  R: 2949.8 ( Master Capillary )</t>
  </si>
  <si>
    <t>2,NBS19_01,3g,RR25-2,3g,-4.500,1.805,0.018,-14.050,-2.427,0.025,Kiel IV Adriana25RR,1,07/30/15,08:54:55,NBS19_01_cv_3g_RR25-2-0000.did, Acid: 70.1 [°C]</t>
  </si>
  <si>
    <t xml:space="preserve"> LeakRate [µBar/Min]:  567 </t>
  </si>
  <si>
    <t xml:space="preserve">  0 xtra drops</t>
  </si>
  <si>
    <t xml:space="preserve"> P no Acid :   37</t>
  </si>
  <si>
    <t>Total CO2 :  841</t>
  </si>
  <si>
    <t>CO2 after Exp.:  841</t>
  </si>
  <si>
    <t>RR skipped 11.3 (50%)</t>
  </si>
  <si>
    <t>VM1 aftr Trfr.:   34</t>
  </si>
  <si>
    <t>PC [62165]</t>
  </si>
  <si>
    <t>Background: 1.67 mV</t>
  </si>
  <si>
    <t>1.79 mV</t>
  </si>
  <si>
    <t>2.25 mV (Thermo)</t>
  </si>
  <si>
    <t>Init int: 4302.39</t>
  </si>
  <si>
    <t>PressAdjust: L: 3851.2  R: 3580.2 ( Master Capillary )</t>
  </si>
  <si>
    <t>3,NBS19_01,1g,RR22-1,1g,-4.500,1.822,0.023,-14.050,-2.238,0.025,Kiel IV Adriana22RR,1,07/30/15,09:30:12,NBS19_01_cv_1g_RR22-1-0000.did, Acid: 70.1 [°C]</t>
  </si>
  <si>
    <t>Kiel IV Adriana22RR</t>
  </si>
  <si>
    <t xml:space="preserve"> LeakRate [µBar/Min]:  354 </t>
  </si>
  <si>
    <t xml:space="preserve"> P no Acid :   41</t>
  </si>
  <si>
    <t>Total CO2 :  466</t>
  </si>
  <si>
    <t>CO2 after Exp.:  466</t>
  </si>
  <si>
    <t>RR pressure 5.1 (100%)</t>
  </si>
  <si>
    <t>RR pressure 10.7 (50%)</t>
  </si>
  <si>
    <t>Background: 1.78 mV</t>
  </si>
  <si>
    <t>1.90 mV</t>
  </si>
  <si>
    <t>2.41 mV (Thermo)</t>
  </si>
  <si>
    <t>Init int: 1138.07</t>
  </si>
  <si>
    <t>PressAdjust: L: 1063.9  R: 992.3 ( Master Capillary )</t>
  </si>
  <si>
    <t>4,NBS19_01,1g,RR22-2,1g,-4.500,1.798,0.009,-14.050,-2.878,0.066,Kiel IV Adriana22RR,1,07/30/15,10:00:59,NBS19_01_cv_1g_RR22-2-0000.did, Acid: 70.1 [°C]</t>
  </si>
  <si>
    <t xml:space="preserve"> LeakRate [µBar/Min]:  142 </t>
  </si>
  <si>
    <t xml:space="preserve"> P no Acid :   44</t>
  </si>
  <si>
    <t>Total CO2 :  434</t>
  </si>
  <si>
    <t>CO2 after Exp.:  434</t>
  </si>
  <si>
    <t>RR skipped 10.5 (50%)</t>
  </si>
  <si>
    <t>VM1 aftr Trfr.:   41</t>
  </si>
  <si>
    <t>Background: 1.64 mV</t>
  </si>
  <si>
    <t>1.74 mV</t>
  </si>
  <si>
    <t>2.21 mV (Thermo)</t>
  </si>
  <si>
    <t>Init int:  929.16</t>
  </si>
  <si>
    <t>PressAdjust: L: 872.6  R: 897.3 ( Master Capillary )</t>
  </si>
  <si>
    <t>Mass (ug)</t>
  </si>
  <si>
    <t>signal (mV)</t>
  </si>
  <si>
    <t>RR skipped 10.4 (50%)</t>
  </si>
  <si>
    <t>PC [62146]</t>
  </si>
  <si>
    <t>Background: 1.54 mV</t>
  </si>
  <si>
    <t>1.65 mV</t>
  </si>
  <si>
    <t xml:space="preserve"> LeakRate [µBar/Min]:  305 </t>
  </si>
  <si>
    <t>8,NBS19_08,1g,RR22-1,1g,-4.500,1.865,0.016,-14.050,-2.626,0.074,Kiel IV Adriana22RR,1,07/30/15,12:11:31,NBS19_08_cv_1g_RR22-1-0000.did, Acid: 70.1 [°C]</t>
  </si>
  <si>
    <t xml:space="preserve"> LeakRate [µBar/Min]:  205 </t>
  </si>
  <si>
    <t xml:space="preserve"> P no Acid :   51</t>
  </si>
  <si>
    <t>Total CO2 :  558</t>
  </si>
  <si>
    <t>CO2 after Exp.:  558</t>
  </si>
  <si>
    <t>RR pressure 5.2 (100%)</t>
  </si>
  <si>
    <t>RR pressure 10.6 (50%)</t>
  </si>
  <si>
    <t>Background: 1.50 mV</t>
  </si>
  <si>
    <t>1.59 mV</t>
  </si>
  <si>
    <t>2.00 mV (Thermo)</t>
  </si>
  <si>
    <t>Init int: 1564.28</t>
  </si>
  <si>
    <t>PressAdjust: L: 1364.6  R: 1269.4 ( Master Capillary )</t>
  </si>
  <si>
    <t xml:space="preserve"> LeakRate [µBar/Min]:  283 </t>
  </si>
  <si>
    <t>10,NBS19_10,1g,RR22-3,1g,-4.500,1.834,0.024,-14.050,-2.979,0.038,Kiel IV Adriana22RR,1,07/30/15,13:13:43,NBS19_10_cv_1g_RR22-3-0000.did, Acid: 70.1 [°C]</t>
  </si>
  <si>
    <t xml:space="preserve"> LeakRate [µBar/Min]:  184 </t>
  </si>
  <si>
    <t>Total CO2 :  402</t>
  </si>
  <si>
    <t>CO2 after Exp.:  402</t>
  </si>
  <si>
    <t>RR skipped 10.3 (50%)</t>
  </si>
  <si>
    <t>Background: 1.53 mV</t>
  </si>
  <si>
    <t>1.64 mV</t>
  </si>
  <si>
    <t>2.08 mV (Thermo)</t>
  </si>
  <si>
    <t>Init int:  896.93</t>
  </si>
  <si>
    <t>PressAdjust: L: 840.6  R: 867.8 ( Master Capillary )</t>
  </si>
  <si>
    <t>11,NBS19_11,2g,RR22-4,2g,-4.500,1.871,0.019,-14.050,-2.454,0.029,Kiel IV Adriana22RR,1,07/30/15,13:47:00,NBS19_11_cv_2g_RR22-4-0000.did, Acid: 70.0 [°C]</t>
  </si>
  <si>
    <t>Total CO2 :  554</t>
  </si>
  <si>
    <t>CO2 after Exp.:  554</t>
  </si>
  <si>
    <t>RR skipped 10.1 (50%)</t>
  </si>
  <si>
    <t>Init int: 1580.60</t>
  </si>
  <si>
    <t>PressAdjust: L: 1413.0  R: 1315.8 ( Master Capillary )</t>
  </si>
  <si>
    <t>12,NBS19_12,2g,RR22-5,2g,-4.500,1.840,0.020,-14.050,-2.702,0.055,Kiel IV Adriana22RR,1,07/30/15,14:18:36,NBS19_12_cv_2g_RR22-5-0000.did, Acid: 70.0 [°C]</t>
  </si>
  <si>
    <t xml:space="preserve"> LeakRate [µBar/Min]:  113 </t>
  </si>
  <si>
    <t>Total CO2 :  593</t>
  </si>
  <si>
    <t>CO2 after Exp.:  593</t>
  </si>
  <si>
    <t>RR skipped 9.8 (50%)</t>
  </si>
  <si>
    <t>VM1 aftr Trfr.:   30</t>
  </si>
  <si>
    <t>Background: 1.58 mV</t>
  </si>
  <si>
    <t>1.68 mV</t>
  </si>
  <si>
    <t>2.14 mV (Thermo)</t>
  </si>
  <si>
    <t>Init int: 1821.51</t>
  </si>
  <si>
    <t>PressAdjust: L: 1582.5  R: 1489.7 ( Master Capillary )</t>
  </si>
  <si>
    <t xml:space="preserve"> P no Acid :   48</t>
  </si>
  <si>
    <t>VM1 aftr Trfr.:   37</t>
  </si>
  <si>
    <t>14,NBS19_14,2g,RR22-2,2g,-4.500,1.844,0.012,-14.050,-2.499,0.031,Kiel IV Adriana22RR,1,07/30/15,15:24:05,NBS19_14_cv_2g_RR22-2-0000.did, Acid: 70.0 [°C]</t>
  </si>
  <si>
    <t>Total CO2 :  621</t>
  </si>
  <si>
    <t>CO2 after Exp.:  621</t>
  </si>
  <si>
    <t>2.09 mV (Thermo)</t>
  </si>
  <si>
    <t>Init int: 1962.64</t>
  </si>
  <si>
    <t>PressAdjust: L: 1704.9  R: 1590.6 ( Master Capillary )</t>
  </si>
  <si>
    <t>15,NBS19_15,2g,RR22-3,2g,-4.500,1.686,0.013,-14.050,-2.792,0.014,Kiel IV Adriana22RR,1,07/30/15,15:55:48,NBS19_15_cv_2g_RR22-3-0000.did, Acid: 70.0 [°C]</t>
  </si>
  <si>
    <t>Total CO2 :  618</t>
  </si>
  <si>
    <t>CO2 after Exp.:  618</t>
  </si>
  <si>
    <t>RR skipped 10.2 (50%)</t>
  </si>
  <si>
    <t>1.76 mV</t>
  </si>
  <si>
    <t>Init int: 2070.31</t>
  </si>
  <si>
    <t>PressAdjust: L: 1876.8  R: 1746.1 ( Master Capillary )</t>
  </si>
  <si>
    <t>16,NBS19_16,2g,RR22-4,2g,-4.500,1.823,0.005,-14.050,-2.407,0.033,Kiel IV Adriana22RR,1,07/30/15,16:29:27,NBS19_16_cv_2g_RR22-4-0000.did, Acid: 69.9 [°C]</t>
  </si>
  <si>
    <t xml:space="preserve"> LeakRate [µBar/Min]:  177 </t>
  </si>
  <si>
    <t>Total CO2 :  568</t>
  </si>
  <si>
    <t>CO2 after Exp.:  568</t>
  </si>
  <si>
    <t>RR skipped 9.9 (50%)</t>
  </si>
  <si>
    <t>Background: 1.68 mV</t>
  </si>
  <si>
    <t>1.80 mV</t>
  </si>
  <si>
    <t>2.28 mV (Thermo)</t>
  </si>
  <si>
    <t>Init int: 1576.87</t>
  </si>
  <si>
    <t>PressAdjust: L: 1400.2  R: 1303.0 ( Master Capillary )</t>
  </si>
  <si>
    <t>d18O</t>
  </si>
  <si>
    <t>d13C</t>
  </si>
  <si>
    <t>17,NBS19_17,2g,RR22-5,2g,-4.500,1.848,0.011,-14.050,-2.628,0.023,Kiel IV Adriana22RR,1,07/30/15,17:01:49,NBS19_17_cv_2g_RR22-5-0000.did, Acid: 70.0 [°C]</t>
  </si>
  <si>
    <t xml:space="preserve"> LeakRate [µBar/Min]:  297 </t>
  </si>
  <si>
    <t>Total CO2 :  660</t>
  </si>
  <si>
    <t>CO2 after Exp.:  660</t>
  </si>
  <si>
    <t>RR skipped 9.6 (50%)</t>
  </si>
  <si>
    <t>Background: 1.63 mV</t>
  </si>
  <si>
    <t>2.20 mV (Thermo)</t>
  </si>
  <si>
    <t>Init int: 2249.42</t>
  </si>
  <si>
    <t>PressAdjust: L: 1970.0  R: 1829.9 ( Master Capillary )</t>
  </si>
  <si>
    <t>18,NBS19_18,2g,RR22-6,2g,-4.500,1.855,0.009,-14.050,-2.518,0.027,Kiel IV Adriana22RR,1,07/30/15,17:34:57,NBS19_18_cv_2g_RR22-6-0000.did, Acid: 69.9 [°C]</t>
  </si>
  <si>
    <t xml:space="preserve"> LeakRate [µBar/Min]:  163 </t>
  </si>
  <si>
    <t>Total CO2 :  636</t>
  </si>
  <si>
    <t>CO2 after Exp.:  636</t>
  </si>
  <si>
    <t>RR skipped 9.4 (50%)</t>
  </si>
  <si>
    <t>Background: 1.69 mV</t>
  </si>
  <si>
    <t>2.30 mV (Thermo)</t>
  </si>
  <si>
    <t>Init int: 1873.40</t>
  </si>
  <si>
    <t>PressAdjust: L: 1664.8  R: 1553.9 ( Master Capillary )</t>
  </si>
  <si>
    <t>19,NBS19_19,3g,RR30-1,3g,-4.500,1.882,0.010,-14.050,-2.409,0.021,Kiel IV Adriana,1,07/30/15,18:11:22,NBS19_19_cv_3g_RR30-1-0000.did, Acid: 70.0 [°C]</t>
  </si>
  <si>
    <t>Total CO2 :  760</t>
  </si>
  <si>
    <t>CO2 after Exp.:  760</t>
  </si>
  <si>
    <t>RR pressure 7.0 (100%)</t>
  </si>
  <si>
    <t>RR pressure 14.5 (50%)</t>
  </si>
  <si>
    <t>Background: 1.77 mV</t>
  </si>
  <si>
    <t>1.89 mV</t>
  </si>
  <si>
    <t>2.37 mV (Thermo)</t>
  </si>
  <si>
    <t>Init int: 2967.32</t>
  </si>
  <si>
    <t>PressAdjust: L: 2593.3  R: 2411.9 ( Master Capillary )</t>
  </si>
  <si>
    <t>20,NBS19_20,3g,RR30-2,3g,-4.500,1.867,0.006,-14.050,-2.431,0.011,Kiel IV Adriana,1,07/30/15,18:41:55,NBS19_20_cv_3g_RR30-2-0000.did, Acid: 69.9 [°C]</t>
  </si>
  <si>
    <t xml:space="preserve"> LeakRate [µBar/Min]:  234 </t>
  </si>
  <si>
    <t>Total CO2 :  728</t>
  </si>
  <si>
    <t>CO2 after Exp.:  728</t>
  </si>
  <si>
    <t>RR skipped 14.1 (50%)</t>
  </si>
  <si>
    <t>Background: 1.91 mV</t>
  </si>
  <si>
    <t>2.04 mV</t>
  </si>
  <si>
    <t>2.59 mV (Thermo)</t>
  </si>
  <si>
    <t>Init int: 2588.82</t>
  </si>
  <si>
    <t>PressAdjust: L: 2272.1  R: 2112.7 ( Master Capillary )</t>
  </si>
  <si>
    <t>21,NBS19_21,3g,RR30-3,3g,-4.500,1.841,0.008,-14.050,-2.497,0.022,Kiel IV Adriana,1,07/30/15,19:14:22,NBS19_21_cv_3g_RR30-3-0000.did, Acid: 70.1 [°C]</t>
  </si>
  <si>
    <t>Total CO2 :  823</t>
  </si>
  <si>
    <t>CO2 after Exp.:  823</t>
  </si>
  <si>
    <t>RR skipped 13.6 (50%)</t>
  </si>
  <si>
    <t>Background: 1.92 mV</t>
  </si>
  <si>
    <t>2.06 mV</t>
  </si>
  <si>
    <t>2.65 mV (Thermo)</t>
  </si>
  <si>
    <t>Init int: 3470.91</t>
  </si>
  <si>
    <t>PressAdjust: L: 3082.5  R: 2867.9 ( Master Capillary )</t>
  </si>
  <si>
    <t>22,NBS19_22,3g,RR30-4,3g,-4.500,1.817,0.012,-14.050,-2.608,0.028,Kiel IV Adriana,1,07/30/15,19:45:37,NBS19_22_cv_3g_RR30-4-0000.did, Acid: 70.0 [°C]</t>
  </si>
  <si>
    <t xml:space="preserve"> LeakRate [µBar/Min]:  170 </t>
  </si>
  <si>
    <t>Total CO2 :  714</t>
  </si>
  <si>
    <t>CO2 after Exp.:  714</t>
  </si>
  <si>
    <t>RR skipped 12.9 (50%)</t>
  </si>
  <si>
    <t>Background: 2.02 mV</t>
  </si>
  <si>
    <t>2.17 mV</t>
  </si>
  <si>
    <t>2.78 mV (Thermo)</t>
  </si>
  <si>
    <t>Init int: 2395.48</t>
  </si>
  <si>
    <t>PressAdjust: L: 2100.5  R: 1953.7 ( Master Capillary )</t>
  </si>
  <si>
    <t>23,NBS19_23,3g,RR30-5,3g,-4.500,1.833,0.013,-14.050,-2.431,0.019,Kiel IV Adriana,1,07/30/15,20:18:52,NBS19_23_cv_3g_RR30-5-0000.did, Acid: 70.0 [°C]</t>
  </si>
  <si>
    <t>RR skipped 12.8 (50%)</t>
  </si>
  <si>
    <t>VM1 aftr Trfr.:   48</t>
  </si>
  <si>
    <t>Background: 1.95 mV</t>
  </si>
  <si>
    <t>2.07 mV</t>
  </si>
  <si>
    <t>2.66 mV (Thermo)</t>
  </si>
  <si>
    <t>Init int: 3492.81</t>
  </si>
  <si>
    <t>PressAdjust: L: 3086.4  R: 2872.4 ( Master Capillary )</t>
  </si>
  <si>
    <t>24,NBS19_24,3g,RR30-6,3g,-4.500,1.825,0.007,-14.050,-2.460,0.028,Kiel IV Adriana,1,07/30/15,20:48:47,NBS19_24_cv_3g_RR30-6-0000.did, Acid: 70.0 [°C]</t>
  </si>
  <si>
    <t xml:space="preserve"> LeakRate [µBar/Min]:  135 </t>
  </si>
  <si>
    <t>Total CO2 :  742</t>
  </si>
  <si>
    <t>CO2 after Exp.:  745</t>
  </si>
  <si>
    <t>RR skipped 12.0 (50%)</t>
  </si>
  <si>
    <t>Background: 2.03 mV</t>
  </si>
  <si>
    <t>2.18 mV</t>
  </si>
  <si>
    <t>2.77 mV (Thermo)</t>
  </si>
  <si>
    <t>Init int: 2649.76</t>
  </si>
  <si>
    <t>PressAdjust: L: 2397.4  R: 2231.0 ( Master Capillary )</t>
  </si>
  <si>
    <t>25,NBS19_25,3g,RR30-1,3g,-4.500,1.858,0.011,-14.050,-2.461,0.014,Kiel IV Adriana,1,07/30/15,21:24:08,NBS19_25_cv_3g_RR30-1-0000.did, Acid: 70.0 [°C]</t>
  </si>
  <si>
    <t>Total CO2 :  827</t>
  </si>
  <si>
    <t>CO2 after Exp.:  827</t>
  </si>
  <si>
    <t>RR pressure 6.9 (100%)</t>
  </si>
  <si>
    <t>Background: 1.97 mV</t>
  </si>
  <si>
    <t>2.11 mV</t>
  </si>
  <si>
    <t>2.69 mV (Thermo)</t>
  </si>
  <si>
    <t>Init int: 3509.07</t>
  </si>
  <si>
    <t>PressAdjust: L: 3110.9  R: 2893.2 ( Master Capillary )</t>
  </si>
  <si>
    <t>26,NBS19_26,3g,RR30-2,3g,-4.500,1.772,0.020,-14.050,-2.736,0.016,Kiel IV Adriana,1,07/30/15,21:56:22,NBS19_26_cv_3g_RR30-2-0000.did, Acid: 70.1 [°C]</t>
  </si>
  <si>
    <t>Total CO2 :  752</t>
  </si>
  <si>
    <t>CO2 after Exp.:  756</t>
  </si>
  <si>
    <t>RR skipped 14.0 (50%)</t>
  </si>
  <si>
    <t>Background: 2.08 mV</t>
  </si>
  <si>
    <t>2.23 mV</t>
  </si>
  <si>
    <t>2.85 mV (Thermo)</t>
  </si>
  <si>
    <t>Init int: 2735.24</t>
  </si>
  <si>
    <t>PressAdjust: L: 2365.1  R: 2198.9 ( Master Capillary )</t>
  </si>
  <si>
    <t>27,NBS19_27,4g,RR30-3,4g,-4.500,1.771,0.006,-14.050,-2.584,0.041,Kiel IV Adriana,1,07/30/15,22:28:30,NBS19_27_cv_4g_RR30-3-0000.did, Acid: 70.0 [°C]</t>
  </si>
  <si>
    <t>Total CO2 :  880</t>
  </si>
  <si>
    <t>CO2 after Exp.:  880</t>
  </si>
  <si>
    <t>2.75 mV (Thermo)</t>
  </si>
  <si>
    <t>Init int: 3965.34</t>
  </si>
  <si>
    <t>PressAdjust: L: 3585.3  R: 3335.1 ( Master Capillary )</t>
  </si>
  <si>
    <t>28,NBS19_28,4g,RR30-4,4g,-4.500,1.701,0.019,-14.050,-2.479,0.017,Kiel IV Adriana,1,07/30/15,23:01:50,NBS19_28_cv_4g_RR30-4-0000.did, Acid: 70.0 [°C]</t>
  </si>
  <si>
    <t>Total CO2 :  891</t>
  </si>
  <si>
    <t>CO2 after Exp.:  891</t>
  </si>
  <si>
    <t>VM1 aftr Trfr.:  105</t>
  </si>
  <si>
    <t>Background: 2.14 mV</t>
  </si>
  <si>
    <t>2.29 mV</t>
  </si>
  <si>
    <t>2.92 mV (Thermo)</t>
  </si>
  <si>
    <t>Init int: 4012.50</t>
  </si>
  <si>
    <t>PressAdjust: L: 3603.7  R: 3348.5 ( Master Capillary )</t>
  </si>
  <si>
    <t>Background: 2.19 mV</t>
  </si>
  <si>
    <t>30,NBS19_30,4g,RR30-1,4g,-4.500,1.796,0.014,-14.050,-2.493,0.015,Kiel IV Adriana,1,07/31/15,00:09:57,NBS19_30_cv_4g_RR30-1-0000.did, Acid: 70.1 [°C]</t>
  </si>
  <si>
    <t>Total CO2 :  876</t>
  </si>
  <si>
    <t>CO2 after Exp.:  876</t>
  </si>
  <si>
    <t>RR pressure 14.4 (50%)</t>
  </si>
  <si>
    <t>VM1 aftr Trfr.:   62</t>
  </si>
  <si>
    <t>Background: 1.94 mV</t>
  </si>
  <si>
    <t>2.62 mV (Thermo)</t>
  </si>
  <si>
    <t>Init int: 4099.12</t>
  </si>
  <si>
    <t>PressAdjust: L: 3673.8  R: 3414.6 ( Master Capillary )</t>
  </si>
  <si>
    <t>31,NBS19_31,4g,RR30-2,4g,-4.500,1.836,0.004,-14.050,-2.455,0.023,Kiel IV Adriana,1,07/31/15,00:43:59,NBS19_31_cv_4g_RR30-2-0000.did, Acid: 70.0 [°C]</t>
  </si>
  <si>
    <t xml:space="preserve"> LeakRate [µBar/Min]:  255 </t>
  </si>
  <si>
    <t>Total CO2 :  919</t>
  </si>
  <si>
    <t>CO2 after Exp.:  919</t>
  </si>
  <si>
    <t>RR skipped 13.5 (50%)</t>
  </si>
  <si>
    <t>2.34 mV</t>
  </si>
  <si>
    <t>2.99 mV (Thermo)</t>
  </si>
  <si>
    <t>Init int: 4548.44</t>
  </si>
  <si>
    <t>PressAdjust: L: 4059.0  R: 3772.0 ( Master Capillary )</t>
  </si>
  <si>
    <t>32,NBS19_32,4g,RR30-3,4g,-4.500,1.848,0.011,-14.050,-2.499,0.022,Kiel IV Adriana,1,07/31/15,01:16:10,NBS19_32_cv_4g_RR30-3-0000.did, Acid: 70.1 [°C]</t>
  </si>
  <si>
    <t>Total CO2 :  855</t>
  </si>
  <si>
    <t>CO2 after Exp.:  855</t>
  </si>
  <si>
    <t>Background: 2.25 mV</t>
  </si>
  <si>
    <t>2.41 mV</t>
  </si>
  <si>
    <t>3.11 mV (Thermo)</t>
  </si>
  <si>
    <t>Init int: 3813.27</t>
  </si>
  <si>
    <t>PressAdjust: L: 3331.9  R: 3095.1 ( Master Capillary )</t>
  </si>
  <si>
    <t>33,NBS19_33,4g,RR30-4,4g,-4.500,1.812,0.011,-14.050,-2.552,0.018,Kiel IV Adriana,1,07/31/15,01:49:02,NBS19_33_cv_4g_RR30-4-0000.did, Acid: 70.0 [°C]</t>
  </si>
  <si>
    <t xml:space="preserve"> LeakRate [µBar/Min]:  319 </t>
  </si>
  <si>
    <t>Total CO2 :  852</t>
  </si>
  <si>
    <t>CO2 after Exp.:  852</t>
  </si>
  <si>
    <t>RR skipped 12.4 (50%)</t>
  </si>
  <si>
    <t>Background: 2.23 mV</t>
  </si>
  <si>
    <t>2.37 mV</t>
  </si>
  <si>
    <t>3.04 mV (Thermo)</t>
  </si>
  <si>
    <t>Init int: 3677.67</t>
  </si>
  <si>
    <t>PressAdjust: L: 3253.3  R: 3025.5 ( Master Capillary )</t>
  </si>
  <si>
    <t>1g</t>
  </si>
  <si>
    <t>2g</t>
  </si>
  <si>
    <t>3g</t>
  </si>
  <si>
    <t>Excluido valores anômalos</t>
  </si>
  <si>
    <t>média</t>
  </si>
  <si>
    <t>sd</t>
  </si>
  <si>
    <t>n</t>
  </si>
  <si>
    <t>Corrida</t>
  </si>
  <si>
    <t>Massa</t>
  </si>
  <si>
    <t>08/03/15</t>
  </si>
  <si>
    <t>09:51:16</t>
  </si>
  <si>
    <t>NBS19_01_cv_3g_RR30-0000.did</t>
  </si>
  <si>
    <t>Acid: 70.0 (°C);LeakRate (µBar/Min):  255 ; 0 xtra drops;P no Acid :   41;P gases:   97;Total CO2 :  731;# Exp.:  0;CO2 after Exp.:  731;RR pressure 7.0 (100%);RR pressure 14.7 (50%);VM1 aftr Trfr.:   34;PC (62156);Background: 1.53 mV,1.60 mV,2.10 mV (The</t>
  </si>
  <si>
    <t>10:21:54</t>
  </si>
  <si>
    <t>NBS19_02_cv_3g_RR30-0000.did</t>
  </si>
  <si>
    <t xml:space="preserve"> Acid: 69.9 (°C); LeakRate (µBar/Min):   71 ;  0 xtra drops; P no Acid :   51;Total CO2 :  529;# Exp.:  0;CO2 after Exp.:  529;RR skipped 14.2 (50%);VM1 aftr Trfr.:   30;PC (62156);Background: 1.75 mV,1.85 mV,2.42 mV (Thermo);Init int: 1408.49;PressAdjust</t>
  </si>
  <si>
    <t>NBS19_3</t>
  </si>
  <si>
    <t>10:55:01</t>
  </si>
  <si>
    <t>NBS19_3_cv_3g_RR30-0000.did</t>
  </si>
  <si>
    <t xml:space="preserve"> Acid: 70.0 (°C); LeakRate (µBar/Min):  297 ;  0 xtra drops; P no Acid :   34;Total CO2 :  710;# Exp.:  0;CO2 after Exp.:  710;RR skipped 13.9 (50%);VM1 aftr Trfr.:   30;PC (62156);Background: 1.71 mV,1.80 mV,2.33 mV (Thermo);Init int: 2777.25;PressAdjust</t>
  </si>
  <si>
    <t>NBS19_4</t>
  </si>
  <si>
    <t>11:27:59</t>
  </si>
  <si>
    <t>NBS19_4_cv_3g_RR30-0000.did</t>
  </si>
  <si>
    <t xml:space="preserve"> Acid: 70.1 (°C); LeakRate (µBar/Min):  149 ;  0 xtra drops; P no Acid :   37;Total CO2 :  671;# Exp.:  0;CO2 after Exp.:  671;RR skipped 13.6 (50%);VM1 aftr Trfr.:   30;PC (62156);Background: 1.83 mV,1.92 mV,2.52 mV (Thermo);Init int: 2438.64;PressAdjust</t>
  </si>
  <si>
    <t>NBS19_5</t>
  </si>
  <si>
    <t>12:01:05</t>
  </si>
  <si>
    <t>NBS19_5_cv_3g_RR30-0000.did</t>
  </si>
  <si>
    <t xml:space="preserve"> Acid: 69.9 (°C); LeakRate (µBar/Min):  326 ;  0 xtra drops; P no Acid :   30;Total CO2 :  678;# Exp.:  0;CO2 after Exp.:  678;RR skipped 13.0 (50%);VM1 aftr Trfr.:   37;PC (62146);Background: 1.85 mV,1.94 mV,2.54 mV (Thermo);Init int: 2354.08;PressAdjust</t>
  </si>
  <si>
    <t>08/04/15</t>
  </si>
  <si>
    <t>11:14:54</t>
  </si>
  <si>
    <t>NBS19_06_cv_3g_RR25-0000.did</t>
  </si>
  <si>
    <t>Acid: 70.1 (°C);LeakRate (µBar/Min):  418 ; 0 xtra drops;P no Acid :   37;P gases:   97;Total CO2 :  813;# Exp.:  0;CO2 after Exp.:  813;RR pressure 5.8 (100%);RR pressure 12.1 (50%);VM1 aftr Trfr.:   34;PC (62146);Background: 2.24 mV,2.37 mV,3.09 mV (The</t>
  </si>
  <si>
    <t>NBS19_7</t>
  </si>
  <si>
    <t>13:10:45</t>
  </si>
  <si>
    <t>NBS19_7_cv_3g_RR30-0000.did</t>
  </si>
  <si>
    <t xml:space="preserve"> Acid: 70.1 (°C); LeakRate (µBar/Min):  262 ;  0 xtra drops; P no Acid :   41;Total CO2 :  721;# Exp.:  0;CO2 after Exp.:  721;RR skipped 14.1 (50%);VM1 aftr Trfr.:   41;PC (62156);Background: 1.75 mV,1.85 mV,2.38 mV (Thermo);Init int: 2482.48;PressAdjust</t>
  </si>
  <si>
    <t>NBS19_8</t>
  </si>
  <si>
    <t>13:41:11</t>
  </si>
  <si>
    <t>NBS19_8_cv_3g_RR30-0000.did</t>
  </si>
  <si>
    <t xml:space="preserve"> Acid: 70.1 (°C); LeakRate (µBar/Min):  184 ;  0 xtra drops; P no Acid :   51;Total CO2 :  671;# Exp.:  0;CO2 after Exp.:  671;RR skipped 13.8 (50%);VM1 aftr Trfr.:   34;PC (62156);Background: 1.86 mV,1.97 mV,2.56 mV (Thermo);Init int: 2312.92;PressAdjust</t>
  </si>
  <si>
    <t>NBS19_9</t>
  </si>
  <si>
    <t>14:13:37</t>
  </si>
  <si>
    <t>NBS19_9_cv_3g_RR30-0000.did</t>
  </si>
  <si>
    <t xml:space="preserve"> Acid: 70.0 (°C); LeakRate (µBar/Min):  283 ;  0 xtra drops; P no Acid :   41;Total CO2 :  710;# Exp.:  0;CO2 after Exp.:  710;RR skipped 13.6 (50%);VM1 aftr Trfr.:   41;PC (62156);Background: 1.88 mV,1.97 mV,2.59 mV (Thermo);Init int: 2521.91;PressAdjust</t>
  </si>
  <si>
    <t>14:45:17</t>
  </si>
  <si>
    <t>NBS19_10_cv_3g_RR30-0000.did</t>
  </si>
  <si>
    <t xml:space="preserve"> Acid: 70.0 (°C); LeakRate (µBar/Min):  142 ;  0 xtra drops; P no Acid :   34;Total CO2 :  745;# Exp.:  0;CO2 after Exp.:  745;RR skipped 13.2 (50%);VM1 aftr Trfr.:   34;PC (62156);Background: 1.91 mV,2.02 mV,2.62 mV (Thermo);Init int: 2964.13;PressAdjust</t>
  </si>
  <si>
    <t>15:21:16</t>
  </si>
  <si>
    <t>NBS19_11_cv_4g_RR30-0000.did</t>
  </si>
  <si>
    <t xml:space="preserve"> Acid: 69.9 (°C); LeakRate (µBar/Min):  262 ;  0 xtra drops; P no Acid :   48;Total CO2 :  908;# Exp.:  0;CO2 after Exp.:  908;RR pressure 6.9 (100%);RR pressure 14.5 (50%);VM1 aftr Trfr.:   37;PC (62156);Background: 1.92 mV,2.02 mV,2.63 mV (Thermo);Init</t>
  </si>
  <si>
    <t>15:54:07</t>
  </si>
  <si>
    <t>NBS19_12_cv_4g_RR30-0000.did</t>
  </si>
  <si>
    <t xml:space="preserve"> Acid: 70.0 (°C); LeakRate (µBar/Min):  170 ;  0 xtra drops; P no Acid :   44;Total CO2 :  845;# Exp.:  0;CO2 after Exp.:  845;RR skipped 13.5 (50%);VM1 aftr Trfr.:   37;PC (62156);Background: 2.22 mV,2.35 mV,3.05 mV (Thermo);Init int: 4035.47;PressAdjust</t>
  </si>
  <si>
    <t>16:28:00</t>
  </si>
  <si>
    <t>NBS19_13_cv_4g_RR30-0000.did</t>
  </si>
  <si>
    <t xml:space="preserve"> Acid: 70.0 (°C); LeakRate (µBar/Min):  269 ;  0 xtra drops; P no Acid :   48;Total CO2 :  894;# Exp.:  0;CO2 after Exp.:  898;RR skipped 13.0 (50%);VM1 aftr Trfr.:   37;PC (62156);Background: 2.21 mV,2.34 mV,3.05 mV (Thermo);Init int: 4700.37;PressAdjust</t>
  </si>
  <si>
    <t>17:00:09</t>
  </si>
  <si>
    <t>NBS19_14_cv_4g_RR30-0000.did</t>
  </si>
  <si>
    <t xml:space="preserve"> Acid: 70.0 (°C); LeakRate (µBar/Min):  135 ;  0 xtra drops; P no Acid :   37;Total CO2 :  816;# Exp.:  0;CO2 after Exp.:  816;RR skipped 12.5 (50%);VM1 aftr Trfr.:   30;PC (62156);Background: 2.26 mV,2.40 mV,3.14 mV (Thermo);Init int: 3735.43;PressAdjust</t>
  </si>
  <si>
    <t>17:33:28</t>
  </si>
  <si>
    <t>NBS19_15_cv_4g_RR30-0000.did</t>
  </si>
  <si>
    <t xml:space="preserve"> Acid: 70.0 (°C); LeakRate (µBar/Min):  290 ;  0 xtra drops; P no Acid :   66;Total CO2 :  873;# Exp.:  0;CO2 after Exp.:  873;RR skipped 11.9 (50%);VM1 aftr Trfr.:   30;PC (62156);Background: 2.22 mV,2.35 mV,3.04 mV (Thermo);Init int: 4962.98;PressAdjust</t>
  </si>
  <si>
    <t>18:09:38</t>
  </si>
  <si>
    <t>NBS19_16_cv_4g_RR30-0000.did</t>
  </si>
  <si>
    <t xml:space="preserve"> Acid: 70.0 (°C); LeakRate (µBar/Min):  198 ;  0 xtra drops; P no Acid :   30;Total CO2 :  745;# Exp.:  0;CO2 after Exp.:  745;RR pressure 7.0 (100%);RR pressure 14.6 (50%);VM1 aftr Trfr.:   58;PC (62146);Background: 2.27 mV,2.41 mV,3.10 mV (Thermo);Init</t>
  </si>
  <si>
    <t>18:42:08</t>
  </si>
  <si>
    <t>NBS19_17_cv_4g_RR30-0000.did</t>
  </si>
  <si>
    <t xml:space="preserve"> Acid: 70.0 (°C); LeakRate (µBar/Min):  312 ;  0 xtra drops; P no Acid :   55;Total CO2 :  873;# Exp.:  0;CO2 after Exp.:  873;RR skipped 14.0 (50%);VM1 aftr Trfr.:   30;PC (62156);Background: 2.20 mV,2.34 mV,3.03 mV (Thermo);Init int: 4485.99;PressAdjust</t>
  </si>
  <si>
    <t>19:14:08</t>
  </si>
  <si>
    <t>NBS19_18_cv_4g_RR30-0000.did</t>
  </si>
  <si>
    <t xml:space="preserve"> Acid: 70.1 (°C); LeakRate (µBar/Min):  149 ;  0 xtra drops; P no Acid :   30;Total CO2 :  767;# Exp.:  0;CO2 after Exp.:  767;RR skipped 13.2 (50%);VM1 aftr Trfr.:   27;PC (62156);Background: 2.32 mV,2.44 mV,3.18 mV (Thermo);Init int: 3269.80;PressAdjust</t>
  </si>
  <si>
    <t>19:47:52</t>
  </si>
  <si>
    <t>NBS19_19_cv_4g_RR30-0000.did</t>
  </si>
  <si>
    <t xml:space="preserve"> Acid: 69.9 (°C); LeakRate (µBar/Min):  312 ;  0 xtra drops; P no Acid :   48;Total CO2 :  756;# Exp.:  0;CO2 after Exp.:  756;RR skipped 12.8 (50%);VM1 aftr Trfr.:   34;PC (62156);Background: 2.24 mV,2.38 mV,3.08 mV (Thermo);Init int: 3258.59;PressAdjust</t>
  </si>
  <si>
    <t>20:20:56</t>
  </si>
  <si>
    <t>NBS19_20_cv_4g_RR30-0000.did</t>
  </si>
  <si>
    <t xml:space="preserve"> Acid: 69.9 (°C); LeakRate (µBar/Min):  127 ;  0 xtra drops; P no Acid :   34;Total CO2 :  898;# Exp.:  0;CO2 after Exp.:  898;RR skipped 12.3 (50%);VM1 aftr Trfr.:   73;PC (62156);Background: 2.20 mV,2.34 mV,3.05 mV (Thermo);Init int: 5402.42;PressAdjust</t>
  </si>
  <si>
    <t>5g</t>
  </si>
  <si>
    <t>Kiel IV Adriana35RR</t>
  </si>
  <si>
    <t>20:57:06</t>
  </si>
  <si>
    <t>NBS19_21_cv_5g_RR35-0000.did</t>
  </si>
  <si>
    <t xml:space="preserve"> Acid: 69.9 (°C); LeakRate (µBar/Min):  326 ;  0 xtra drops; P no Acid :   44;Total CO2 :  887;# Exp.:  0;CO2 after Exp.:  887;RR pressure 8.2 (100%);RR pressure 17.0 (50%);VM1 aftr Trfr.:   34;PC (62156);Background: 2.36 mV,2.52 mV,3.30 mV (Thermo);Init</t>
  </si>
  <si>
    <t>21:30:08</t>
  </si>
  <si>
    <t>NBS19_22_cv_5g_RR35-0000.did</t>
  </si>
  <si>
    <t xml:space="preserve"> Acid: 70.0 (°C); LeakRate (µBar/Min):  142 ;  0 xtra drops; P no Acid :   34;Total CO2 :  901;# Exp.:  0;CO2 after Exp.:  901;RR skipped 15.9 (50%);VM1 aftr Trfr.:   41;PC (62156);Background: 2.50 mV,2.67 mV,3.46 mV (Thermo);Init int: 5306.70;PressAdjust</t>
  </si>
  <si>
    <t>22:03:21</t>
  </si>
  <si>
    <t>NBS19_23_cv_5g_RR35-0000.did</t>
  </si>
  <si>
    <t xml:space="preserve"> Acid: 70.1 (°C); LeakRate (µBar/Min):  333 ;  0 xtra drops; P no Acid :   41;Total CO2 :  965;# Exp.:  0;CO2 after Exp.:  965;RR skipped 15.2 (50%);VM1 aftr Trfr.:   37;PC (62156);Background: 2.57 mV,2.75 mV,3.57 mV (Thermo);Init int: 6327.90;PressAdjust</t>
  </si>
  <si>
    <t>22:35:53</t>
  </si>
  <si>
    <t>NBS19_24_cv_5g_RR35-0000.did</t>
  </si>
  <si>
    <t xml:space="preserve"> Acid: 70.1 (°C); LeakRate (µBar/Min):  142 ;  0 xtra drops; P no Acid :   41;Total CO2 :  919;# Exp.:  0;CO2 after Exp.:  919;RR skipped 14.5 (50%);VM1 aftr Trfr.:   37;PC (62156);Background: 2.64 mV,2.82 mV,3.66 mV (Thermo);Init int: 5331.25;PressAdjust</t>
  </si>
  <si>
    <t>23:09:23</t>
  </si>
  <si>
    <t>NBS19_25_cv_5g_RR35-0000.did</t>
  </si>
  <si>
    <t xml:space="preserve"> Acid: 70.1 (°C); LeakRate (µBar/Min):  276 ;  0 xtra drops; P no Acid :   48;Total CO2 :  976;# Exp.:  0;CO2 after Exp.:  976;RR skipped 13.9 (50%);VM1 aftr Trfr.:   41;PC (62156);Background: 2.62 mV,2.79 mV,3.64 mV (Thermo);Init int: 6036.16;PressAdjust</t>
  </si>
  <si>
    <t>23:44:45</t>
  </si>
  <si>
    <t>NBS19_26_cv_5g_RR35-0000.did</t>
  </si>
  <si>
    <t xml:space="preserve"> Acid: 70.1 (°C); LeakRate (µBar/Min):  184 ;  0 xtra drops; P no Acid :   41;Total CO2 :  958;# Exp.:  0;CO2 after Exp.:  958;RR pressure 8.2 (100%);RR pressure 17.0 (50%);VM1 aftr Trfr.:   41;PC (62146);Background: 2.59 mV,2.76 mV,3.57 mV (Thermo);Init</t>
  </si>
  <si>
    <t>00:16:51</t>
  </si>
  <si>
    <t>NBS19_27_cv_5g_RR35-0000.did</t>
  </si>
  <si>
    <t xml:space="preserve"> Acid: 70.0 (°C); LeakRate (µBar/Min):  467 ;  0 xtra drops; P no Acid :   55;Total CO2 :  947;# Exp.:  0;CO2 after Exp.:  947;RR skipped 15.8 (50%);VM1 aftr Trfr.:   41;PC (62156);Background: 2.71 mV,2.91 mV,3.76 mV (Thermo);Init int: 5487.20;PressAdjust</t>
  </si>
  <si>
    <t>00:49:56</t>
  </si>
  <si>
    <t>NBS19_28_cv_5g_RR35-0000.did</t>
  </si>
  <si>
    <t xml:space="preserve"> Acid: 70.1 (°C); LeakRate (µBar/Min):  220 ;  0 xtra drops; P no Acid :   44;Total CO2 :  944;# Exp.:  0;CO2 after Exp.:  944;RR skipped 15.1 (50%);VM1 aftr Trfr.:   44;PC (62156);Background: 2.69 mV,2.87 mV,3.69 mV (Thermo);Init int: 5278.24;PressAdjust</t>
  </si>
  <si>
    <t>01:21:55</t>
  </si>
  <si>
    <t>NBS19_29_cv_5g_RR35-0000.did</t>
  </si>
  <si>
    <t xml:space="preserve"> Acid: 70.0 (°C); LeakRate (µBar/Min):  319 ;  0 xtra drops; P no Acid :   44;Total CO2 :  968;# Exp.:  0;CO2 after Exp.:  968;RR skipped 14.4 (50%);VM1 aftr Trfr.:   41;PC (62156);Background: 2.65 mV,2.83 mV,3.67 mV (Thermo);Init int: 5949.89;PressAdjust</t>
  </si>
  <si>
    <t>01:55:17</t>
  </si>
  <si>
    <t>NBS19_30_cv_5g_RR35-0000.did</t>
  </si>
  <si>
    <t xml:space="preserve"> Acid: 70.0 (°C); LeakRate (µBar/Min):  170 ;  0 xtra drops; P no Acid :   58;Total CO2 :  944;# Exp.:  0;CO2 after Exp.:  944;RR skipped 13.7 (50%);VM1 aftr Trfr.:   41;PC (62146);Background: 2.71 mV,2.90 mV,3.73 mV (Thermo);Init int: 5227.04;PressAdjust</t>
  </si>
  <si>
    <t>Todas corridas</t>
  </si>
  <si>
    <t>P exp</t>
  </si>
  <si>
    <t>massa ug</t>
  </si>
  <si>
    <t>08/12/15</t>
  </si>
  <si>
    <t>10:45:52</t>
  </si>
  <si>
    <t>NBS19_01_cv_4g_RR35-0000.did</t>
  </si>
  <si>
    <t>Acid: 70.0 (°C);LeakRate (µBar/Min):  921 ; 0 xtra drops;P no Acid :   27;P gases:   94;Total CO2 :  848;# Exp.:  0;CO2 after Exp.:  848;RR pressure 8.2 (100%);RR pressure 16.8 (50%);VM1 aftr Trfr.:   34;PC (62156);Background: 1.70 mV,1.83 mV,2.34 mV (The</t>
  </si>
  <si>
    <t>11:15:47</t>
  </si>
  <si>
    <t>NBS19_02_cv_4g_RR35-0000.did</t>
  </si>
  <si>
    <t xml:space="preserve"> Acid: 69.9 (°C); LeakRate (µBar/Min):  567 ;  0 xtra drops; P no Acid :   34;Total CO2 :  816;# Exp.:  0;CO2 after Exp.:  816;RR skipped 15.8 (50%);VM1 aftr Trfr.:   34;PC (62156);Background: 2.13 mV,2.28 mV,2.98 mV (Thermo);Init int: 4185.18;PressAdjust</t>
  </si>
  <si>
    <t>11:48:41</t>
  </si>
  <si>
    <t>NBS19_03_cv_4g_RR35-0000.did</t>
  </si>
  <si>
    <t xml:space="preserve"> Acid: 70.0 (°C); LeakRate (µBar/Min):  517 ;  0 xtra drops; P no Acid :  285;Total CO2 :  845;# Exp.:  0;CO2 after Exp.:  845;RR skipped 15.4 (50%);VM1 aftr Trfr.:   37;PC (62156);Background: 2.20 mV,2.34 mV,3.06 mV (Thermo);Init int: 4819.55;PressAdjust</t>
  </si>
  <si>
    <t>12:20:27</t>
  </si>
  <si>
    <t>NBS19_04_cv_4g_RR35-0000.did</t>
  </si>
  <si>
    <t xml:space="preserve"> Acid: 69.9 (°C); LeakRate (µBar/Min):  227 ;  0 xtra drops; P no Acid :   41;Total CO2 :  760;# Exp.:  0;CO2 after Exp.:  760;RR skipped 14.8 (50%);VM1 aftr Trfr.:   23;PC (62156);Background: 2.28 mV,2.43 mV,3.15 mV (Thermo);Init int: 3798.62;PressAdjust</t>
  </si>
  <si>
    <t>12:53:57</t>
  </si>
  <si>
    <t>NBS19_05_cv_4g_RR35-0000.did</t>
  </si>
  <si>
    <t xml:space="preserve"> Acid: 69.8 (°C); LeakRate (µBar/Min):  404 ;  0 xtra drops; P no Acid :  228;Total CO2 :  830;# Exp.:  0;CO2 after Exp.:  830;RR skipped 14.3 (50%);VM1 aftr Trfr.:   20;PC (62156);Background: 2.25 mV,2.40 mV,3.12 mV (Thermo);Init int: 5318.33;PressAdjust</t>
  </si>
  <si>
    <t>13:26:10</t>
  </si>
  <si>
    <t>NBS19_06_cv_4g_RR35-0000.did</t>
  </si>
  <si>
    <t xml:space="preserve"> Acid: 69.8 (°C); LeakRate (µBar/Min):  198 ;  0 xtra drops; P no Acid :   20;Total CO2 :  837;# Exp.:  0;CO2 after Exp.:  837;RR skipped 13.6 (50%);VM1 aftr Trfr.:   27;PC (62156);Background: 2.36 mV,2.53 mV,3.29 mV (Thermo);Init int: 4843.90;PressAdjust</t>
  </si>
  <si>
    <t>13:59:51</t>
  </si>
  <si>
    <t>NBS19_07_cv_4g_RR35-0000.did</t>
  </si>
  <si>
    <t xml:space="preserve"> Acid: 69.8 (°C); LeakRate (µBar/Min):  630 ;  0 xtra drops; P no Acid :  997;Total CO2 :  806;# Exp.:  0;CO2 after Exp.:  806;RR skipped 13.0 (50%);VM1 aftr Trfr.:   44;PC (62156);Background: 2.40 mV,2.57 mV,3.33 mV (Thermo);Init int: 4041.69;PressAdjust</t>
  </si>
  <si>
    <t>14:31:52</t>
  </si>
  <si>
    <t>NBS19_08_cv_4g_RR35-0000.did</t>
  </si>
  <si>
    <t xml:space="preserve"> Acid: 69.8 (°C); LeakRate (µBar/Min):  191 ;  0 xtra drops; P no Acid :   27;Total CO2 :  813;# Exp.:  0;CO2 after Exp.:  813;RR skipped 12.5 (50%);VM1 aftr Trfr.:   30;PC (62156);Background: 2.31 mV,2.47 mV,3.21 mV (Thermo);Init int: 4041.50;PressAdjust</t>
  </si>
  <si>
    <t>15:05:08</t>
  </si>
  <si>
    <t>NBS19_09_cv_4g_RR35-0000.did</t>
  </si>
  <si>
    <t xml:space="preserve"> Acid: 69.9 (°C); LeakRate (µBar/Min):  885 ;  0 xtra drops; P no Acid : 1103;Total CO2 :  806;# Exp.:  0;CO2 after Exp.:  806;RR skipped 12.1 (50%);VM1 aftr Trfr.:   48;PC (62156);Background: 2.31 mV,2.45 mV,3.21 mV (Thermo);Init int: 4030.64;PressAdjust</t>
  </si>
  <si>
    <t>15:37:33</t>
  </si>
  <si>
    <t>NBS19_10_cv_4g_RR35-0000.did</t>
  </si>
  <si>
    <t xml:space="preserve"> Acid: 69.9 (°C); LeakRate (µBar/Min):  220 ;  0 xtra drops; P no Acid :   30;Total CO2 :  745;# Exp.:  0;CO2 after Exp.:  745;RR skipped 11.7 (50%);VM1 aftr Trfr.:   37;PC (62156);Background: 2.27 mV,2.43 mV,3.15 mV (Thermo);Init int: 3124.25;PressAdjust</t>
  </si>
  <si>
    <t>16:10:12</t>
  </si>
  <si>
    <t>NBS19_11_cv_4g_RR35-0000.did</t>
  </si>
  <si>
    <t xml:space="preserve"> Acid: 69.9 (°C); LeakRate (µBar/Min):  567 ;  0 xtra drops; P no Acid :  710;Total CO2 :  756;# Exp.:  0;CO2 after Exp.:  756;RR skipped 11.1 (50%);VM1 aftr Trfr.:   37;PC (62156);Background: 2.20 mV,2.34 mV,3.04 mV (Thermo);Init int: 3117.55;PressAdjust</t>
  </si>
  <si>
    <t>16:41:47</t>
  </si>
  <si>
    <t>NBS19_12_cv_4g_RR35-0000.did</t>
  </si>
  <si>
    <t xml:space="preserve"> Acid: 69.8 (°C); LeakRate (µBar/Min):  177 ;  0 xtra drops; P no Acid :   34;Total CO2 :  834;# Exp.:  0;CO2 after Exp.:  834;RR skipped 10.9 (50%);VM1 aftr Trfr.:   34;PC (62156);Background: 2.15 mV,2.29 mV,2.96 mV (Thermo);Init int: 4191.75;PressAdjust</t>
  </si>
  <si>
    <t>17:18:38</t>
  </si>
  <si>
    <t>NBS19_13_cv_5g_RR35-0000.did</t>
  </si>
  <si>
    <t xml:space="preserve"> Acid: 69.9 (°C); LeakRate (µBar/Min):  503 ;  0 xtra drops; P no Acid :  643;Total CO2 :  901;# Exp.:  0;CO2 after Exp.:  901;RR pressure 8.2 (100%);RR pressure 17.0 (50%);VM1 aftr Trfr.:   37;PC (62156);Background: 2.29 mV,2.41 mV,3.17 mV (Thermo);Init</t>
  </si>
  <si>
    <t>17:51:48</t>
  </si>
  <si>
    <t>NBS19_14_cv_5g_RR35-0000.did</t>
  </si>
  <si>
    <t xml:space="preserve"> Acid: 69.8 (°C); LeakRate (µBar/Min):  198 ;  0 xtra drops; P no Acid :   37;Total CO2 :  887;# Exp.:  0;CO2 after Exp.:  887;RR skipped 15.9 (50%);VM1 aftr Trfr.:   62;PC (62146);Background: 2.55 mV,2.74 mV,3.55 mV (Thermo);Init int: 5413.89;PressAdjust</t>
  </si>
  <si>
    <t>18:24:59</t>
  </si>
  <si>
    <t>NBS19_15_cv_5g_RR35-0000.did</t>
  </si>
  <si>
    <t xml:space="preserve"> Acid: 69.9 (°C); LeakRate (µBar/Min):  411 ;  0 xtra drops; P no Acid :  405;Total CO2 :  852;# Exp.:  0;CO2 after Exp.:  852;RR skipped 15.2 (50%);VM1 aftr Trfr.:   27;PC (62146);Background: 2.60 mV,2.78 mV,3.60 mV (Thermo);Init int: 4910.48;PressAdjust</t>
  </si>
  <si>
    <t>18:56:36</t>
  </si>
  <si>
    <t>NBS19_16_cv_5g_RR35-0000.did</t>
  </si>
  <si>
    <t xml:space="preserve"> Acid: 69.9 (°C); LeakRate (µBar/Min):  255 ;  0 xtra drops; P no Acid :   30;Total CO2 :  852;# Exp.:  0;CO2 after Exp.:  852;RR skipped 14.7 (50%);VM1 aftr Trfr.:   20;PC (62146);Background: 2.55 mV,2.72 mV,3.56 mV (Thermo);Init int: 5233.78;PressAdjust</t>
  </si>
  <si>
    <t>19:29:35</t>
  </si>
  <si>
    <t>NBS19_17_cv_5g_RR35-0000.did</t>
  </si>
  <si>
    <t xml:space="preserve"> Acid: 69.8 (°C); LeakRate (µBar/Min):  552 ;  0 xtra drops; P no Acid :  505;Total CO2 :  855;# Exp.:  0;CO2 after Exp.:  855;RR skipped 14.1 (50%);VM1 aftr Trfr.:   30;PC (62146);Background: 2.58 mV,2.76 mV,3.59 mV (Thermo);Init int: 5338.81;PressAdjust</t>
  </si>
  <si>
    <t>20:02:55</t>
  </si>
  <si>
    <t>NBS19_18_cv_5g_RR35-0000.did</t>
  </si>
  <si>
    <t xml:space="preserve"> Acid: 69.9 (°C); LeakRate (µBar/Min):  120 ;  0 xtra drops; P no Acid :   23;Total CO2 :  823;# Exp.:  0;CO2 after Exp.:  823;RR skipped 13.5 (50%);VM1 aftr Trfr.:  143;PC (62146);Background: 2.56 mV,2.74 mV,3.56 mV (Thermo);Init int: 4704.69;PressAdjust</t>
  </si>
  <si>
    <t>20:35:56</t>
  </si>
  <si>
    <t>NBS19_19_cv_5g_RR35-0000.did</t>
  </si>
  <si>
    <t xml:space="preserve"> Acid: 69.8 (°C); LeakRate (µBar/Min):  305 ;  0 xtra drops; P no Acid :  108;Total CO2 :  922;# Exp.:  0;CO2 after Exp.:  922;RR skipped 12.8 (50%);VM1 aftr Trfr.:   23;PC (62156);Background: 2.53 mV,2.71 mV,3.54 mV (Thermo);Init int: 6705.41;PressAdjust</t>
  </si>
  <si>
    <t>21:07:33</t>
  </si>
  <si>
    <t>NBS19_20_cv_5g_RR35-0000.did</t>
  </si>
  <si>
    <t xml:space="preserve"> Acid: 69.9 (°C); LeakRate (µBar/Min):  163 ;  0 xtra drops; P no Acid :   27;Total CO2 :  841;# Exp.:  0;CO2 after Exp.:  841;RR skipped 12.0 (50%);VM1 aftr Trfr.:   23;PC (62146);Background: 2.64 mV,2.82 mV,3.64 mV (Thermo);Init int: 5079.49;PressAdjust</t>
  </si>
  <si>
    <t>21:41:02</t>
  </si>
  <si>
    <t xml:space="preserve"> Acid: 69.9 (°C); LeakRate (µBar/Min):  312 ;  0 xtra drops; P no Acid :   37;Total CO2 :  848;# Exp.:  0;CO2 after Exp.:  848;RR skipped 11.4 (50%);VM1 aftr Trfr.:   27;PC (62156);Background: 2.55 mV,2.73 mV,3.58 mV (Thermo);Init int: 4824.03;PressAdjust</t>
  </si>
  <si>
    <t>22:45:44</t>
  </si>
  <si>
    <t xml:space="preserve"> Acid: 69.9 (°C); LeakRate (µBar/Min):  262 ;  0 xtra drops; P no Acid :   30;Total CO2 :  933;# Exp.:  0;CO2 after Exp.:  933;RR skipped 10.2 (50%);VM1 aftr Trfr.:   27;PC (62156);Background: 2.48 mV,2.65 mV,3.46 mV (Thermo);Init int: 6399.75;PressAdjust</t>
  </si>
  <si>
    <t>23:18:24</t>
  </si>
  <si>
    <t xml:space="preserve"> Acid: 69.9 (°C); LeakRate (µBar/Min):  170 ;  0 xtra drops; P no Acid :   27;Total CO2 :  841;# Exp.:  0;CO2 after Exp.:  841;RR skipped 9.5 (50%);VM1 aftr Trfr.:   30;PC (62146);Background: 2.53 mV,2.70 mV,3.52 mV (Thermo);Init int: 4700.77;PressAdjust:</t>
  </si>
  <si>
    <t>23:53:10</t>
  </si>
  <si>
    <t>NBS19_25_cv_6g_RR35-0000.did</t>
  </si>
  <si>
    <t xml:space="preserve"> Acid: 69.9 (°C); LeakRate (µBar/Min):  269 ;  0 xtra drops; P no Acid :   27;Total CO2 :  894;# Exp.:  0;CO2 after Exp.:  894;RR pressure 8.1 (100%);RR pressure 17.0 (50%);VM1 aftr Trfr.:   34;PC (62146);Background: 2.52 mV,2.70 mV,3.50 mV (Thermo);Init</t>
  </si>
  <si>
    <t>08/13/15</t>
  </si>
  <si>
    <t>00:25:55</t>
  </si>
  <si>
    <t>NBS19_26_cv_6g_RR35-0000.did</t>
  </si>
  <si>
    <t xml:space="preserve"> Acid: 69.9 (°C); LeakRate (µBar/Min):  198 ;  0 xtra drops; P no Acid :   55;Total CO2 :  961;# Exp.:  0;CO2 after Exp.:  961;RR skipped 15.9 (50%);VM1 aftr Trfr.:   48;PC (62156);Background: 2.68 mV,2.87 mV,3.74 mV (Thermo);Init int: 7323.45;PressAdjust</t>
  </si>
  <si>
    <t>00:58:57</t>
  </si>
  <si>
    <t>NBS19_27_cv_6g_RR35-0000.did</t>
  </si>
  <si>
    <t xml:space="preserve"> Acid: 70.0 (°C); LeakRate (µBar/Min):  276 ;  0 xtra drops; P no Acid :   34;Total CO2 :  961;# Exp.:  0;CO2 after Exp.:  961;RR skipped 15.1 (50%);VM1 aftr Trfr.:   30;PC (62156);Background: 2.88 mV,3.09 mV,4.03 mV (Thermo);Init int: 6884.10;PressAdjust</t>
  </si>
  <si>
    <t>01:31:14</t>
  </si>
  <si>
    <t>NBS19_28_cv_6g_RR35-0000.did</t>
  </si>
  <si>
    <t xml:space="preserve"> Acid: 70.0 (°C); LeakRate (µBar/Min):  156 ;  0 xtra drops; P no Acid :   41;Total CO2 :  884;# Exp.:  0;CO2 after Exp.:  887;RR skipped 14.1 (50%);VM1 aftr Trfr.:   27;PC (62156);Background: 2.85 mV,3.03 mV,3.93 mV (Thermo);Init int: 5572.34;PressAdjust</t>
  </si>
  <si>
    <t>02:25:41</t>
  </si>
  <si>
    <t>NBS19_30_cv_6g_RR35-0000.did</t>
  </si>
  <si>
    <t xml:space="preserve"> Acid: 69.9 (°C); LeakRate (µBar/Min):  227 ;  0 xtra drops; P no Acid :   76; P gases:  218;Total CO2 :  951;# Exp.:  0;CO2 after Exp.:  951;RR skipped 13.6 (50%);VM1 aftr Trfr.:   30;PC (62146);Background: 2.54 mV,2.72 mV,3.51 mV (Thermo);Init int: 6917</t>
  </si>
  <si>
    <t>02:59:44</t>
  </si>
  <si>
    <t>NBS19_31_cv_6g_RR35-0000.did</t>
  </si>
  <si>
    <t xml:space="preserve"> Acid: 69.9 (°C); LeakRate (µBar/Min):  595 ;  0 xtra drops; P no Acid :  250;Total CO2 :  919;# Exp.:  0;CO2 after Exp.:  919;RR pressure 8.1 (100%);RR pressure 16.9 (50%);VM1 aftr Trfr.:   34;PC (62156);Background: 2.67 mV,2.85 mV,3.68 mV (Thermo);Init</t>
  </si>
  <si>
    <t>NBS19_32</t>
  </si>
  <si>
    <t>03:34:15</t>
  </si>
  <si>
    <t>NBS19_32_cv_6g_RR35-0000.did</t>
  </si>
  <si>
    <t xml:space="preserve"> Acid: 70.0 (°C); LeakRate (µBar/Min):  156 ;  0 xtra drops; P no Acid :   44;Total CO2 :  930;# Exp.:  0;CO2 after Exp.:  930;RR skipped 15.8 (50%);VM1 aftr Trfr.:   34;PC (62156);Background: 2.84 mV,3.04 mV,3.93 mV (Thermo);Init int: 6314.67;PressAdjust</t>
  </si>
  <si>
    <t>NBS19_33</t>
  </si>
  <si>
    <t>04:05:39</t>
  </si>
  <si>
    <t>NBS19_33_cv_6g_RR35-0000.did</t>
  </si>
  <si>
    <t xml:space="preserve"> Acid: 69.9 (°C); LeakRate (µBar/Min):  290 ;  0 xtra drops; P no Acid :   30;Total CO2 :  802;# Exp.:  0;CO2 after Exp.:  802;RR skipped 15.0 (50%);VM1 aftr Trfr.:   30;PC (62146);Background: 2.83 mV,3.03 mV,3.90 mV (Thermo);Init int: 3831.27;PressAdjust</t>
  </si>
  <si>
    <t>NBS19_34</t>
  </si>
  <si>
    <t>04:39:09</t>
  </si>
  <si>
    <t>NBS19_34_cv_6g_RR35-0000.did</t>
  </si>
  <si>
    <t xml:space="preserve"> Acid: 70.0 (°C); LeakRate (µBar/Min):  191 ;  0 xtra drops; P no Acid :   51;Total CO2 :  951;# Exp.:  0;CO2 after Exp.:  951;RR skipped 14.5 (50%);VM1 aftr Trfr.:   30;PC (62146);Background: 2.64 mV,2.82 mV,3.65 mV (Thermo);Init int: 6474.73;PressAdjust</t>
  </si>
  <si>
    <t>NBS19_35</t>
  </si>
  <si>
    <t>05:12:06</t>
  </si>
  <si>
    <t>NBS19_35_cv_6g_RR35-0000.did</t>
  </si>
  <si>
    <t xml:space="preserve"> Acid: 70.0 (°C); LeakRate (µBar/Min):  312 ;  0 xtra drops; P no Acid :   76;Total CO2 :  940;# Exp.:  0;CO2 after Exp.:  940;RR skipped 13.8 (50%);VM1 aftr Trfr.:  154;PC (62156);Background: 2.75 mV,2.93 mV,3.80 mV (Thermo);Init int: 6345.11;PressAdjust</t>
  </si>
  <si>
    <t>NBS19_36</t>
  </si>
  <si>
    <t>05:44:34</t>
  </si>
  <si>
    <t>NBS19_36_cv_6g_RR35-0000.did</t>
  </si>
  <si>
    <t xml:space="preserve"> Acid: 70.0 (°C); LeakRate (µBar/Min):  170 ;  0 xtra drops; P no Acid :   44;Total CO2 :  922;# Exp.:  0;CO2 after Exp.:  922;RR skipped 13.0 (50%);VM1 aftr Trfr.:   34;PC (62156);Background: 2.81 mV,3.00 mV,3.89 mV (Thermo);Init int: 5639.39;PressAdjust</t>
  </si>
  <si>
    <t>NBS19_37</t>
  </si>
  <si>
    <t>09:47:05</t>
  </si>
  <si>
    <t>NBS19_37_cv_3g_RR35-0000.did</t>
  </si>
  <si>
    <t xml:space="preserve"> Acid: 70.0 (°C); LeakRate (µBar/Min):  588 ;  0 xtra drops; P no Acid :  363;Total CO2 :  735;# Exp.:  0;CO2 after Exp.:  735;RR skipped 15.9 (50%);VM1 aftr Trfr.:   41;PC (62156);Background: 2.76 mV,2.93 mV,3.82 mV (Thermo);Init int: 3172.99;PressAdjust</t>
  </si>
  <si>
    <t>NBS19_38</t>
  </si>
  <si>
    <t>10:22:43</t>
  </si>
  <si>
    <t>NBS19_38_cv_3g_RR35-0000.did</t>
  </si>
  <si>
    <t xml:space="preserve"> Acid: 70.1 (°C); LeakRate (µBar/Min):  255 ;  0 xtra drops; P no Acid :  172;Total CO2 :  752;# Exp.:  0;CO2 after Exp.:  752;RR skipped 15.7 (50%);VM1 aftr Trfr.:   30;PC (62156);Background: 2.54 mV,2.70 mV,3.52 mV (Thermo);Init int: 3219.91;PressAdjust</t>
  </si>
  <si>
    <t>NBS19_39</t>
  </si>
  <si>
    <t>10:53:34</t>
  </si>
  <si>
    <t>NBS19_39_cv_3g_RR35-0000.did</t>
  </si>
  <si>
    <t xml:space="preserve"> Acid: 70.0 (°C); LeakRate (µBar/Min):  319 ;  0 xtra drops; P no Acid :   27;Total CO2 :  706;# Exp.:  0;CO2 after Exp.:  706;RR skipped 15.1 (50%);VM1 aftr Trfr.:   27;PC (62156);Background: 2.49 mV,2.65 mV,3.44 mV (Thermo);Init int: 2823.39;PressAdjust</t>
  </si>
  <si>
    <t>NBS19_40</t>
  </si>
  <si>
    <t>11:27:52</t>
  </si>
  <si>
    <t>NBS19_40_cv_3g_RR35-0000.did</t>
  </si>
  <si>
    <t xml:space="preserve"> Acid: 69.9 (°C); LeakRate (µBar/Min):  276 ;  0 xtra drops; P no Acid :  108;Total CO2 :  685;# Exp.:  0;CO2 after Exp.:  685;RR skipped 14.8 (50%);VM1 aftr Trfr.:   30;PC (62156);Background: 2.42 mV,2.57 mV,3.35 mV (Thermo);Init int: 2729.88;PressAdjust</t>
  </si>
  <si>
    <t>massa (ug)</t>
  </si>
  <si>
    <t>CALIBRAÇÃO DO CILINDRO EM 27/08/15</t>
  </si>
  <si>
    <t>a partir de 36ug (4g)</t>
  </si>
  <si>
    <t xml:space="preserve">P esperada de </t>
  </si>
  <si>
    <t>ug</t>
  </si>
  <si>
    <t>Threshold expansion 1000ubar</t>
  </si>
  <si>
    <t>MUDAR THRESHOLD</t>
  </si>
  <si>
    <t>sd da amostra (internal sd)</t>
  </si>
  <si>
    <t>média da diferença entre bellows</t>
  </si>
  <si>
    <t>mediana</t>
  </si>
  <si>
    <t>27/08/15</t>
  </si>
  <si>
    <t>Weight [mg]</t>
  </si>
  <si>
    <t>d 13C/12C  Std.Dev.</t>
  </si>
  <si>
    <t>d 18O/16O  Std.Dev.</t>
  </si>
  <si>
    <t>P (no exp)</t>
  </si>
  <si>
    <t>P (exp)</t>
  </si>
  <si>
    <t>BL-BR</t>
  </si>
  <si>
    <t>massa</t>
  </si>
  <si>
    <t>2g menor</t>
  </si>
  <si>
    <t>Kiel IV Adriana 3gt_RR22_reac600_trans90</t>
  </si>
  <si>
    <t>NBS19_01_mvarCil_2g menor_-0000.did</t>
  </si>
  <si>
    <t>Acid: 69.8 [¡C];LeakRate [µBar/Min]:  630 ; 0 xtra drops;P no Acid :   94;P gases:  494;Total CO2 :  607;# Exp.:  0;CO2 after Exp.:  607;RR pressure 5.1 (100%);RR pressure 10.8 (50%);VM1 aftr Trfr.:   23;PC [62146];Background: 1.47 mV;1.55 mV;2.00 mV (Thermo);Init int: 2123.41;PressAdjust: L: 1828.0  R: 1699.6 ( Master Capillary );</t>
  </si>
  <si>
    <t>16:48:27</t>
  </si>
  <si>
    <t>NBS19_02_mvarCil_2g menor_-0000.did</t>
  </si>
  <si>
    <t xml:space="preserve"> Acid: 69.9 [¡C]; LeakRate [µBar/Min]:  276 ;  0 xtra drops; P no Acid :  324;Total CO2 :  551;# Exp.:  0;CO2 after Exp.:  551;RR skipped 10.5 (50%);VM1 aftr Trfr.:   27;PC [62156];Background: 1.61 mV;1.70 mV;2.22 mV (Thermo);Init int: 1687.33;PressAdjust: L: 1484.6  R: 1381.9 ( Master Capillary );</t>
  </si>
  <si>
    <t>NBS19_03_mvarCil_2g menor_-0000.did</t>
  </si>
  <si>
    <t xml:space="preserve"> Acid: 69.9 [¡C]; LeakRate [µBar/Min]:  340 ;  0 xtra drops; P no Acid :   66;Total CO2 :  476;# Exp.:  0;CO2 after Exp.:  476;RR skipped 10.1 (50%);VM1 aftr Trfr.:   30;PC [62146];Background: 1.59 mV;1.68 mV;2.19 mV (Thermo);Init int: 1283.34;PressAdjust: L: 1147.6  R: 1069.4 ( Master Capillary );</t>
  </si>
  <si>
    <t>NBS19_04_mvarCil_2g menor_-0000.did</t>
  </si>
  <si>
    <t xml:space="preserve"> Acid: 69.9 [¡C]; LeakRate [µBar/Min]:  312 ;  0 xtra drops; P no Acid :  158;Total CO2 :  536;# Exp.:  0;CO2 after Exp.:  536;RR skipped 10.0 (50%);VM1 aftr Trfr.:   30;PC [62156];Background: 1.53 mV;1.62 mV;2.12 mV (Thermo);Init int: 1588.48;PressAdjust: L: 1410.4  R: 1313.2 ( Master Capillary );</t>
  </si>
  <si>
    <t>NBS19_05_mvarCil_2g menor_-0000.did</t>
  </si>
  <si>
    <t xml:space="preserve"> Acid: 69.8 [¡C]; LeakRate [µBar/Min]:  354 ;  0 xtra drops; P no Acid :  133;Total CO2 :  575;# Exp.:  0;CO2 after Exp.:  575;RR skipped 9.7 (50%);VM1 aftr Trfr.:   30;PC [62156];Background: 1.54 mV;1.64 mV;2.12 mV (Thermo);Init int: 1755.65;PressAdjust: L: 1525.4  R: 1444.8 ( Master Capillary );</t>
  </si>
  <si>
    <t>2g maior</t>
  </si>
  <si>
    <t>NBS19_06_mvarCil_2g maior_-0000.did</t>
  </si>
  <si>
    <t xml:space="preserve"> Acid: 69.9 [¡C]; LeakRate [µBar/Min]:  283 ;  0 xtra drops; P no Acid :  140;Total CO2 :  625;# Exp.:  0;CO2 after Exp.:  625;RR pressure 5.0 (100%);RR pressure 10.7 (50%);VM1 aftr Trfr.:   30;PC [62156];Background: 1.56 mV;1.65 mV;2.14 mV (Thermo);Init int: 2192.96;PressAdjust: L: 2004.9  R: 1868.2 ( Master Capillary );</t>
  </si>
  <si>
    <t>NBS19_07_mvarCil_2g maior_-0000.did</t>
  </si>
  <si>
    <t xml:space="preserve"> Acid: 69.8 [¡C]; LeakRate [µBar/Min]:  354 ;  0 xtra drops; P no Acid :   51;Total CO2 :  650;# Exp.:  0;CO2 after Exp.:  650;RR skipped 10.5 (50%);VM1 aftr Trfr.:   62;PC [62156];Background: 1.65 mV;1.75 mV;2.28 mV (Thermo);Init int: 2259.33;PressAdjust: L: 2063.4  R: 1920.1 ( Master Capillary );</t>
  </si>
  <si>
    <t>NBS19_08_mvarCil_2g maior_-0000.did</t>
  </si>
  <si>
    <t xml:space="preserve"> Acid: 69.8 [¡C]; LeakRate [µBar/Min]:  234 ;  0 xtra drops; P no Acid :  236;Total CO2 :  639;# Exp.:  0;CO2 after Exp.:  639;RR skipped 10.0 (50%);VM1 aftr Trfr.:   30;PC [62156];Background: 1.68 mV;1.77 mV;2.33 mV (Thermo);Init int: 2137.02;PressAdjust: L: 1951.5  R: 1817.2 ( Master Capillary );</t>
  </si>
  <si>
    <t>NBS19_09_mvarCil_2g maior_-0000.did</t>
  </si>
  <si>
    <t xml:space="preserve"> Acid: 69.8 [¡C]; LeakRate [µBar/Min]:  354 ;  0 xtra drops; P no Acid :   51;Total CO2 :  572;# Exp.:  0;CO2 after Exp.:  572;RR skipped 9.7 (50%);VM1 aftr Trfr.:   48;PC [62156];Background: 1.68 mV;1.76 mV;2.30 mV (Thermo);Init int: 1756.39;PressAdjust: L: 1525.7  R: 1440.5 ( Master Capillary );</t>
  </si>
  <si>
    <t>NBS19_10_mvarCil_2g maior_-0000.did</t>
  </si>
  <si>
    <t xml:space="preserve"> Acid: 69.9 [¡C]; LeakRate [µBar/Min]:  220 ;  0 xtra drops; P no Acid :  133;Total CO2 :  632;# Exp.:  0;CO2 after Exp.:  632;RR skipped 9.4 (50%);VM1 aftr Trfr.:   30;PC [62156];Background: 1.63 mV;1.70 mV;2.24 mV (Thermo);Init int: 2078.09;PressAdjust: L: 1908.6  R: 1777.4 ( Master Capillary );</t>
  </si>
  <si>
    <t>Kiel IV Adriana 2gt_RR22_reac600_trans90</t>
  </si>
  <si>
    <t>NBS19_11_mvarCil_2g_-0000.did</t>
  </si>
  <si>
    <t xml:space="preserve"> Acid: 69.8 [¡C]; LeakRate [µBar/Min]:  382 ;  0 xtra drops; P no Acid :  126;Total CO2 :  512;# Exp.:  0;CO2 after Exp.:  512;RR pressure 5.1 (100%);RR pressure 10.6 (50%);VM1 aftr Trfr.:   30;PC [62156];Background: 1.64 mV;1.74 mV;2.26 mV (Thermo);Init int: 1443.31;PressAdjust: L: 1269.1  R: 1182.0 ( Master Capillary );</t>
  </si>
  <si>
    <t>NBS19_12_mvarCil_2g_-0000.did</t>
  </si>
  <si>
    <t xml:space="preserve"> Acid: 69.9 [¡C]; LeakRate [µBar/Min]:  212 ;  0 xtra drops; P no Acid :   94;Total CO2 :  618;# Exp.:  0;CO2 after Exp.:  618;RR skipped 10.5 (50%);VM1 aftr Trfr.:   48;PC [62156];Background: 1.61 mV;1.71 mV;2.22 mV (Thermo);Init int: 2059.91;PressAdjust: L: 1799.3  R: 1672.9 ( Master Capillary );</t>
  </si>
  <si>
    <t>22:53:51</t>
  </si>
  <si>
    <t>NBS19_13_mvarCil_2g_-0000.did</t>
  </si>
  <si>
    <t xml:space="preserve"> Acid: 69.9 [¡C]; LeakRate [µBar/Min]:  361 ;  0 xtra drops; P no Acid :  228;Total CO2 :  572;# Exp.:  0;CO2 after Exp.:  572;RR skipped 10.1 (50%);VM1 aftr Trfr.:   30;PC [62156];Background: 1.65 mV;1.74 mV;2.25 mV (Thermo);Init int: 1751.81;PressAdjust: L: 1605.8  R: 1505.0 ( Master Capillary );</t>
  </si>
  <si>
    <t>NBS19_14_mvarCil_2g_-0000.did</t>
  </si>
  <si>
    <t xml:space="preserve"> Acid: 69.9 [¡C]; LeakRate [µBar/Min]:  290 ;  0 xtra drops; P no Acid :  218;Total CO2 :  600;# Exp.:  0;CO2 after Exp.:  600;RR skipped 9.8 (50%);VM1 aftr Trfr.:   37;PC [62156];Background: 1.64 mV;1.74 mV;2.26 mV (Thermo);Init int: 2008.58;PressAdjust: L: 1830.3  R: 1706.0 ( Master Capillary );</t>
  </si>
  <si>
    <t>NBS19_15_mvarCil_2g_-0000.did</t>
  </si>
  <si>
    <t xml:space="preserve"> Acid: 69.9 [¡C]; LeakRate [µBar/Min]:  609 ;  0 xtra drops; P no Acid :  367;Total CO2 :  547;# Exp.:  0;CO2 after Exp.:  547;RR skipped 9.4 (50%);VM1 aftr Trfr.:   34;PC [62156];Background: 1.64 mV;1.74 mV;2.25 mV (Thermo);Init int: 1621.08;PressAdjust: L: 1485.8  R: 1388.6 ( Master Capillary );</t>
  </si>
  <si>
    <t>Kiel IV Adriana 2gt_RR30_reac600_trans90</t>
  </si>
  <si>
    <t>NBS19_17_mvarCil_3g_-0000.did</t>
  </si>
  <si>
    <t>Acid: 69.8 [¡C];LeakRate [µBar/Min]:  623 ; 0 xtra drops;P no Acid :  133;P gases:  653;Total CO2 :  845;# Exp.:  0;CO2 after Exp.:  845;RR skipped 7.2 (50%);VM1 aftr Trfr.:   37;PC [62156];Background: 1.48 mV;1.56 mV;2.03 mV (Thermo);Init int: 3984.52;PressAdjust: L: 3565.9  R: 3318.3 ( Master Capillary );</t>
  </si>
  <si>
    <t>NBS19_18_mvarCil_3g_-0000.did</t>
  </si>
  <si>
    <t xml:space="preserve"> Acid: 69.9 [¡C]; LeakRate [µBar/Min]:  340 ;  0 xtra drops; P no Acid :  172;Total CO2 :  721;# Exp.:  0;CO2 after Exp.:  721;RR skipped 6.4 (50%);VM1 aftr Trfr.:   58;PC [62165];Background: 1.68 mV;1.77 mV;2.29 mV (Thermo);Init int: 2630.46;PressAdjust: L: 2388.2  R: 2223.8 ( Master Capillary );</t>
  </si>
  <si>
    <t>NBS19_19_mvarCil_3g_-0000.did</t>
  </si>
  <si>
    <t xml:space="preserve"> Acid: 69.9 [¡C]; LeakRate [µBar/Min]:  375 ;  0 xtra drops; P no Acid :  161;Total CO2 :  738;# Exp.:  0;CO2 after Exp.:  738;RR skipped 6.1 (50%);VM1 aftr Trfr.:  583;PC [62156];Background: 1.65 mV;1.75 mV;2.25 mV (Thermo);Init int:  801.58;PressAdjust: L: 665.2  R: 667.5 ( Master Capillary );</t>
  </si>
  <si>
    <t>NBS19_24_mvarCil_3g_-0001.did</t>
  </si>
  <si>
    <t>Acid: 70.1 [¡C];LeakRate [µBar/Min]:  708 ; 0 xtra drops;P no Acid :  374;P gases: 1061;Total CO2 :  830;# Exp.:  0;CO2 after Exp.:  830;RR skipped 12.8 (50%);VM1 aftr Trfr.:   34;PC [62156];Background: 1.76 mV;1.85 mV;2.42 mV (Thermo);Init int: 4301.89;PressAdjust: L: 3817.7  R: 3546.3 ( Master Capillary );</t>
  </si>
  <si>
    <t>NBS19_25_mvarCil_3g_-0001.did</t>
  </si>
  <si>
    <t xml:space="preserve"> Acid: 70.1 [¡C]; LeakRate [µBar/Min]:  453 ;  0 xtra drops; P no Acid :  214;Total CO2 :  728;# Exp.:  0;CO2 after Exp.:  728;RR skipped 11.9 (50%);VM1 aftr Trfr.:   30;PC [62146];Background: 2.01 mV;2.13 mV;2.79 mV (Thermo);Init int: 2986.53;PressAdjust: L: 2625.3  R: 2439.6 ( Master Capillary );</t>
  </si>
  <si>
    <t>NBS19_29_mvarCil_4g_-0002.did</t>
  </si>
  <si>
    <t>Acid: 69.8 [¡C];LeakRate [µBar/Min]: 1069 ; 0 xtra drops;P no Acid :  724;P gases: 1291;Total CO2 :  837;# Exp.:  0;CO2 after Exp.:  837;RR skipped 13.9 (50%);VM1 aftr Trfr.:   41;PC [62156];Background: 1.58 mV;1.68 mV;2.20 mV (Thermo);Init int: 4140.88;PressAdjust: L: 3725.0  R: 3464.8 ( Master Capillary );</t>
  </si>
  <si>
    <t>NBS19_30_mvar_4g_-0741.did</t>
  </si>
  <si>
    <t>Acid: 69.8 [¡C];LeakRate [µBar/Min]:  871 ; 0 xtra drops;P no Acid :  122;P gases:  345;Total CO2 :  894;# Exp.:  0;CO2 after Exp.:  894;RR skipped 12.5 (50%);VM1 aftr Trfr.:   34;PC [62156];Background: 1.97 mV;2.11 mV;2.75 mV (Thermo);Init int: 5234.91;PressAdjust: L: 4683.8  R: 4351.9 ( Master Capillary );</t>
  </si>
  <si>
    <t>NBS19_31_mvar_4g_-0741.did</t>
  </si>
  <si>
    <t xml:space="preserve"> Acid: 69.8 [¡C]; LeakRate [µBar/Min]:  779 ;  0 xtra drops; P no Acid :  922;Total CO2 :  852;# Exp.:  0;CO2 after Exp.:  852;RR skipped 11.9 (50%);VM1 aftr Trfr.:   48;PC [62156];Background: 2.10 mV;2.24 mV;2.94 mV (Thermo);Init int: 4201.50;PressAdjust: L: 3770.1  R: 3506.8 ( Master Capillary );</t>
  </si>
  <si>
    <t>NBS19_32_mvar_4g_-0742.did</t>
  </si>
  <si>
    <t>Acid: 69.9 [¡C];LeakRate [µBar/Min]:  871 ; 0 xtra drops;P no Acid :  512;P gases: 1131;Total CO2 :  852;# Exp.:  0;CO2 after Exp.:  852;RR skipped 10.8 (50%);VM1 aftr Trfr.:   44;PC [62156];Background: BGD 2015/Aug/31 12:13 - ;2.10 mV;2.24 mV;2.94 mV (Thermo);Init int: 4970.90;PressAdjust: L: 4424.7  R: 4111.8 ( Master Capillary );</t>
  </si>
  <si>
    <t>NBS19_33_mvar_4g_-0742.did</t>
  </si>
  <si>
    <t xml:space="preserve"> Acid: 69.8 [¡C]; LeakRate [µBar/Min]:  963 ;  0 xtra drops; P no Acid : 1124;Total CO2 :  809;# Exp.:  0;CO2 after Exp.:  809;RR skipped 10.3 (50%);VM1 aftr Trfr.:   55;PC [62156];Background: 2.22 mV;2.36 mV;3.11 mV (Thermo);Init int: 3837.40;PressAdjust: L: 3464.6  R: 3221.6 ( Master Capillary );</t>
  </si>
  <si>
    <t>NBS19_34_mvar_4g_-0743.did</t>
  </si>
  <si>
    <t>Acid: 69.8 [¡C];LeakRate [µBar/Min]:  899 ; 0 xtra drops;P no Acid :  292;P gases:  813;Total CO2 :  873;# Exp.:  0;CO2 after Exp.:  873;RR skipped 9.5 (50%);VM1 aftr Trfr.:   44;PC [62156];Background: 2.14 mV;2.28 mV;2.98 mV (Thermo);Init int: 4991.45;PressAdjust: L: 4411.5  R: 4098.8 ( Master Capillary );</t>
  </si>
  <si>
    <t>NBS19_35_mvar_4g_-0743.did</t>
  </si>
  <si>
    <t xml:space="preserve"> Acid: 69.6 [¡C]; LeakRate [µBar/Min]:  836 ;  0 xtra drops; P no Acid : 1000;Total CO2 :  915;# Exp.:  0;CO2 after Exp.:  915;RR skipped 8.8 (50%);VM1 aftr Trfr.:  108;PC [62156];Background: 2.16 mV;2.31 mV;3.02 mV (Thermo);Init int: 5697.66;PressAdjust: L: 5067.9  R: 4705.4 ( Master Capillary );</t>
  </si>
  <si>
    <t>CILINDRO CORRIGIDO!!! (Ago/2015)</t>
  </si>
  <si>
    <t>fechado</t>
  </si>
  <si>
    <t>March16</t>
  </si>
  <si>
    <t>Pressure 100% (mbar)</t>
  </si>
  <si>
    <t>alvo 3000</t>
  </si>
  <si>
    <t>INFERIOR</t>
  </si>
  <si>
    <t>SUPERIOR</t>
  </si>
  <si>
    <t>Exemplo expansão bellow!</t>
  </si>
  <si>
    <t>Intensidade</t>
  </si>
  <si>
    <t>limite do alvo</t>
  </si>
  <si>
    <t>Pressão que devo usar</t>
  </si>
  <si>
    <t>Tempo RR</t>
  </si>
  <si>
    <t>Pressão bellow que quero (estimado gráfico IxP bellow)</t>
  </si>
  <si>
    <t xml:space="preserve">%bellow </t>
  </si>
  <si>
    <t>22s</t>
  </si>
  <si>
    <t>qtas x maior que o 100%</t>
  </si>
  <si>
    <t>aberto</t>
  </si>
  <si>
    <t>March23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</si>
</sst>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"/>
    <numFmt numFmtId="165" formatCode="0.0"/>
  </numFmts>
  <fonts count="2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0" tint="-0.249977111117893"/>
      <name val="MS Sans Serif"/>
      <family val="2"/>
    </font>
    <font>
      <sz val="10"/>
      <color theme="4"/>
      <name val="MS Sans Serif"/>
      <family val="2"/>
    </font>
    <font>
      <b/>
      <sz val="10"/>
      <name val="MS Sans Serif"/>
    </font>
    <font>
      <sz val="10"/>
      <color theme="5"/>
      <name val="MS Sans Serif"/>
      <family val="2"/>
    </font>
    <font>
      <sz val="10"/>
      <color theme="6"/>
      <name val="MS Sans Serif"/>
    </font>
    <font>
      <b/>
      <sz val="10"/>
      <color rgb="FFFF0000"/>
      <name val="MS Sans Serif"/>
    </font>
    <font>
      <sz val="10"/>
      <color rgb="FFFF0000"/>
      <name val="MS Sans Serif"/>
    </font>
    <font>
      <b/>
      <sz val="10"/>
      <color theme="1" tint="0.499984740745262"/>
      <name val="MS Sans Serif"/>
    </font>
    <font>
      <strike/>
      <sz val="11"/>
      <color theme="1"/>
      <name val="Calibri"/>
      <family val="2"/>
      <scheme val="minor"/>
    </font>
    <font>
      <sz val="10"/>
      <color theme="1" tint="0.499984740745262"/>
      <name val="MS Sans Serif"/>
    </font>
    <font>
      <b/>
      <sz val="11"/>
      <color rgb="FFFF0000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b/>
      <sz val="12"/>
      <color rgb="FFFF0000"/>
      <name val="Calibri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i/>
      <u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13">
    <xf numFmtId="0" fontId="0" fillId="0" borderId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</cellStyleXfs>
  <cellXfs count="70">
    <xf numFmtId="0" fontId="0" fillId="0" borderId="0" xfId="0"/>
    <xf numFmtId="0" fontId="2" fillId="0" borderId="0" xfId="0" applyFont="1"/>
    <xf numFmtId="0" fontId="3" fillId="0" borderId="0" xfId="0" applyFont="1"/>
    <xf numFmtId="16" fontId="3" fillId="0" borderId="0" xfId="0" applyNumberFormat="1" applyFont="1"/>
    <xf numFmtId="0" fontId="4" fillId="0" borderId="0" xfId="0" applyFont="1"/>
    <xf numFmtId="0" fontId="5" fillId="0" borderId="0" xfId="0" applyFont="1"/>
    <xf numFmtId="16" fontId="5" fillId="0" borderId="0" xfId="0" applyNumberFormat="1" applyFont="1"/>
    <xf numFmtId="14" fontId="0" fillId="0" borderId="0" xfId="0" applyNumberFormat="1"/>
    <xf numFmtId="21" fontId="0" fillId="0" borderId="0" xfId="0" applyNumberFormat="1"/>
    <xf numFmtId="16" fontId="0" fillId="0" borderId="0" xfId="0" applyNumberFormat="1"/>
    <xf numFmtId="0" fontId="6" fillId="0" borderId="0" xfId="0" applyFont="1"/>
    <xf numFmtId="16" fontId="6" fillId="0" borderId="0" xfId="0" applyNumberFormat="1" applyFont="1"/>
    <xf numFmtId="0" fontId="6" fillId="0" borderId="1" xfId="0" applyFont="1" applyBorder="1"/>
    <xf numFmtId="0" fontId="6" fillId="0" borderId="2" xfId="0" applyFont="1" applyBorder="1"/>
    <xf numFmtId="16" fontId="6" fillId="0" borderId="2" xfId="0" applyNumberFormat="1" applyFont="1" applyBorder="1"/>
    <xf numFmtId="0" fontId="6" fillId="0" borderId="0" xfId="0" applyFont="1" applyFill="1" applyBorder="1"/>
    <xf numFmtId="0" fontId="6" fillId="0" borderId="1" xfId="0" applyFont="1" applyFill="1" applyBorder="1"/>
    <xf numFmtId="0" fontId="0" fillId="0" borderId="1" xfId="0" applyBorder="1"/>
    <xf numFmtId="0" fontId="0" fillId="0" borderId="0" xfId="0" quotePrefix="1" applyNumberFormat="1"/>
    <xf numFmtId="0" fontId="7" fillId="0" borderId="0" xfId="0" applyFont="1"/>
    <xf numFmtId="0" fontId="8" fillId="0" borderId="0" xfId="0" applyFont="1"/>
    <xf numFmtId="0" fontId="8" fillId="0" borderId="0" xfId="0" quotePrefix="1" applyNumberFormat="1" applyFont="1"/>
    <xf numFmtId="0" fontId="0" fillId="0" borderId="0" xfId="0" applyNumberFormat="1"/>
    <xf numFmtId="15" fontId="4" fillId="0" borderId="0" xfId="0" applyNumberFormat="1" applyFont="1" applyAlignment="1">
      <alignment horizontal="left"/>
    </xf>
    <xf numFmtId="0" fontId="0" fillId="2" borderId="0" xfId="0" quotePrefix="1" applyNumberFormat="1" applyFill="1"/>
    <xf numFmtId="0" fontId="0" fillId="2" borderId="0" xfId="0" applyNumberFormat="1" applyFill="1"/>
    <xf numFmtId="0" fontId="0" fillId="2" borderId="0" xfId="0" applyFill="1"/>
    <xf numFmtId="0" fontId="0" fillId="0" borderId="0" xfId="0" applyFont="1" applyFill="1"/>
    <xf numFmtId="0" fontId="0" fillId="0" borderId="0" xfId="0" quotePrefix="1" applyNumberFormat="1" applyFont="1" applyFill="1"/>
    <xf numFmtId="0" fontId="0" fillId="2" borderId="0" xfId="0" quotePrefix="1" applyNumberFormat="1" applyFont="1" applyFill="1"/>
    <xf numFmtId="0" fontId="0" fillId="2" borderId="0" xfId="0" applyNumberFormat="1" applyFont="1" applyFill="1"/>
    <xf numFmtId="0" fontId="0" fillId="3" borderId="0" xfId="0" applyFill="1"/>
    <xf numFmtId="0" fontId="0" fillId="0" borderId="0" xfId="0" applyFont="1"/>
    <xf numFmtId="0" fontId="0" fillId="0" borderId="0" xfId="0" quotePrefix="1" applyNumberFormat="1" applyFont="1"/>
    <xf numFmtId="0" fontId="9" fillId="0" borderId="0" xfId="0" applyFont="1"/>
    <xf numFmtId="0" fontId="0" fillId="0" borderId="0" xfId="0" applyAlignment="1">
      <alignment horizontal="center"/>
    </xf>
    <xf numFmtId="0" fontId="0" fillId="4" borderId="0" xfId="0" applyFill="1" applyAlignment="1">
      <alignment horizontal="center"/>
    </xf>
    <xf numFmtId="164" fontId="0" fillId="4" borderId="0" xfId="0" applyNumberFormat="1" applyFill="1" applyAlignment="1">
      <alignment horizontal="center"/>
    </xf>
    <xf numFmtId="14" fontId="4" fillId="0" borderId="0" xfId="0" applyNumberFormat="1" applyFont="1"/>
    <xf numFmtId="0" fontId="10" fillId="0" borderId="0" xfId="0" quotePrefix="1" applyNumberFormat="1" applyFont="1"/>
    <xf numFmtId="0" fontId="10" fillId="0" borderId="0" xfId="0" applyFont="1"/>
    <xf numFmtId="0" fontId="0" fillId="0" borderId="0" xfId="0" quotePrefix="1" applyNumberFormat="1" applyFill="1"/>
    <xf numFmtId="0" fontId="0" fillId="0" borderId="0" xfId="0" applyFont="1" applyAlignment="1">
      <alignment horizontal="center"/>
    </xf>
    <xf numFmtId="0" fontId="11" fillId="0" borderId="0" xfId="0" applyFont="1"/>
    <xf numFmtId="2" fontId="11" fillId="0" borderId="0" xfId="0" applyNumberFormat="1" applyFont="1" applyAlignment="1">
      <alignment horizontal="center"/>
    </xf>
    <xf numFmtId="14" fontId="1" fillId="0" borderId="0" xfId="0" applyNumberFormat="1" applyFont="1"/>
    <xf numFmtId="0" fontId="12" fillId="0" borderId="0" xfId="0" applyFont="1"/>
    <xf numFmtId="1" fontId="0" fillId="3" borderId="0" xfId="0" applyNumberFormat="1" applyFill="1" applyAlignment="1">
      <alignment horizontal="center"/>
    </xf>
    <xf numFmtId="0" fontId="12" fillId="3" borderId="0" xfId="0" applyFont="1" applyFill="1"/>
    <xf numFmtId="0" fontId="13" fillId="0" borderId="0" xfId="0" applyFont="1"/>
    <xf numFmtId="16" fontId="13" fillId="0" borderId="0" xfId="0" applyNumberFormat="1" applyFont="1"/>
    <xf numFmtId="0" fontId="0" fillId="4" borderId="0" xfId="0" applyFill="1"/>
    <xf numFmtId="0" fontId="0" fillId="4" borderId="0" xfId="0" applyFill="1" applyAlignment="1">
      <alignment horizontal="left"/>
    </xf>
    <xf numFmtId="1" fontId="0" fillId="4" borderId="0" xfId="0" applyNumberFormat="1" applyFill="1" applyAlignment="1">
      <alignment horizontal="center"/>
    </xf>
    <xf numFmtId="0" fontId="0" fillId="0" borderId="0" xfId="0" applyAlignment="1">
      <alignment horizontal="right"/>
    </xf>
    <xf numFmtId="0" fontId="14" fillId="0" borderId="0" xfId="0" applyFont="1"/>
    <xf numFmtId="0" fontId="1" fillId="3" borderId="0" xfId="0" applyFont="1" applyFill="1"/>
    <xf numFmtId="0" fontId="18" fillId="4" borderId="0" xfId="0" applyFont="1" applyFill="1"/>
    <xf numFmtId="9" fontId="18" fillId="4" borderId="0" xfId="0" applyNumberFormat="1" applyFont="1" applyFill="1"/>
    <xf numFmtId="0" fontId="19" fillId="4" borderId="0" xfId="0" applyFont="1" applyFill="1"/>
    <xf numFmtId="0" fontId="20" fillId="4" borderId="0" xfId="0" applyFont="1" applyFill="1"/>
    <xf numFmtId="165" fontId="18" fillId="4" borderId="0" xfId="0" applyNumberFormat="1" applyFont="1" applyFill="1"/>
    <xf numFmtId="0" fontId="18" fillId="4" borderId="0" xfId="0" applyFont="1" applyFill="1" applyAlignment="1"/>
    <xf numFmtId="0" fontId="0" fillId="5" borderId="0" xfId="0" applyFill="1"/>
    <xf numFmtId="0" fontId="0" fillId="6" borderId="0" xfId="0" applyFill="1"/>
    <xf numFmtId="0" fontId="17" fillId="6" borderId="0" xfId="0" applyFont="1" applyFill="1"/>
    <xf numFmtId="0" fontId="4" fillId="5" borderId="0" xfId="0" applyFont="1" applyFill="1"/>
    <xf numFmtId="165" fontId="0" fillId="5" borderId="0" xfId="0" applyNumberFormat="1" applyFill="1"/>
    <xf numFmtId="0" fontId="21" fillId="5" borderId="0" xfId="0" applyFont="1" applyFill="1"/>
    <xf numFmtId="165" fontId="0" fillId="0" borderId="0" xfId="0" applyNumberFormat="1"/>
  </cellXfs>
  <cellStyles count="13">
    <cellStyle name="Hiperlink" xfId="1" builtinId="8" hidden="1"/>
    <cellStyle name="Hiperlink" xfId="3" builtinId="8" hidden="1"/>
    <cellStyle name="Hiperlink" xfId="5" builtinId="8" hidden="1"/>
    <cellStyle name="Hiperlink" xfId="7" builtinId="8" hidden="1"/>
    <cellStyle name="Hiperlink" xfId="9" builtinId="8" hidden="1"/>
    <cellStyle name="Hiperlink" xfId="11" builtinId="8" hidden="1"/>
    <cellStyle name="Hiperlink Visitado" xfId="2" builtinId="9" hidden="1"/>
    <cellStyle name="Hiperlink Visitado" xfId="4" builtinId="9" hidden="1"/>
    <cellStyle name="Hiperlink Visitado" xfId="6" builtinId="9" hidden="1"/>
    <cellStyle name="Hiperlink Visitado" xfId="8" builtinId="9" hidden="1"/>
    <cellStyle name="Hiperlink Visitado" xfId="10" builtinId="9" hidden="1"/>
    <cellStyle name="Hiperlink Visitado" xfId="12" builtinId="9" hidden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01/jun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2.6604621981361001E-2"/>
                  <c:y val="0.19533974919801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numRef>
              <c:f>'CO2 refil'!$A$3:$A$13</c:f>
              <c:numCache>
                <c:formatCode>General</c:formatCode>
                <c:ptCount val="11"/>
                <c:pt idx="0">
                  <c:v>25.3</c:v>
                </c:pt>
                <c:pt idx="1">
                  <c:v>33.299999999999997</c:v>
                </c:pt>
                <c:pt idx="2">
                  <c:v>21.3</c:v>
                </c:pt>
                <c:pt idx="3">
                  <c:v>30.7</c:v>
                </c:pt>
                <c:pt idx="4">
                  <c:v>33.6</c:v>
                </c:pt>
                <c:pt idx="5">
                  <c:v>34</c:v>
                </c:pt>
                <c:pt idx="6">
                  <c:v>20.8</c:v>
                </c:pt>
                <c:pt idx="7">
                  <c:v>21.8</c:v>
                </c:pt>
                <c:pt idx="8">
                  <c:v>5.5</c:v>
                </c:pt>
                <c:pt idx="9">
                  <c:v>11.2</c:v>
                </c:pt>
                <c:pt idx="10">
                  <c:v>40.6</c:v>
                </c:pt>
              </c:numCache>
            </c:numRef>
          </c:xVal>
          <c:yVal>
            <c:numRef>
              <c:f>'CO2 refil'!$B$3:$B$13</c:f>
              <c:numCache>
                <c:formatCode>General</c:formatCode>
                <c:ptCount val="11"/>
                <c:pt idx="0">
                  <c:v>3083</c:v>
                </c:pt>
                <c:pt idx="1">
                  <c:v>4120</c:v>
                </c:pt>
                <c:pt idx="2">
                  <c:v>2749</c:v>
                </c:pt>
                <c:pt idx="3">
                  <c:v>3764</c:v>
                </c:pt>
                <c:pt idx="4">
                  <c:v>4137</c:v>
                </c:pt>
                <c:pt idx="5">
                  <c:v>4146</c:v>
                </c:pt>
                <c:pt idx="6">
                  <c:v>2562</c:v>
                </c:pt>
                <c:pt idx="7">
                  <c:v>2848</c:v>
                </c:pt>
                <c:pt idx="8">
                  <c:v>626</c:v>
                </c:pt>
                <c:pt idx="9">
                  <c:v>1365</c:v>
                </c:pt>
                <c:pt idx="10">
                  <c:v>5960</c:v>
                </c:pt>
              </c:numCache>
            </c:numRef>
          </c:yVal>
          <c:smooth val="0"/>
        </c:ser>
        <c:ser>
          <c:idx val="1"/>
          <c:order val="1"/>
          <c:tx>
            <c:v>29/jun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21236351707359799"/>
                  <c:y val="-7.0078740157480304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numRef>
              <c:f>'CO2 refil'!$A$15:$A$23</c:f>
              <c:numCache>
                <c:formatCode>General</c:formatCode>
                <c:ptCount val="9"/>
                <c:pt idx="0">
                  <c:v>8.8000000000000007</c:v>
                </c:pt>
                <c:pt idx="1">
                  <c:v>8.4</c:v>
                </c:pt>
                <c:pt idx="2">
                  <c:v>5.9</c:v>
                </c:pt>
                <c:pt idx="3">
                  <c:v>11.1</c:v>
                </c:pt>
                <c:pt idx="4">
                  <c:v>28.8</c:v>
                </c:pt>
                <c:pt idx="5">
                  <c:v>16.399999999999999</c:v>
                </c:pt>
                <c:pt idx="6">
                  <c:v>27.6</c:v>
                </c:pt>
                <c:pt idx="7">
                  <c:v>29.3</c:v>
                </c:pt>
                <c:pt idx="8">
                  <c:v>6.9</c:v>
                </c:pt>
              </c:numCache>
            </c:numRef>
          </c:xVal>
          <c:yVal>
            <c:numRef>
              <c:f>'CO2 refil'!$B$15:$B$23</c:f>
              <c:numCache>
                <c:formatCode>General</c:formatCode>
                <c:ptCount val="9"/>
                <c:pt idx="0">
                  <c:v>1650</c:v>
                </c:pt>
                <c:pt idx="1">
                  <c:v>1548</c:v>
                </c:pt>
                <c:pt idx="2">
                  <c:v>1028</c:v>
                </c:pt>
                <c:pt idx="3">
                  <c:v>2006</c:v>
                </c:pt>
                <c:pt idx="4">
                  <c:v>5381</c:v>
                </c:pt>
                <c:pt idx="5">
                  <c:v>3098</c:v>
                </c:pt>
                <c:pt idx="6">
                  <c:v>5416</c:v>
                </c:pt>
                <c:pt idx="7">
                  <c:v>6243</c:v>
                </c:pt>
                <c:pt idx="8">
                  <c:v>1171</c:v>
                </c:pt>
              </c:numCache>
            </c:numRef>
          </c:yVal>
          <c:smooth val="0"/>
        </c:ser>
        <c:ser>
          <c:idx val="2"/>
          <c:order val="2"/>
          <c:tx>
            <c:v>12-24/08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7.7300579240558202E-4"/>
                  <c:y val="-1.6165427238261899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numRef>
              <c:f>'CO2 refil'!$A$26:$A$46</c:f>
              <c:numCache>
                <c:formatCode>General</c:formatCode>
                <c:ptCount val="21"/>
                <c:pt idx="0">
                  <c:v>20.6</c:v>
                </c:pt>
                <c:pt idx="1">
                  <c:v>16.2</c:v>
                </c:pt>
                <c:pt idx="2">
                  <c:v>18.3</c:v>
                </c:pt>
                <c:pt idx="4">
                  <c:v>20.3</c:v>
                </c:pt>
                <c:pt idx="5">
                  <c:v>19.100000000000001</c:v>
                </c:pt>
                <c:pt idx="6">
                  <c:v>16.399999999999999</c:v>
                </c:pt>
                <c:pt idx="7">
                  <c:v>16.399999999999999</c:v>
                </c:pt>
                <c:pt idx="8">
                  <c:v>16.399999999999999</c:v>
                </c:pt>
                <c:pt idx="10">
                  <c:v>13.1</c:v>
                </c:pt>
                <c:pt idx="11">
                  <c:v>17</c:v>
                </c:pt>
                <c:pt idx="12">
                  <c:v>22.8</c:v>
                </c:pt>
                <c:pt idx="13">
                  <c:v>14</c:v>
                </c:pt>
                <c:pt idx="14">
                  <c:v>27.1</c:v>
                </c:pt>
                <c:pt idx="15">
                  <c:v>5.3</c:v>
                </c:pt>
                <c:pt idx="16">
                  <c:v>20.5</c:v>
                </c:pt>
                <c:pt idx="17">
                  <c:v>20.2</c:v>
                </c:pt>
                <c:pt idx="18">
                  <c:v>13.1</c:v>
                </c:pt>
                <c:pt idx="19">
                  <c:v>20.6</c:v>
                </c:pt>
                <c:pt idx="20">
                  <c:v>10.6</c:v>
                </c:pt>
              </c:numCache>
            </c:numRef>
          </c:xVal>
          <c:yVal>
            <c:numRef>
              <c:f>'CO2 refil'!$B$26:$B$46</c:f>
              <c:numCache>
                <c:formatCode>General</c:formatCode>
                <c:ptCount val="21"/>
                <c:pt idx="0">
                  <c:v>4402</c:v>
                </c:pt>
                <c:pt idx="1">
                  <c:v>3444</c:v>
                </c:pt>
                <c:pt idx="2">
                  <c:v>3980</c:v>
                </c:pt>
                <c:pt idx="4">
                  <c:v>4424</c:v>
                </c:pt>
                <c:pt idx="5">
                  <c:v>3978</c:v>
                </c:pt>
                <c:pt idx="6">
                  <c:v>3372</c:v>
                </c:pt>
                <c:pt idx="7">
                  <c:v>3359</c:v>
                </c:pt>
                <c:pt idx="8">
                  <c:v>3360</c:v>
                </c:pt>
                <c:pt idx="10">
                  <c:v>2542</c:v>
                </c:pt>
                <c:pt idx="11">
                  <c:v>3479</c:v>
                </c:pt>
                <c:pt idx="12">
                  <c:v>4848</c:v>
                </c:pt>
                <c:pt idx="13">
                  <c:v>2802</c:v>
                </c:pt>
                <c:pt idx="14">
                  <c:v>6315</c:v>
                </c:pt>
                <c:pt idx="15">
                  <c:v>964</c:v>
                </c:pt>
                <c:pt idx="16">
                  <c:v>4266</c:v>
                </c:pt>
                <c:pt idx="17">
                  <c:v>4174</c:v>
                </c:pt>
                <c:pt idx="18">
                  <c:v>2596</c:v>
                </c:pt>
                <c:pt idx="19">
                  <c:v>4210</c:v>
                </c:pt>
                <c:pt idx="20">
                  <c:v>2127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252160"/>
        <c:axId val="62252736"/>
      </c:scatterChart>
      <c:valAx>
        <c:axId val="622521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Pressure Bellow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2252736"/>
        <c:crosses val="autoZero"/>
        <c:crossBetween val="midCat"/>
      </c:valAx>
      <c:valAx>
        <c:axId val="6225273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Intensity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22521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3"/>
        <c:delete val="1"/>
      </c:legendEntry>
      <c:legendEntry>
        <c:idx val="4"/>
        <c:delete val="1"/>
      </c:legendEntry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1231985494557"/>
          <c:y val="0.101851851851852"/>
          <c:w val="0.85045469104197402"/>
          <c:h val="0.692577282006416"/>
        </c:manualLayout>
      </c:layout>
      <c:scatterChart>
        <c:scatterStyle val="lineMarker"/>
        <c:varyColors val="0"/>
        <c:ser>
          <c:idx val="0"/>
          <c:order val="0"/>
          <c:tx>
            <c:v>June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5549732380450098"/>
                  <c:y val="1.4814960629921299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numRef>
              <c:f>'CO2 refil'!$O$3:$O$13</c:f>
              <c:numCache>
                <c:formatCode>General</c:formatCode>
                <c:ptCount val="11"/>
                <c:pt idx="0">
                  <c:v>20</c:v>
                </c:pt>
                <c:pt idx="1">
                  <c:v>25</c:v>
                </c:pt>
                <c:pt idx="2">
                  <c:v>25</c:v>
                </c:pt>
                <c:pt idx="3">
                  <c:v>30</c:v>
                </c:pt>
                <c:pt idx="4">
                  <c:v>35</c:v>
                </c:pt>
                <c:pt idx="5">
                  <c:v>35</c:v>
                </c:pt>
                <c:pt idx="6">
                  <c:v>40</c:v>
                </c:pt>
                <c:pt idx="7">
                  <c:v>40</c:v>
                </c:pt>
                <c:pt idx="8">
                  <c:v>25</c:v>
                </c:pt>
                <c:pt idx="9">
                  <c:v>22</c:v>
                </c:pt>
                <c:pt idx="10">
                  <c:v>35</c:v>
                </c:pt>
              </c:numCache>
            </c:numRef>
          </c:xVal>
          <c:yVal>
            <c:numRef>
              <c:f>'CO2 refil'!$P$3:$P$13</c:f>
              <c:numCache>
                <c:formatCode>General</c:formatCode>
                <c:ptCount val="11"/>
                <c:pt idx="0">
                  <c:v>4.7</c:v>
                </c:pt>
                <c:pt idx="1">
                  <c:v>5.8</c:v>
                </c:pt>
                <c:pt idx="2">
                  <c:v>5.9</c:v>
                </c:pt>
                <c:pt idx="3">
                  <c:v>7.1</c:v>
                </c:pt>
                <c:pt idx="4">
                  <c:v>8.3000000000000007</c:v>
                </c:pt>
                <c:pt idx="5">
                  <c:v>8.1999999999999993</c:v>
                </c:pt>
                <c:pt idx="6">
                  <c:v>9.3000000000000007</c:v>
                </c:pt>
                <c:pt idx="7">
                  <c:v>9.4</c:v>
                </c:pt>
                <c:pt idx="8">
                  <c:v>5.9</c:v>
                </c:pt>
                <c:pt idx="9">
                  <c:v>5.0999999999999996</c:v>
                </c:pt>
                <c:pt idx="10">
                  <c:v>8.1999999999999993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255040"/>
        <c:axId val="62255616"/>
      </c:scatterChart>
      <c:valAx>
        <c:axId val="62255040"/>
        <c:scaling>
          <c:orientation val="minMax"/>
          <c:min val="1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Refil</a:t>
                </a:r>
                <a:r>
                  <a:rPr lang="pt-BR" baseline="0"/>
                  <a:t> time</a:t>
                </a:r>
                <a:endParaRPr lang="pt-BR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2255616"/>
        <c:crosses val="autoZero"/>
        <c:crossBetween val="midCat"/>
      </c:valAx>
      <c:valAx>
        <c:axId val="6225561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Pressure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2255040"/>
        <c:crosses val="autoZero"/>
        <c:crossBetween val="midCat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660707647595601"/>
          <c:y val="4.7696468822487903E-2"/>
          <c:w val="0.80665472609915201"/>
          <c:h val="0.75976889917096202"/>
        </c:manualLayout>
      </c:layout>
      <c:scatterChart>
        <c:scatterStyle val="lineMarker"/>
        <c:varyColors val="0"/>
        <c:ser>
          <c:idx val="0"/>
          <c:order val="0"/>
          <c:tx>
            <c:strRef>
              <c:f>'CO2 refil'!$Z$1</c:f>
              <c:strCache>
                <c:ptCount val="1"/>
                <c:pt idx="0">
                  <c:v>July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0.179149290887995"/>
                  <c:y val="-0.151705498716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numRef>
              <c:f>'CO2 refil'!$Z$3:$Z$12</c:f>
              <c:numCache>
                <c:formatCode>General</c:formatCode>
                <c:ptCount val="10"/>
                <c:pt idx="0">
                  <c:v>100</c:v>
                </c:pt>
                <c:pt idx="1">
                  <c:v>10</c:v>
                </c:pt>
                <c:pt idx="2">
                  <c:v>85</c:v>
                </c:pt>
                <c:pt idx="3">
                  <c:v>80</c:v>
                </c:pt>
                <c:pt idx="4">
                  <c:v>70</c:v>
                </c:pt>
                <c:pt idx="5">
                  <c:v>60</c:v>
                </c:pt>
                <c:pt idx="6">
                  <c:v>55</c:v>
                </c:pt>
                <c:pt idx="7">
                  <c:v>40</c:v>
                </c:pt>
                <c:pt idx="8">
                  <c:v>20</c:v>
                </c:pt>
                <c:pt idx="9">
                  <c:v>10</c:v>
                </c:pt>
              </c:numCache>
            </c:numRef>
          </c:xVal>
          <c:yVal>
            <c:numRef>
              <c:f>'CO2 refil'!$Y$3:$Y$12</c:f>
              <c:numCache>
                <c:formatCode>General</c:formatCode>
                <c:ptCount val="10"/>
                <c:pt idx="0">
                  <c:v>30.4</c:v>
                </c:pt>
                <c:pt idx="1">
                  <c:v>216</c:v>
                </c:pt>
                <c:pt idx="2">
                  <c:v>36.1</c:v>
                </c:pt>
                <c:pt idx="3">
                  <c:v>38.200000000000003</c:v>
                </c:pt>
                <c:pt idx="4">
                  <c:v>43.5</c:v>
                </c:pt>
                <c:pt idx="5">
                  <c:v>51.2</c:v>
                </c:pt>
                <c:pt idx="6">
                  <c:v>56.5</c:v>
                </c:pt>
                <c:pt idx="7">
                  <c:v>80.099999999999994</c:v>
                </c:pt>
                <c:pt idx="8">
                  <c:v>166.5</c:v>
                </c:pt>
                <c:pt idx="9">
                  <c:v>216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'CO2 refil'!$AL$1</c:f>
              <c:strCache>
                <c:ptCount val="1"/>
                <c:pt idx="0">
                  <c:v>March16</c:v>
                </c:pt>
              </c:strCache>
            </c:strRef>
          </c:tx>
          <c:spPr>
            <a:ln w="19050">
              <a:noFill/>
            </a:ln>
          </c:spPr>
          <c:trendline>
            <c:spPr>
              <a:ln>
                <a:solidFill>
                  <a:schemeClr val="accent2"/>
                </a:solidFill>
                <a:prstDash val="dash"/>
              </a:ln>
            </c:spPr>
            <c:trendlineType val="exp"/>
            <c:dispRSqr val="1"/>
            <c:dispEq val="1"/>
            <c:trendlineLbl>
              <c:layout>
                <c:manualLayout>
                  <c:x val="-0.22106548390312"/>
                  <c:y val="-0.60804517027590199"/>
                </c:manualLayout>
              </c:layout>
              <c:numFmt formatCode="General" sourceLinked="0"/>
              <c:txPr>
                <a:bodyPr/>
                <a:lstStyle/>
                <a:p>
                  <a:pPr>
                    <a:defRPr>
                      <a:solidFill>
                        <a:schemeClr val="accent2"/>
                      </a:solidFill>
                    </a:defRPr>
                  </a:pPr>
                  <a:endParaRPr lang="pt-BR"/>
                </a:p>
              </c:txPr>
            </c:trendlineLbl>
          </c:trendline>
          <c:xVal>
            <c:numRef>
              <c:f>'CO2 refil'!$AL$3:$AL$12</c:f>
              <c:numCache>
                <c:formatCode>General</c:formatCode>
                <c:ptCount val="10"/>
                <c:pt idx="0">
                  <c:v>100</c:v>
                </c:pt>
                <c:pt idx="1">
                  <c:v>10</c:v>
                </c:pt>
                <c:pt idx="2">
                  <c:v>85</c:v>
                </c:pt>
                <c:pt idx="3">
                  <c:v>80</c:v>
                </c:pt>
                <c:pt idx="4">
                  <c:v>70</c:v>
                </c:pt>
                <c:pt idx="5">
                  <c:v>60</c:v>
                </c:pt>
                <c:pt idx="6">
                  <c:v>55</c:v>
                </c:pt>
                <c:pt idx="7">
                  <c:v>40</c:v>
                </c:pt>
                <c:pt idx="8">
                  <c:v>20</c:v>
                </c:pt>
                <c:pt idx="9">
                  <c:v>15</c:v>
                </c:pt>
              </c:numCache>
            </c:numRef>
          </c:xVal>
          <c:yVal>
            <c:numRef>
              <c:f>'CO2 refil'!$AK$3:$AK$12</c:f>
              <c:numCache>
                <c:formatCode>General</c:formatCode>
                <c:ptCount val="10"/>
                <c:pt idx="0">
                  <c:v>17.5</c:v>
                </c:pt>
                <c:pt idx="3">
                  <c:v>22.3</c:v>
                </c:pt>
                <c:pt idx="5">
                  <c:v>31</c:v>
                </c:pt>
                <c:pt idx="7">
                  <c:v>48</c:v>
                </c:pt>
                <c:pt idx="9">
                  <c:v>142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'CO2 refil'!$AP$1</c:f>
              <c:strCache>
                <c:ptCount val="1"/>
                <c:pt idx="0">
                  <c:v>March23</c:v>
                </c:pt>
              </c:strCache>
            </c:strRef>
          </c:tx>
          <c:spPr>
            <a:ln w="19050">
              <a:noFill/>
            </a:ln>
          </c:spPr>
          <c:trendline>
            <c:spPr>
              <a:ln>
                <a:solidFill>
                  <a:schemeClr val="accent3"/>
                </a:solidFill>
                <a:prstDash val="dash"/>
              </a:ln>
            </c:spPr>
            <c:trendlineType val="linear"/>
            <c:dispRSqr val="1"/>
            <c:dispEq val="1"/>
            <c:trendlineLbl>
              <c:layout>
                <c:manualLayout>
                  <c:x val="-1.97386624140337E-2"/>
                  <c:y val="-0.33550074896711202"/>
                </c:manualLayout>
              </c:layout>
              <c:numFmt formatCode="General" sourceLinked="0"/>
              <c:txPr>
                <a:bodyPr/>
                <a:lstStyle/>
                <a:p>
                  <a:pPr>
                    <a:defRPr>
                      <a:solidFill>
                        <a:schemeClr val="accent3"/>
                      </a:solidFill>
                    </a:defRPr>
                  </a:pPr>
                  <a:endParaRPr lang="pt-BR"/>
                </a:p>
              </c:txPr>
            </c:trendlineLbl>
          </c:trendline>
          <c:xVal>
            <c:numRef>
              <c:f>'CO2 refil'!$AP$3:$AP$9</c:f>
              <c:numCache>
                <c:formatCode>General</c:formatCode>
                <c:ptCount val="7"/>
                <c:pt idx="0">
                  <c:v>100</c:v>
                </c:pt>
                <c:pt idx="1">
                  <c:v>79</c:v>
                </c:pt>
                <c:pt idx="2">
                  <c:v>66</c:v>
                </c:pt>
                <c:pt idx="3">
                  <c:v>49</c:v>
                </c:pt>
                <c:pt idx="4">
                  <c:v>39</c:v>
                </c:pt>
                <c:pt idx="5">
                  <c:v>25</c:v>
                </c:pt>
                <c:pt idx="6">
                  <c:v>20</c:v>
                </c:pt>
              </c:numCache>
            </c:numRef>
          </c:xVal>
          <c:yVal>
            <c:numRef>
              <c:f>'CO2 refil'!$AO$3:$AO$9</c:f>
              <c:numCache>
                <c:formatCode>General</c:formatCode>
                <c:ptCount val="7"/>
                <c:pt idx="0">
                  <c:v>6.3</c:v>
                </c:pt>
                <c:pt idx="1">
                  <c:v>8.1</c:v>
                </c:pt>
                <c:pt idx="2">
                  <c:v>10</c:v>
                </c:pt>
                <c:pt idx="3">
                  <c:v>14.2</c:v>
                </c:pt>
                <c:pt idx="4">
                  <c:v>18.899999999999999</c:v>
                </c:pt>
                <c:pt idx="5">
                  <c:v>33.5</c:v>
                </c:pt>
                <c:pt idx="6">
                  <c:v>41.2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257344"/>
        <c:axId val="62257920"/>
      </c:scatterChart>
      <c:valAx>
        <c:axId val="622573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%</a:t>
                </a:r>
                <a:r>
                  <a:rPr lang="pt-BR" baseline="0"/>
                  <a:t> do bellow</a:t>
                </a:r>
                <a:endParaRPr lang="pt-BR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2257920"/>
        <c:crosses val="autoZero"/>
        <c:crossBetween val="midCat"/>
      </c:valAx>
      <c:valAx>
        <c:axId val="6225792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Pressure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22573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RR35 _ 12 amostras 4g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7175721784776897"/>
                  <c:y val="0.2221318168562259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numRef>
              <c:f>'CO2 refil'!$Z$23:$Z$34</c:f>
              <c:numCache>
                <c:formatCode>h:mm:ss</c:formatCode>
                <c:ptCount val="12"/>
                <c:pt idx="0">
                  <c:v>0.43255787037037036</c:v>
                </c:pt>
                <c:pt idx="1">
                  <c:v>0.45386574074074071</c:v>
                </c:pt>
                <c:pt idx="2">
                  <c:v>0.47571759259259255</c:v>
                </c:pt>
                <c:pt idx="3">
                  <c:v>0.49807870370370372</c:v>
                </c:pt>
                <c:pt idx="4">
                  <c:v>0.52265046296296302</c:v>
                </c:pt>
                <c:pt idx="5">
                  <c:v>0.54355324074074074</c:v>
                </c:pt>
                <c:pt idx="6">
                  <c:v>0.56841435185185185</c:v>
                </c:pt>
                <c:pt idx="7">
                  <c:v>0.58937499999999998</c:v>
                </c:pt>
                <c:pt idx="8">
                  <c:v>0.61368055555555556</c:v>
                </c:pt>
                <c:pt idx="9">
                  <c:v>0.63475694444444442</c:v>
                </c:pt>
                <c:pt idx="10">
                  <c:v>0.65856481481481477</c:v>
                </c:pt>
                <c:pt idx="11">
                  <c:v>0.6796875</c:v>
                </c:pt>
              </c:numCache>
            </c:numRef>
          </c:xVal>
          <c:yVal>
            <c:numRef>
              <c:f>'CO2 refil'!$Y$23:$Y$34</c:f>
              <c:numCache>
                <c:formatCode>General</c:formatCode>
                <c:ptCount val="12"/>
                <c:pt idx="0">
                  <c:v>16.8</c:v>
                </c:pt>
                <c:pt idx="1">
                  <c:v>15.8</c:v>
                </c:pt>
                <c:pt idx="2">
                  <c:v>15.4</c:v>
                </c:pt>
                <c:pt idx="3">
                  <c:v>14.8</c:v>
                </c:pt>
                <c:pt idx="4">
                  <c:v>14.3</c:v>
                </c:pt>
                <c:pt idx="5">
                  <c:v>13.6</c:v>
                </c:pt>
                <c:pt idx="6">
                  <c:v>13</c:v>
                </c:pt>
                <c:pt idx="7">
                  <c:v>12.5</c:v>
                </c:pt>
                <c:pt idx="8">
                  <c:v>12.1</c:v>
                </c:pt>
                <c:pt idx="9">
                  <c:v>11.7</c:v>
                </c:pt>
                <c:pt idx="10">
                  <c:v>11.1</c:v>
                </c:pt>
                <c:pt idx="11">
                  <c:v>10.9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088256"/>
        <c:axId val="119088832"/>
      </c:scatterChart>
      <c:valAx>
        <c:axId val="119088256"/>
        <c:scaling>
          <c:orientation val="minMax"/>
          <c:min val="0.4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Hora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h:mm;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9088832"/>
        <c:crosses val="autoZero"/>
        <c:crossBetween val="midCat"/>
      </c:valAx>
      <c:valAx>
        <c:axId val="11908883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Pressão</a:t>
                </a:r>
                <a:r>
                  <a:rPr lang="pt-BR" baseline="0"/>
                  <a:t> do below reference a 50%</a:t>
                </a:r>
                <a:endParaRPr lang="pt-BR"/>
              </a:p>
            </c:rich>
          </c:tx>
          <c:layout>
            <c:manualLayout>
              <c:xMode val="edge"/>
              <c:yMode val="edge"/>
              <c:x val="1.6666666666666701E-2"/>
              <c:y val="0.143935185185185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90882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RR35 _ 12 amostras 5g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7175721784776897"/>
                  <c:y val="0.2221318168562259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numRef>
              <c:f>'CO2 refil'!$Z$38:$Z$49</c:f>
              <c:numCache>
                <c:formatCode>h:mm:ss</c:formatCode>
                <c:ptCount val="12"/>
                <c:pt idx="0">
                  <c:v>0.70629629629629631</c:v>
                </c:pt>
                <c:pt idx="1">
                  <c:v>0.74430555555555555</c:v>
                </c:pt>
                <c:pt idx="2">
                  <c:v>0.76734953703703701</c:v>
                </c:pt>
                <c:pt idx="3">
                  <c:v>0.78930555555555559</c:v>
                </c:pt>
                <c:pt idx="4">
                  <c:v>0.81221064814814825</c:v>
                </c:pt>
                <c:pt idx="5">
                  <c:v>0.83535879629629628</c:v>
                </c:pt>
                <c:pt idx="6">
                  <c:v>0.85828703703703713</c:v>
                </c:pt>
                <c:pt idx="7">
                  <c:v>0.88024305555555549</c:v>
                </c:pt>
                <c:pt idx="8">
                  <c:v>0.90349537037037031</c:v>
                </c:pt>
                <c:pt idx="9">
                  <c:v>0.92710648148148145</c:v>
                </c:pt>
                <c:pt idx="10">
                  <c:v>0.94842592592592589</c:v>
                </c:pt>
                <c:pt idx="11">
                  <c:v>0.97100694444444446</c:v>
                </c:pt>
              </c:numCache>
            </c:numRef>
          </c:xVal>
          <c:yVal>
            <c:numRef>
              <c:f>'CO2 refil'!$Y$38:$Y$49</c:f>
              <c:numCache>
                <c:formatCode>General</c:formatCode>
                <c:ptCount val="12"/>
                <c:pt idx="0">
                  <c:v>17</c:v>
                </c:pt>
                <c:pt idx="1">
                  <c:v>15.9</c:v>
                </c:pt>
                <c:pt idx="2">
                  <c:v>15.2</c:v>
                </c:pt>
                <c:pt idx="3">
                  <c:v>14.7</c:v>
                </c:pt>
                <c:pt idx="4">
                  <c:v>14.1</c:v>
                </c:pt>
                <c:pt idx="5">
                  <c:v>13.5</c:v>
                </c:pt>
                <c:pt idx="6">
                  <c:v>12.8</c:v>
                </c:pt>
                <c:pt idx="7">
                  <c:v>12</c:v>
                </c:pt>
                <c:pt idx="8">
                  <c:v>11.4</c:v>
                </c:pt>
                <c:pt idx="9">
                  <c:v>10.9</c:v>
                </c:pt>
                <c:pt idx="10">
                  <c:v>10.199999999999999</c:v>
                </c:pt>
                <c:pt idx="11">
                  <c:v>9.5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090560"/>
        <c:axId val="119091136"/>
      </c:scatterChart>
      <c:valAx>
        <c:axId val="119090560"/>
        <c:scaling>
          <c:orientation val="minMax"/>
          <c:min val="0.6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Hora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h:mm;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9091136"/>
        <c:crosses val="autoZero"/>
        <c:crossBetween val="midCat"/>
      </c:valAx>
      <c:valAx>
        <c:axId val="11909113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Pressão</a:t>
                </a:r>
                <a:r>
                  <a:rPr lang="pt-BR" baseline="0"/>
                  <a:t> do below reference a 50%</a:t>
                </a:r>
                <a:endParaRPr lang="pt-BR"/>
              </a:p>
            </c:rich>
          </c:tx>
          <c:layout>
            <c:manualLayout>
              <c:xMode val="edge"/>
              <c:yMode val="edge"/>
              <c:x val="1.6666666666666701E-2"/>
              <c:y val="0.143935185185185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90905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2"/>
          <c:order val="0"/>
          <c:tx>
            <c:v>29jun-atual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7651966308037501"/>
                  <c:y val="0.1297911198600170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numRef>
              <c:f>'CO2 refil'!$A$15:$A$69</c:f>
              <c:numCache>
                <c:formatCode>General</c:formatCode>
                <c:ptCount val="55"/>
                <c:pt idx="0">
                  <c:v>8.8000000000000007</c:v>
                </c:pt>
                <c:pt idx="1">
                  <c:v>8.4</c:v>
                </c:pt>
                <c:pt idx="2">
                  <c:v>5.9</c:v>
                </c:pt>
                <c:pt idx="3">
                  <c:v>11.1</c:v>
                </c:pt>
                <c:pt idx="4">
                  <c:v>28.8</c:v>
                </c:pt>
                <c:pt idx="5">
                  <c:v>16.399999999999999</c:v>
                </c:pt>
                <c:pt idx="6">
                  <c:v>27.6</c:v>
                </c:pt>
                <c:pt idx="7">
                  <c:v>29.3</c:v>
                </c:pt>
                <c:pt idx="8">
                  <c:v>6.9</c:v>
                </c:pt>
                <c:pt idx="11">
                  <c:v>20.6</c:v>
                </c:pt>
                <c:pt idx="12">
                  <c:v>16.2</c:v>
                </c:pt>
                <c:pt idx="13">
                  <c:v>18.3</c:v>
                </c:pt>
                <c:pt idx="15">
                  <c:v>20.3</c:v>
                </c:pt>
                <c:pt idx="16">
                  <c:v>19.100000000000001</c:v>
                </c:pt>
                <c:pt idx="17">
                  <c:v>16.399999999999999</c:v>
                </c:pt>
                <c:pt idx="18">
                  <c:v>16.399999999999999</c:v>
                </c:pt>
                <c:pt idx="19">
                  <c:v>16.399999999999999</c:v>
                </c:pt>
                <c:pt idx="21">
                  <c:v>13.1</c:v>
                </c:pt>
                <c:pt idx="22">
                  <c:v>17</c:v>
                </c:pt>
                <c:pt idx="23">
                  <c:v>22.8</c:v>
                </c:pt>
                <c:pt idx="24">
                  <c:v>14</c:v>
                </c:pt>
                <c:pt idx="25">
                  <c:v>27.1</c:v>
                </c:pt>
                <c:pt idx="26">
                  <c:v>5.3</c:v>
                </c:pt>
                <c:pt idx="27">
                  <c:v>20.5</c:v>
                </c:pt>
                <c:pt idx="28">
                  <c:v>20.2</c:v>
                </c:pt>
                <c:pt idx="29">
                  <c:v>13.1</c:v>
                </c:pt>
                <c:pt idx="30">
                  <c:v>20.6</c:v>
                </c:pt>
                <c:pt idx="31">
                  <c:v>10.6</c:v>
                </c:pt>
                <c:pt idx="32">
                  <c:v>3.9</c:v>
                </c:pt>
                <c:pt idx="33">
                  <c:v>2.9</c:v>
                </c:pt>
                <c:pt idx="34">
                  <c:v>6.4</c:v>
                </c:pt>
                <c:pt idx="35">
                  <c:v>12.3</c:v>
                </c:pt>
                <c:pt idx="36">
                  <c:v>16.899999999999999</c:v>
                </c:pt>
                <c:pt idx="37">
                  <c:v>20</c:v>
                </c:pt>
                <c:pt idx="38">
                  <c:v>6.9</c:v>
                </c:pt>
              </c:numCache>
            </c:numRef>
          </c:xVal>
          <c:yVal>
            <c:numRef>
              <c:f>'CO2 refil'!$B$15:$B$69</c:f>
              <c:numCache>
                <c:formatCode>General</c:formatCode>
                <c:ptCount val="55"/>
                <c:pt idx="0">
                  <c:v>1650</c:v>
                </c:pt>
                <c:pt idx="1">
                  <c:v>1548</c:v>
                </c:pt>
                <c:pt idx="2">
                  <c:v>1028</c:v>
                </c:pt>
                <c:pt idx="3">
                  <c:v>2006</c:v>
                </c:pt>
                <c:pt idx="4">
                  <c:v>5381</c:v>
                </c:pt>
                <c:pt idx="5">
                  <c:v>3098</c:v>
                </c:pt>
                <c:pt idx="6">
                  <c:v>5416</c:v>
                </c:pt>
                <c:pt idx="7">
                  <c:v>6243</c:v>
                </c:pt>
                <c:pt idx="8">
                  <c:v>1171</c:v>
                </c:pt>
                <c:pt idx="11">
                  <c:v>4402</c:v>
                </c:pt>
                <c:pt idx="12">
                  <c:v>3444</c:v>
                </c:pt>
                <c:pt idx="13">
                  <c:v>3980</c:v>
                </c:pt>
                <c:pt idx="15">
                  <c:v>4424</c:v>
                </c:pt>
                <c:pt idx="16">
                  <c:v>3978</c:v>
                </c:pt>
                <c:pt idx="17">
                  <c:v>3372</c:v>
                </c:pt>
                <c:pt idx="18">
                  <c:v>3359</c:v>
                </c:pt>
                <c:pt idx="19">
                  <c:v>3360</c:v>
                </c:pt>
                <c:pt idx="21">
                  <c:v>2542</c:v>
                </c:pt>
                <c:pt idx="22">
                  <c:v>3479</c:v>
                </c:pt>
                <c:pt idx="23">
                  <c:v>4848</c:v>
                </c:pt>
                <c:pt idx="24">
                  <c:v>2802</c:v>
                </c:pt>
                <c:pt idx="25">
                  <c:v>6315</c:v>
                </c:pt>
                <c:pt idx="26">
                  <c:v>964</c:v>
                </c:pt>
                <c:pt idx="27">
                  <c:v>4266</c:v>
                </c:pt>
                <c:pt idx="28">
                  <c:v>4174</c:v>
                </c:pt>
                <c:pt idx="29">
                  <c:v>2596</c:v>
                </c:pt>
                <c:pt idx="30">
                  <c:v>4210</c:v>
                </c:pt>
                <c:pt idx="31">
                  <c:v>2127</c:v>
                </c:pt>
                <c:pt idx="32">
                  <c:v>667</c:v>
                </c:pt>
                <c:pt idx="33">
                  <c:v>486</c:v>
                </c:pt>
                <c:pt idx="34">
                  <c:v>1132</c:v>
                </c:pt>
                <c:pt idx="35">
                  <c:v>2439</c:v>
                </c:pt>
                <c:pt idx="36">
                  <c:v>3464</c:v>
                </c:pt>
                <c:pt idx="37">
                  <c:v>4111</c:v>
                </c:pt>
                <c:pt idx="38">
                  <c:v>1308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092864"/>
        <c:axId val="119093440"/>
      </c:scatterChart>
      <c:valAx>
        <c:axId val="1190928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Pressure Bellow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9093440"/>
        <c:crosses val="autoZero"/>
        <c:crossBetween val="midCat"/>
      </c:valAx>
      <c:valAx>
        <c:axId val="11909344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Intensity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90928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004784978800701"/>
          <c:y val="5.0925925925925902E-2"/>
          <c:w val="0.75996062992126001"/>
          <c:h val="0.78054024496937902"/>
        </c:manualLayout>
      </c:layout>
      <c:scatterChart>
        <c:scatterStyle val="lineMarker"/>
        <c:varyColors val="0"/>
        <c:ser>
          <c:idx val="2"/>
          <c:order val="1"/>
          <c:tx>
            <c:v>d13C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'Curvas massa_P_II'!$AD$7:$AD$33</c:f>
              <c:numCache>
                <c:formatCode>General</c:formatCode>
                <c:ptCount val="27"/>
                <c:pt idx="0">
                  <c:v>3536</c:v>
                </c:pt>
                <c:pt idx="1">
                  <c:v>4302</c:v>
                </c:pt>
                <c:pt idx="2">
                  <c:v>1138</c:v>
                </c:pt>
                <c:pt idx="3">
                  <c:v>929</c:v>
                </c:pt>
                <c:pt idx="4">
                  <c:v>1564</c:v>
                </c:pt>
                <c:pt idx="5">
                  <c:v>896</c:v>
                </c:pt>
                <c:pt idx="6">
                  <c:v>1580</c:v>
                </c:pt>
                <c:pt idx="7">
                  <c:v>1821</c:v>
                </c:pt>
                <c:pt idx="8">
                  <c:v>1962</c:v>
                </c:pt>
                <c:pt idx="9">
                  <c:v>2070</c:v>
                </c:pt>
                <c:pt idx="10">
                  <c:v>1576</c:v>
                </c:pt>
                <c:pt idx="11">
                  <c:v>2249</c:v>
                </c:pt>
                <c:pt idx="12">
                  <c:v>1873</c:v>
                </c:pt>
                <c:pt idx="13">
                  <c:v>2967</c:v>
                </c:pt>
                <c:pt idx="14">
                  <c:v>2588</c:v>
                </c:pt>
                <c:pt idx="15">
                  <c:v>3470</c:v>
                </c:pt>
                <c:pt idx="16">
                  <c:v>2395</c:v>
                </c:pt>
                <c:pt idx="17">
                  <c:v>3492</c:v>
                </c:pt>
                <c:pt idx="18">
                  <c:v>2649</c:v>
                </c:pt>
                <c:pt idx="19">
                  <c:v>3509</c:v>
                </c:pt>
                <c:pt idx="20">
                  <c:v>2735</c:v>
                </c:pt>
                <c:pt idx="21">
                  <c:v>3965</c:v>
                </c:pt>
                <c:pt idx="22">
                  <c:v>4012</c:v>
                </c:pt>
                <c:pt idx="23">
                  <c:v>4099</c:v>
                </c:pt>
                <c:pt idx="24">
                  <c:v>4548</c:v>
                </c:pt>
                <c:pt idx="25">
                  <c:v>3813</c:v>
                </c:pt>
                <c:pt idx="26">
                  <c:v>3677</c:v>
                </c:pt>
              </c:numCache>
            </c:numRef>
          </c:xVal>
          <c:yVal>
            <c:numRef>
              <c:f>'Curvas massa_P_II'!$C$7:$C$33</c:f>
              <c:numCache>
                <c:formatCode>General</c:formatCode>
                <c:ptCount val="27"/>
                <c:pt idx="0">
                  <c:v>1.8360000000000001</c:v>
                </c:pt>
                <c:pt idx="1">
                  <c:v>1.8049999999999999</c:v>
                </c:pt>
                <c:pt idx="2">
                  <c:v>1.8220000000000001</c:v>
                </c:pt>
                <c:pt idx="3">
                  <c:v>1.798</c:v>
                </c:pt>
                <c:pt idx="4">
                  <c:v>1.865</c:v>
                </c:pt>
                <c:pt idx="5">
                  <c:v>1.8340000000000001</c:v>
                </c:pt>
                <c:pt idx="6">
                  <c:v>1.871</c:v>
                </c:pt>
                <c:pt idx="7">
                  <c:v>1.84</c:v>
                </c:pt>
                <c:pt idx="8">
                  <c:v>1.8440000000000001</c:v>
                </c:pt>
                <c:pt idx="9">
                  <c:v>1.6859999999999999</c:v>
                </c:pt>
                <c:pt idx="10">
                  <c:v>1.823</c:v>
                </c:pt>
                <c:pt idx="11">
                  <c:v>1.8480000000000001</c:v>
                </c:pt>
                <c:pt idx="12">
                  <c:v>1.855</c:v>
                </c:pt>
                <c:pt idx="13">
                  <c:v>1.8819999999999999</c:v>
                </c:pt>
                <c:pt idx="14">
                  <c:v>1.867</c:v>
                </c:pt>
                <c:pt idx="15">
                  <c:v>1.841</c:v>
                </c:pt>
                <c:pt idx="16">
                  <c:v>1.8169999999999999</c:v>
                </c:pt>
                <c:pt idx="17">
                  <c:v>1.833</c:v>
                </c:pt>
                <c:pt idx="18">
                  <c:v>1.825</c:v>
                </c:pt>
                <c:pt idx="19">
                  <c:v>1.8580000000000001</c:v>
                </c:pt>
                <c:pt idx="20">
                  <c:v>1.772</c:v>
                </c:pt>
                <c:pt idx="21">
                  <c:v>1.7709999999999999</c:v>
                </c:pt>
                <c:pt idx="22">
                  <c:v>1.7010000000000001</c:v>
                </c:pt>
                <c:pt idx="23">
                  <c:v>1.796</c:v>
                </c:pt>
                <c:pt idx="24">
                  <c:v>1.8360000000000001</c:v>
                </c:pt>
                <c:pt idx="25">
                  <c:v>1.8480000000000001</c:v>
                </c:pt>
                <c:pt idx="26">
                  <c:v>1.8120000000000001</c:v>
                </c:pt>
              </c:numCache>
            </c:numRef>
          </c:yVal>
          <c:smooth val="0"/>
        </c:ser>
        <c:ser>
          <c:idx val="3"/>
          <c:order val="3"/>
          <c:tx>
            <c:v>NBS19 C</c:v>
          </c:tx>
          <c:spPr>
            <a:ln w="53975" cap="rnd">
              <a:solidFill>
                <a:schemeClr val="accent4">
                  <a:lumMod val="20000"/>
                  <a:lumOff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'Curvas massa_P_II'!$AL$20:$AL$21</c:f>
              <c:numCache>
                <c:formatCode>General</c:formatCode>
                <c:ptCount val="2"/>
                <c:pt idx="0">
                  <c:v>0</c:v>
                </c:pt>
                <c:pt idx="1">
                  <c:v>8000</c:v>
                </c:pt>
              </c:numCache>
            </c:numRef>
          </c:xVal>
          <c:yVal>
            <c:numRef>
              <c:f>'Curvas massa_P_II'!$AN$20:$AN$21</c:f>
              <c:numCache>
                <c:formatCode>General</c:formatCode>
                <c:ptCount val="2"/>
                <c:pt idx="0">
                  <c:v>1.95</c:v>
                </c:pt>
                <c:pt idx="1">
                  <c:v>1.95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209408"/>
        <c:axId val="120209984"/>
      </c:scatterChart>
      <c:scatterChart>
        <c:scatterStyle val="lineMarker"/>
        <c:varyColors val="0"/>
        <c:ser>
          <c:idx val="0"/>
          <c:order val="0"/>
          <c:tx>
            <c:v>d18O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'Curvas massa_P_II'!$AD$7:$AD$33</c:f>
              <c:numCache>
                <c:formatCode>General</c:formatCode>
                <c:ptCount val="27"/>
                <c:pt idx="0">
                  <c:v>3536</c:v>
                </c:pt>
                <c:pt idx="1">
                  <c:v>4302</c:v>
                </c:pt>
                <c:pt idx="2">
                  <c:v>1138</c:v>
                </c:pt>
                <c:pt idx="3">
                  <c:v>929</c:v>
                </c:pt>
                <c:pt idx="4">
                  <c:v>1564</c:v>
                </c:pt>
                <c:pt idx="5">
                  <c:v>896</c:v>
                </c:pt>
                <c:pt idx="6">
                  <c:v>1580</c:v>
                </c:pt>
                <c:pt idx="7">
                  <c:v>1821</c:v>
                </c:pt>
                <c:pt idx="8">
                  <c:v>1962</c:v>
                </c:pt>
                <c:pt idx="9">
                  <c:v>2070</c:v>
                </c:pt>
                <c:pt idx="10">
                  <c:v>1576</c:v>
                </c:pt>
                <c:pt idx="11">
                  <c:v>2249</c:v>
                </c:pt>
                <c:pt idx="12">
                  <c:v>1873</c:v>
                </c:pt>
                <c:pt idx="13">
                  <c:v>2967</c:v>
                </c:pt>
                <c:pt idx="14">
                  <c:v>2588</c:v>
                </c:pt>
                <c:pt idx="15">
                  <c:v>3470</c:v>
                </c:pt>
                <c:pt idx="16">
                  <c:v>2395</c:v>
                </c:pt>
                <c:pt idx="17">
                  <c:v>3492</c:v>
                </c:pt>
                <c:pt idx="18">
                  <c:v>2649</c:v>
                </c:pt>
                <c:pt idx="19">
                  <c:v>3509</c:v>
                </c:pt>
                <c:pt idx="20">
                  <c:v>2735</c:v>
                </c:pt>
                <c:pt idx="21">
                  <c:v>3965</c:v>
                </c:pt>
                <c:pt idx="22">
                  <c:v>4012</c:v>
                </c:pt>
                <c:pt idx="23">
                  <c:v>4099</c:v>
                </c:pt>
                <c:pt idx="24">
                  <c:v>4548</c:v>
                </c:pt>
                <c:pt idx="25">
                  <c:v>3813</c:v>
                </c:pt>
                <c:pt idx="26">
                  <c:v>3677</c:v>
                </c:pt>
              </c:numCache>
            </c:numRef>
          </c:xVal>
          <c:yVal>
            <c:numRef>
              <c:f>'Curvas massa_P_II'!$F$7:$F$33</c:f>
              <c:numCache>
                <c:formatCode>General</c:formatCode>
                <c:ptCount val="27"/>
                <c:pt idx="0">
                  <c:v>-2.3879999999999999</c:v>
                </c:pt>
                <c:pt idx="1">
                  <c:v>-2.427</c:v>
                </c:pt>
                <c:pt idx="2">
                  <c:v>-2.238</c:v>
                </c:pt>
                <c:pt idx="3">
                  <c:v>-2.8780000000000001</c:v>
                </c:pt>
                <c:pt idx="4">
                  <c:v>-2.6259999999999999</c:v>
                </c:pt>
                <c:pt idx="5">
                  <c:v>-2.9790000000000001</c:v>
                </c:pt>
                <c:pt idx="6">
                  <c:v>-2.4540000000000002</c:v>
                </c:pt>
                <c:pt idx="7">
                  <c:v>-2.702</c:v>
                </c:pt>
                <c:pt idx="8">
                  <c:v>-2.4990000000000001</c:v>
                </c:pt>
                <c:pt idx="9">
                  <c:v>-2.7919999999999998</c:v>
                </c:pt>
                <c:pt idx="10">
                  <c:v>-2.407</c:v>
                </c:pt>
                <c:pt idx="11">
                  <c:v>-2.6280000000000001</c:v>
                </c:pt>
                <c:pt idx="12">
                  <c:v>-2.5179999999999998</c:v>
                </c:pt>
                <c:pt idx="13">
                  <c:v>-2.4089999999999998</c:v>
                </c:pt>
                <c:pt idx="14">
                  <c:v>-2.431</c:v>
                </c:pt>
                <c:pt idx="15">
                  <c:v>-2.4969999999999999</c:v>
                </c:pt>
                <c:pt idx="16">
                  <c:v>-2.6080000000000001</c:v>
                </c:pt>
                <c:pt idx="17">
                  <c:v>-2.431</c:v>
                </c:pt>
                <c:pt idx="18">
                  <c:v>-2.46</c:v>
                </c:pt>
                <c:pt idx="19">
                  <c:v>-2.4609999999999999</c:v>
                </c:pt>
                <c:pt idx="20">
                  <c:v>-2.7360000000000002</c:v>
                </c:pt>
                <c:pt idx="21">
                  <c:v>-2.5840000000000001</c:v>
                </c:pt>
                <c:pt idx="22">
                  <c:v>-2.4790000000000001</c:v>
                </c:pt>
                <c:pt idx="23">
                  <c:v>-2.4929999999999999</c:v>
                </c:pt>
                <c:pt idx="24">
                  <c:v>-2.4550000000000001</c:v>
                </c:pt>
                <c:pt idx="25">
                  <c:v>-2.4990000000000001</c:v>
                </c:pt>
                <c:pt idx="26">
                  <c:v>-2.552</c:v>
                </c:pt>
              </c:numCache>
            </c:numRef>
          </c:yVal>
          <c:smooth val="0"/>
        </c:ser>
        <c:ser>
          <c:idx val="1"/>
          <c:order val="2"/>
          <c:tx>
            <c:v>NBS19 O</c:v>
          </c:tx>
          <c:spPr>
            <a:ln w="57150" cap="rnd">
              <a:solidFill>
                <a:schemeClr val="accent2">
                  <a:lumMod val="20000"/>
                  <a:lumOff val="80000"/>
                  <a:alpha val="7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'Curvas massa_P_II'!$AL$20:$AL$21</c:f>
              <c:numCache>
                <c:formatCode>General</c:formatCode>
                <c:ptCount val="2"/>
                <c:pt idx="0">
                  <c:v>0</c:v>
                </c:pt>
                <c:pt idx="1">
                  <c:v>8000</c:v>
                </c:pt>
              </c:numCache>
            </c:numRef>
          </c:xVal>
          <c:yVal>
            <c:numRef>
              <c:f>'Curvas massa_P_II'!$AM$20:$AM$21</c:f>
              <c:numCache>
                <c:formatCode>General</c:formatCode>
                <c:ptCount val="2"/>
                <c:pt idx="0">
                  <c:v>-2.2000000000000002</c:v>
                </c:pt>
                <c:pt idx="1">
                  <c:v>-2.2000000000000002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211136"/>
        <c:axId val="120210560"/>
      </c:scatterChart>
      <c:valAx>
        <c:axId val="120209408"/>
        <c:scaling>
          <c:orientation val="minMax"/>
          <c:max val="50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Initial Int</a:t>
                </a:r>
                <a:r>
                  <a:rPr lang="pt-BR" baseline="0"/>
                  <a:t> (mV)</a:t>
                </a:r>
                <a:endParaRPr lang="pt-BR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0209984"/>
        <c:crosses val="autoZero"/>
        <c:crossBetween val="midCat"/>
      </c:valAx>
      <c:valAx>
        <c:axId val="120209984"/>
        <c:scaling>
          <c:orientation val="minMax"/>
          <c:max val="3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d13C (%o)</a:t>
                </a:r>
              </a:p>
            </c:rich>
          </c:tx>
          <c:layout>
            <c:manualLayout>
              <c:xMode val="edge"/>
              <c:yMode val="edge"/>
              <c:x val="2.1581263880476501E-2"/>
              <c:y val="0.37772382618839301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0209408"/>
        <c:crosses val="autoZero"/>
        <c:crossBetween val="midCat"/>
      </c:valAx>
      <c:valAx>
        <c:axId val="120210560"/>
        <c:scaling>
          <c:orientation val="minMax"/>
          <c:max val="0"/>
          <c:min val="-8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d18O (%o)</a:t>
                </a:r>
              </a:p>
            </c:rich>
          </c:tx>
          <c:layout>
            <c:manualLayout>
              <c:xMode val="edge"/>
              <c:yMode val="edge"/>
              <c:x val="0.94196789824348903"/>
              <c:y val="0.37171660834062398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0211136"/>
        <c:crosses val="max"/>
        <c:crossBetween val="midCat"/>
      </c:valAx>
      <c:valAx>
        <c:axId val="12021113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202105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5081714785651801"/>
          <c:y val="0.12962962962963001"/>
          <c:w val="0.793293963254593"/>
          <c:h val="0.70183654126567496"/>
        </c:manualLayout>
      </c:layout>
      <c:scatterChart>
        <c:scatterStyle val="lineMarker"/>
        <c:varyColors val="0"/>
        <c:ser>
          <c:idx val="0"/>
          <c:order val="0"/>
          <c:tx>
            <c:v>NBS19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-0.16453724403935699"/>
                  <c:y val="-0.1057751560319170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numRef>
              <c:f>'Curvas massa_P_II'!$AG$7:$AG$33</c:f>
              <c:numCache>
                <c:formatCode>General</c:formatCode>
                <c:ptCount val="27"/>
                <c:pt idx="0">
                  <c:v>27</c:v>
                </c:pt>
                <c:pt idx="1">
                  <c:v>27</c:v>
                </c:pt>
                <c:pt idx="2">
                  <c:v>9</c:v>
                </c:pt>
                <c:pt idx="3">
                  <c:v>9</c:v>
                </c:pt>
                <c:pt idx="4">
                  <c:v>9</c:v>
                </c:pt>
                <c:pt idx="5">
                  <c:v>9</c:v>
                </c:pt>
                <c:pt idx="6">
                  <c:v>18</c:v>
                </c:pt>
                <c:pt idx="7">
                  <c:v>18</c:v>
                </c:pt>
                <c:pt idx="8">
                  <c:v>18</c:v>
                </c:pt>
                <c:pt idx="9">
                  <c:v>18</c:v>
                </c:pt>
                <c:pt idx="10">
                  <c:v>18</c:v>
                </c:pt>
                <c:pt idx="11">
                  <c:v>18</c:v>
                </c:pt>
                <c:pt idx="12">
                  <c:v>18</c:v>
                </c:pt>
                <c:pt idx="13">
                  <c:v>27</c:v>
                </c:pt>
                <c:pt idx="14">
                  <c:v>27</c:v>
                </c:pt>
                <c:pt idx="15">
                  <c:v>27</c:v>
                </c:pt>
                <c:pt idx="16">
                  <c:v>27</c:v>
                </c:pt>
                <c:pt idx="17">
                  <c:v>27</c:v>
                </c:pt>
                <c:pt idx="18">
                  <c:v>27</c:v>
                </c:pt>
                <c:pt idx="19">
                  <c:v>27</c:v>
                </c:pt>
                <c:pt idx="20">
                  <c:v>27</c:v>
                </c:pt>
                <c:pt idx="21">
                  <c:v>36</c:v>
                </c:pt>
                <c:pt idx="22">
                  <c:v>36</c:v>
                </c:pt>
                <c:pt idx="23">
                  <c:v>36</c:v>
                </c:pt>
                <c:pt idx="24">
                  <c:v>36</c:v>
                </c:pt>
                <c:pt idx="25">
                  <c:v>36</c:v>
                </c:pt>
                <c:pt idx="26">
                  <c:v>36</c:v>
                </c:pt>
              </c:numCache>
            </c:numRef>
          </c:xVal>
          <c:yVal>
            <c:numRef>
              <c:f>'Curvas massa_P_II'!$AC$7:$AC$33</c:f>
              <c:numCache>
                <c:formatCode>General</c:formatCode>
                <c:ptCount val="27"/>
                <c:pt idx="0">
                  <c:v>795</c:v>
                </c:pt>
                <c:pt idx="1">
                  <c:v>841</c:v>
                </c:pt>
                <c:pt idx="2">
                  <c:v>466</c:v>
                </c:pt>
                <c:pt idx="3">
                  <c:v>434</c:v>
                </c:pt>
                <c:pt idx="4">
                  <c:v>558</c:v>
                </c:pt>
                <c:pt idx="5">
                  <c:v>402</c:v>
                </c:pt>
                <c:pt idx="6">
                  <c:v>554</c:v>
                </c:pt>
                <c:pt idx="7">
                  <c:v>593</c:v>
                </c:pt>
                <c:pt idx="8">
                  <c:v>621</c:v>
                </c:pt>
                <c:pt idx="9">
                  <c:v>618</c:v>
                </c:pt>
                <c:pt idx="10">
                  <c:v>568</c:v>
                </c:pt>
                <c:pt idx="11">
                  <c:v>660</c:v>
                </c:pt>
                <c:pt idx="12">
                  <c:v>636</c:v>
                </c:pt>
                <c:pt idx="13">
                  <c:v>760</c:v>
                </c:pt>
                <c:pt idx="14">
                  <c:v>728</c:v>
                </c:pt>
                <c:pt idx="15">
                  <c:v>823</c:v>
                </c:pt>
                <c:pt idx="16">
                  <c:v>714</c:v>
                </c:pt>
                <c:pt idx="17">
                  <c:v>823</c:v>
                </c:pt>
                <c:pt idx="18">
                  <c:v>742</c:v>
                </c:pt>
                <c:pt idx="19">
                  <c:v>827</c:v>
                </c:pt>
                <c:pt idx="20">
                  <c:v>752</c:v>
                </c:pt>
                <c:pt idx="21">
                  <c:v>880</c:v>
                </c:pt>
                <c:pt idx="22">
                  <c:v>891</c:v>
                </c:pt>
                <c:pt idx="23">
                  <c:v>876</c:v>
                </c:pt>
                <c:pt idx="24">
                  <c:v>919</c:v>
                </c:pt>
                <c:pt idx="25">
                  <c:v>855</c:v>
                </c:pt>
                <c:pt idx="26">
                  <c:v>852</c:v>
                </c:pt>
              </c:numCache>
            </c:numRef>
          </c:yVal>
          <c:smooth val="0"/>
        </c:ser>
        <c:ser>
          <c:idx val="1"/>
          <c:order val="1"/>
          <c:tx>
            <c:v>Thermo</c:v>
          </c:tx>
          <c:spPr>
            <a:ln w="95250" cap="rnd">
              <a:solidFill>
                <a:schemeClr val="bg1">
                  <a:lumMod val="85000"/>
                  <a:alpha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'Curvas massa_P_II'!$AL$11:$AL$15</c:f>
              <c:numCache>
                <c:formatCode>General</c:formatCode>
                <c:ptCount val="5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</c:numCache>
            </c:numRef>
          </c:xVal>
          <c:yVal>
            <c:numRef>
              <c:f>'Curvas massa_P_II'!$AM$11:$AM$15</c:f>
              <c:numCache>
                <c:formatCode>General</c:formatCode>
                <c:ptCount val="5"/>
                <c:pt idx="0">
                  <c:v>500</c:v>
                </c:pt>
                <c:pt idx="1">
                  <c:v>675</c:v>
                </c:pt>
                <c:pt idx="2">
                  <c:v>760</c:v>
                </c:pt>
                <c:pt idx="3">
                  <c:v>840</c:v>
                </c:pt>
                <c:pt idx="4">
                  <c:v>900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213440"/>
        <c:axId val="120214016"/>
      </c:scatterChart>
      <c:valAx>
        <c:axId val="120213440"/>
        <c:scaling>
          <c:orientation val="minMax"/>
          <c:max val="7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Mass (ug)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0214016"/>
        <c:crosses val="autoZero"/>
        <c:crossBetween val="midCat"/>
      </c:valAx>
      <c:valAx>
        <c:axId val="120214016"/>
        <c:scaling>
          <c:orientation val="minMax"/>
          <c:max val="120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Pressure</a:t>
                </a:r>
              </a:p>
            </c:rich>
          </c:tx>
          <c:layout>
            <c:manualLayout>
              <c:xMode val="edge"/>
              <c:yMode val="edge"/>
              <c:x val="1.38888888888889E-2"/>
              <c:y val="0.27587197433654098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02134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5081714785651801"/>
          <c:y val="0.16892016816482"/>
          <c:w val="0.793293963254593"/>
          <c:h val="0.66254616403038102"/>
        </c:manualLayout>
      </c:layout>
      <c:scatterChart>
        <c:scatterStyle val="lineMarker"/>
        <c:varyColors val="0"/>
        <c:ser>
          <c:idx val="1"/>
          <c:order val="0"/>
          <c:tx>
            <c:v>Thermo</c:v>
          </c:tx>
          <c:spPr>
            <a:ln w="95250" cap="rnd">
              <a:solidFill>
                <a:schemeClr val="bg1">
                  <a:lumMod val="85000"/>
                  <a:alpha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'Curvas massa_P_II'!$AO$11:$AO$17</c:f>
              <c:numCache>
                <c:formatCode>General</c:formatCode>
                <c:ptCount val="7"/>
                <c:pt idx="0">
                  <c:v>200</c:v>
                </c:pt>
                <c:pt idx="1">
                  <c:v>400</c:v>
                </c:pt>
                <c:pt idx="2">
                  <c:v>500</c:v>
                </c:pt>
                <c:pt idx="3">
                  <c:v>600</c:v>
                </c:pt>
                <c:pt idx="4">
                  <c:v>700</c:v>
                </c:pt>
                <c:pt idx="5">
                  <c:v>800</c:v>
                </c:pt>
                <c:pt idx="6">
                  <c:v>950</c:v>
                </c:pt>
              </c:numCache>
            </c:numRef>
          </c:xVal>
          <c:yVal>
            <c:numRef>
              <c:f>'Curvas massa_P_II'!$AP$11:$AP$17</c:f>
              <c:numCache>
                <c:formatCode>General</c:formatCode>
                <c:ptCount val="7"/>
                <c:pt idx="0">
                  <c:v>440</c:v>
                </c:pt>
                <c:pt idx="1">
                  <c:v>1600</c:v>
                </c:pt>
                <c:pt idx="2">
                  <c:v>2400</c:v>
                </c:pt>
                <c:pt idx="3">
                  <c:v>3400</c:v>
                </c:pt>
                <c:pt idx="4">
                  <c:v>4500</c:v>
                </c:pt>
                <c:pt idx="5">
                  <c:v>5800</c:v>
                </c:pt>
                <c:pt idx="6">
                  <c:v>8000</c:v>
                </c:pt>
              </c:numCache>
            </c:numRef>
          </c:yVal>
          <c:smooth val="1"/>
        </c:ser>
        <c:ser>
          <c:idx val="0"/>
          <c:order val="1"/>
          <c:tx>
            <c:v>Initial Int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0.15444927942238201"/>
                  <c:y val="-9.073591464783710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numRef>
              <c:f>'Curvas massa_P_II'!$AC$7:$AC$33</c:f>
              <c:numCache>
                <c:formatCode>General</c:formatCode>
                <c:ptCount val="27"/>
                <c:pt idx="0">
                  <c:v>795</c:v>
                </c:pt>
                <c:pt idx="1">
                  <c:v>841</c:v>
                </c:pt>
                <c:pt idx="2">
                  <c:v>466</c:v>
                </c:pt>
                <c:pt idx="3">
                  <c:v>434</c:v>
                </c:pt>
                <c:pt idx="4">
                  <c:v>558</c:v>
                </c:pt>
                <c:pt idx="5">
                  <c:v>402</c:v>
                </c:pt>
                <c:pt idx="6">
                  <c:v>554</c:v>
                </c:pt>
                <c:pt idx="7">
                  <c:v>593</c:v>
                </c:pt>
                <c:pt idx="8">
                  <c:v>621</c:v>
                </c:pt>
                <c:pt idx="9">
                  <c:v>618</c:v>
                </c:pt>
                <c:pt idx="10">
                  <c:v>568</c:v>
                </c:pt>
                <c:pt idx="11">
                  <c:v>660</c:v>
                </c:pt>
                <c:pt idx="12">
                  <c:v>636</c:v>
                </c:pt>
                <c:pt idx="13">
                  <c:v>760</c:v>
                </c:pt>
                <c:pt idx="14">
                  <c:v>728</c:v>
                </c:pt>
                <c:pt idx="15">
                  <c:v>823</c:v>
                </c:pt>
                <c:pt idx="16">
                  <c:v>714</c:v>
                </c:pt>
                <c:pt idx="17">
                  <c:v>823</c:v>
                </c:pt>
                <c:pt idx="18">
                  <c:v>742</c:v>
                </c:pt>
                <c:pt idx="19">
                  <c:v>827</c:v>
                </c:pt>
                <c:pt idx="20">
                  <c:v>752</c:v>
                </c:pt>
                <c:pt idx="21">
                  <c:v>880</c:v>
                </c:pt>
                <c:pt idx="22">
                  <c:v>891</c:v>
                </c:pt>
                <c:pt idx="23">
                  <c:v>876</c:v>
                </c:pt>
                <c:pt idx="24">
                  <c:v>919</c:v>
                </c:pt>
                <c:pt idx="25">
                  <c:v>855</c:v>
                </c:pt>
                <c:pt idx="26">
                  <c:v>852</c:v>
                </c:pt>
              </c:numCache>
            </c:numRef>
          </c:xVal>
          <c:yVal>
            <c:numRef>
              <c:f>'Curvas massa_P_II'!$AD$7:$AD$33</c:f>
              <c:numCache>
                <c:formatCode>General</c:formatCode>
                <c:ptCount val="27"/>
                <c:pt idx="0">
                  <c:v>3536</c:v>
                </c:pt>
                <c:pt idx="1">
                  <c:v>4302</c:v>
                </c:pt>
                <c:pt idx="2">
                  <c:v>1138</c:v>
                </c:pt>
                <c:pt idx="3">
                  <c:v>929</c:v>
                </c:pt>
                <c:pt idx="4">
                  <c:v>1564</c:v>
                </c:pt>
                <c:pt idx="5">
                  <c:v>896</c:v>
                </c:pt>
                <c:pt idx="6">
                  <c:v>1580</c:v>
                </c:pt>
                <c:pt idx="7">
                  <c:v>1821</c:v>
                </c:pt>
                <c:pt idx="8">
                  <c:v>1962</c:v>
                </c:pt>
                <c:pt idx="9">
                  <c:v>2070</c:v>
                </c:pt>
                <c:pt idx="10">
                  <c:v>1576</c:v>
                </c:pt>
                <c:pt idx="11">
                  <c:v>2249</c:v>
                </c:pt>
                <c:pt idx="12">
                  <c:v>1873</c:v>
                </c:pt>
                <c:pt idx="13">
                  <c:v>2967</c:v>
                </c:pt>
                <c:pt idx="14">
                  <c:v>2588</c:v>
                </c:pt>
                <c:pt idx="15">
                  <c:v>3470</c:v>
                </c:pt>
                <c:pt idx="16">
                  <c:v>2395</c:v>
                </c:pt>
                <c:pt idx="17">
                  <c:v>3492</c:v>
                </c:pt>
                <c:pt idx="18">
                  <c:v>2649</c:v>
                </c:pt>
                <c:pt idx="19">
                  <c:v>3509</c:v>
                </c:pt>
                <c:pt idx="20">
                  <c:v>2735</c:v>
                </c:pt>
                <c:pt idx="21">
                  <c:v>3965</c:v>
                </c:pt>
                <c:pt idx="22">
                  <c:v>4012</c:v>
                </c:pt>
                <c:pt idx="23">
                  <c:v>4099</c:v>
                </c:pt>
                <c:pt idx="24">
                  <c:v>4548</c:v>
                </c:pt>
                <c:pt idx="25">
                  <c:v>3813</c:v>
                </c:pt>
                <c:pt idx="26">
                  <c:v>3677</c:v>
                </c:pt>
              </c:numCache>
            </c:numRef>
          </c:yVal>
          <c:smooth val="0"/>
        </c:ser>
        <c:ser>
          <c:idx val="2"/>
          <c:order val="2"/>
          <c:tx>
            <c:v>Adjusted Int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0.106586048738659"/>
                  <c:y val="0.1493074427643449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numRef>
              <c:f>'Curvas massa_P_II'!$AC$7:$AC$33</c:f>
              <c:numCache>
                <c:formatCode>General</c:formatCode>
                <c:ptCount val="27"/>
                <c:pt idx="0">
                  <c:v>795</c:v>
                </c:pt>
                <c:pt idx="1">
                  <c:v>841</c:v>
                </c:pt>
                <c:pt idx="2">
                  <c:v>466</c:v>
                </c:pt>
                <c:pt idx="3">
                  <c:v>434</c:v>
                </c:pt>
                <c:pt idx="4">
                  <c:v>558</c:v>
                </c:pt>
                <c:pt idx="5">
                  <c:v>402</c:v>
                </c:pt>
                <c:pt idx="6">
                  <c:v>554</c:v>
                </c:pt>
                <c:pt idx="7">
                  <c:v>593</c:v>
                </c:pt>
                <c:pt idx="8">
                  <c:v>621</c:v>
                </c:pt>
                <c:pt idx="9">
                  <c:v>618</c:v>
                </c:pt>
                <c:pt idx="10">
                  <c:v>568</c:v>
                </c:pt>
                <c:pt idx="11">
                  <c:v>660</c:v>
                </c:pt>
                <c:pt idx="12">
                  <c:v>636</c:v>
                </c:pt>
                <c:pt idx="13">
                  <c:v>760</c:v>
                </c:pt>
                <c:pt idx="14">
                  <c:v>728</c:v>
                </c:pt>
                <c:pt idx="15">
                  <c:v>823</c:v>
                </c:pt>
                <c:pt idx="16">
                  <c:v>714</c:v>
                </c:pt>
                <c:pt idx="17">
                  <c:v>823</c:v>
                </c:pt>
                <c:pt idx="18">
                  <c:v>742</c:v>
                </c:pt>
                <c:pt idx="19">
                  <c:v>827</c:v>
                </c:pt>
                <c:pt idx="20">
                  <c:v>752</c:v>
                </c:pt>
                <c:pt idx="21">
                  <c:v>880</c:v>
                </c:pt>
                <c:pt idx="22">
                  <c:v>891</c:v>
                </c:pt>
                <c:pt idx="23">
                  <c:v>876</c:v>
                </c:pt>
                <c:pt idx="24">
                  <c:v>919</c:v>
                </c:pt>
                <c:pt idx="25">
                  <c:v>855</c:v>
                </c:pt>
                <c:pt idx="26">
                  <c:v>852</c:v>
                </c:pt>
              </c:numCache>
            </c:numRef>
          </c:xVal>
          <c:yVal>
            <c:numRef>
              <c:f>'Curvas massa_P_II'!$AE$7:$AE$33</c:f>
              <c:numCache>
                <c:formatCode>General</c:formatCode>
                <c:ptCount val="27"/>
                <c:pt idx="0">
                  <c:v>3173</c:v>
                </c:pt>
                <c:pt idx="1">
                  <c:v>3851</c:v>
                </c:pt>
                <c:pt idx="2">
                  <c:v>1063</c:v>
                </c:pt>
                <c:pt idx="3">
                  <c:v>872</c:v>
                </c:pt>
                <c:pt idx="4">
                  <c:v>1364</c:v>
                </c:pt>
                <c:pt idx="5">
                  <c:v>840</c:v>
                </c:pt>
                <c:pt idx="6">
                  <c:v>1413</c:v>
                </c:pt>
                <c:pt idx="7">
                  <c:v>1582</c:v>
                </c:pt>
                <c:pt idx="8">
                  <c:v>1704</c:v>
                </c:pt>
                <c:pt idx="9">
                  <c:v>1876</c:v>
                </c:pt>
                <c:pt idx="10">
                  <c:v>1400</c:v>
                </c:pt>
                <c:pt idx="11">
                  <c:v>1970</c:v>
                </c:pt>
                <c:pt idx="12">
                  <c:v>1664</c:v>
                </c:pt>
                <c:pt idx="13">
                  <c:v>2593</c:v>
                </c:pt>
                <c:pt idx="14">
                  <c:v>2272</c:v>
                </c:pt>
                <c:pt idx="15">
                  <c:v>3082</c:v>
                </c:pt>
                <c:pt idx="16">
                  <c:v>2100</c:v>
                </c:pt>
                <c:pt idx="17">
                  <c:v>3086</c:v>
                </c:pt>
                <c:pt idx="18">
                  <c:v>2397</c:v>
                </c:pt>
                <c:pt idx="19">
                  <c:v>3110</c:v>
                </c:pt>
                <c:pt idx="20">
                  <c:v>2365</c:v>
                </c:pt>
                <c:pt idx="21">
                  <c:v>3585</c:v>
                </c:pt>
                <c:pt idx="22">
                  <c:v>3603</c:v>
                </c:pt>
                <c:pt idx="23">
                  <c:v>3673</c:v>
                </c:pt>
                <c:pt idx="24">
                  <c:v>4059</c:v>
                </c:pt>
                <c:pt idx="25">
                  <c:v>3331</c:v>
                </c:pt>
                <c:pt idx="26">
                  <c:v>3253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215744"/>
        <c:axId val="120216320"/>
      </c:scatterChart>
      <c:valAx>
        <c:axId val="120215744"/>
        <c:scaling>
          <c:orientation val="minMax"/>
          <c:max val="12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Pressure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0216320"/>
        <c:crosses val="autoZero"/>
        <c:crossBetween val="midCat"/>
      </c:valAx>
      <c:valAx>
        <c:axId val="120216320"/>
        <c:scaling>
          <c:orientation val="minMax"/>
          <c:max val="1000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Intensity</a:t>
                </a:r>
              </a:p>
            </c:rich>
          </c:tx>
          <c:layout>
            <c:manualLayout>
              <c:xMode val="edge"/>
              <c:yMode val="edge"/>
              <c:x val="1.38888888888889E-2"/>
              <c:y val="0.27587197433654098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021574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6.3861968688079099E-2"/>
          <c:y val="2.3598820058997001E-2"/>
          <c:w val="0.87227588315916005"/>
          <c:h val="0.12291145022801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004784978800701"/>
          <c:y val="5.0925925925925902E-2"/>
          <c:w val="0.75996062992126001"/>
          <c:h val="0.78054024496937902"/>
        </c:manualLayout>
      </c:layout>
      <c:scatterChart>
        <c:scatterStyle val="lineMarker"/>
        <c:varyColors val="0"/>
        <c:ser>
          <c:idx val="2"/>
          <c:order val="1"/>
          <c:tx>
            <c:v>d13C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('Curvas massa_P_II'!$AD$7:$AD$33,'Curvas massa_P_II'!$AK$37:$AK$66)</c:f>
              <c:numCache>
                <c:formatCode>General</c:formatCode>
                <c:ptCount val="57"/>
                <c:pt idx="0">
                  <c:v>3536</c:v>
                </c:pt>
                <c:pt idx="1">
                  <c:v>4302</c:v>
                </c:pt>
                <c:pt idx="2">
                  <c:v>1138</c:v>
                </c:pt>
                <c:pt idx="3">
                  <c:v>929</c:v>
                </c:pt>
                <c:pt idx="4">
                  <c:v>1564</c:v>
                </c:pt>
                <c:pt idx="5">
                  <c:v>896</c:v>
                </c:pt>
                <c:pt idx="6">
                  <c:v>1580</c:v>
                </c:pt>
                <c:pt idx="7">
                  <c:v>1821</c:v>
                </c:pt>
                <c:pt idx="8">
                  <c:v>1962</c:v>
                </c:pt>
                <c:pt idx="9">
                  <c:v>2070</c:v>
                </c:pt>
                <c:pt idx="10">
                  <c:v>1576</c:v>
                </c:pt>
                <c:pt idx="11">
                  <c:v>2249</c:v>
                </c:pt>
                <c:pt idx="12">
                  <c:v>1873</c:v>
                </c:pt>
                <c:pt idx="13">
                  <c:v>2967</c:v>
                </c:pt>
                <c:pt idx="14">
                  <c:v>2588</c:v>
                </c:pt>
                <c:pt idx="15">
                  <c:v>3470</c:v>
                </c:pt>
                <c:pt idx="16">
                  <c:v>2395</c:v>
                </c:pt>
                <c:pt idx="17">
                  <c:v>3492</c:v>
                </c:pt>
                <c:pt idx="18">
                  <c:v>2649</c:v>
                </c:pt>
                <c:pt idx="19">
                  <c:v>3509</c:v>
                </c:pt>
                <c:pt idx="20">
                  <c:v>2735</c:v>
                </c:pt>
                <c:pt idx="21">
                  <c:v>3965</c:v>
                </c:pt>
                <c:pt idx="22">
                  <c:v>4012</c:v>
                </c:pt>
                <c:pt idx="23">
                  <c:v>4099</c:v>
                </c:pt>
                <c:pt idx="24">
                  <c:v>4548</c:v>
                </c:pt>
                <c:pt idx="25">
                  <c:v>3813</c:v>
                </c:pt>
                <c:pt idx="26">
                  <c:v>3677</c:v>
                </c:pt>
                <c:pt idx="27">
                  <c:v>3008</c:v>
                </c:pt>
                <c:pt idx="28">
                  <c:v>1408</c:v>
                </c:pt>
                <c:pt idx="29">
                  <c:v>2777</c:v>
                </c:pt>
                <c:pt idx="30">
                  <c:v>2438</c:v>
                </c:pt>
                <c:pt idx="31">
                  <c:v>2354</c:v>
                </c:pt>
                <c:pt idx="32">
                  <c:v>3878</c:v>
                </c:pt>
                <c:pt idx="33">
                  <c:v>2482</c:v>
                </c:pt>
                <c:pt idx="34">
                  <c:v>2312</c:v>
                </c:pt>
                <c:pt idx="35">
                  <c:v>2521</c:v>
                </c:pt>
                <c:pt idx="36">
                  <c:v>2964</c:v>
                </c:pt>
                <c:pt idx="37">
                  <c:v>5338</c:v>
                </c:pt>
                <c:pt idx="38">
                  <c:v>4035</c:v>
                </c:pt>
                <c:pt idx="39">
                  <c:v>4700</c:v>
                </c:pt>
                <c:pt idx="40">
                  <c:v>3735</c:v>
                </c:pt>
                <c:pt idx="41">
                  <c:v>4962</c:v>
                </c:pt>
                <c:pt idx="42">
                  <c:v>3039</c:v>
                </c:pt>
                <c:pt idx="43">
                  <c:v>4485</c:v>
                </c:pt>
                <c:pt idx="44">
                  <c:v>3269</c:v>
                </c:pt>
                <c:pt idx="45">
                  <c:v>3258</c:v>
                </c:pt>
                <c:pt idx="46">
                  <c:v>5402</c:v>
                </c:pt>
                <c:pt idx="47">
                  <c:v>4968</c:v>
                </c:pt>
                <c:pt idx="48">
                  <c:v>5306</c:v>
                </c:pt>
                <c:pt idx="49">
                  <c:v>6327</c:v>
                </c:pt>
                <c:pt idx="50">
                  <c:v>5331</c:v>
                </c:pt>
                <c:pt idx="51">
                  <c:v>6036</c:v>
                </c:pt>
                <c:pt idx="52">
                  <c:v>6087</c:v>
                </c:pt>
                <c:pt idx="53">
                  <c:v>5487</c:v>
                </c:pt>
                <c:pt idx="54">
                  <c:v>5278</c:v>
                </c:pt>
                <c:pt idx="55">
                  <c:v>5949</c:v>
                </c:pt>
                <c:pt idx="56">
                  <c:v>5227</c:v>
                </c:pt>
              </c:numCache>
            </c:numRef>
          </c:xVal>
          <c:yVal>
            <c:numRef>
              <c:f>('Curvas massa_P_II'!$C$7:$C$33,'Curvas massa_P_II'!$G$37:$G$66)</c:f>
              <c:numCache>
                <c:formatCode>General</c:formatCode>
                <c:ptCount val="57"/>
                <c:pt idx="0">
                  <c:v>1.8360000000000001</c:v>
                </c:pt>
                <c:pt idx="1">
                  <c:v>1.8049999999999999</c:v>
                </c:pt>
                <c:pt idx="2">
                  <c:v>1.8220000000000001</c:v>
                </c:pt>
                <c:pt idx="3">
                  <c:v>1.798</c:v>
                </c:pt>
                <c:pt idx="4">
                  <c:v>1.865</c:v>
                </c:pt>
                <c:pt idx="5">
                  <c:v>1.8340000000000001</c:v>
                </c:pt>
                <c:pt idx="6">
                  <c:v>1.871</c:v>
                </c:pt>
                <c:pt idx="7">
                  <c:v>1.84</c:v>
                </c:pt>
                <c:pt idx="8">
                  <c:v>1.8440000000000001</c:v>
                </c:pt>
                <c:pt idx="9">
                  <c:v>1.6859999999999999</c:v>
                </c:pt>
                <c:pt idx="10">
                  <c:v>1.823</c:v>
                </c:pt>
                <c:pt idx="11">
                  <c:v>1.8480000000000001</c:v>
                </c:pt>
                <c:pt idx="12">
                  <c:v>1.855</c:v>
                </c:pt>
                <c:pt idx="13">
                  <c:v>1.8819999999999999</c:v>
                </c:pt>
                <c:pt idx="14">
                  <c:v>1.867</c:v>
                </c:pt>
                <c:pt idx="15">
                  <c:v>1.841</c:v>
                </c:pt>
                <c:pt idx="16">
                  <c:v>1.8169999999999999</c:v>
                </c:pt>
                <c:pt idx="17">
                  <c:v>1.833</c:v>
                </c:pt>
                <c:pt idx="18">
                  <c:v>1.825</c:v>
                </c:pt>
                <c:pt idx="19">
                  <c:v>1.8580000000000001</c:v>
                </c:pt>
                <c:pt idx="20">
                  <c:v>1.772</c:v>
                </c:pt>
                <c:pt idx="21">
                  <c:v>1.7709999999999999</c:v>
                </c:pt>
                <c:pt idx="22">
                  <c:v>1.7010000000000001</c:v>
                </c:pt>
                <c:pt idx="23">
                  <c:v>1.796</c:v>
                </c:pt>
                <c:pt idx="24">
                  <c:v>1.8360000000000001</c:v>
                </c:pt>
                <c:pt idx="25">
                  <c:v>1.8480000000000001</c:v>
                </c:pt>
                <c:pt idx="26">
                  <c:v>1.8120000000000001</c:v>
                </c:pt>
                <c:pt idx="27">
                  <c:v>1.859</c:v>
                </c:pt>
                <c:pt idx="28">
                  <c:v>1.88</c:v>
                </c:pt>
                <c:pt idx="29">
                  <c:v>1.831</c:v>
                </c:pt>
                <c:pt idx="30">
                  <c:v>1.776</c:v>
                </c:pt>
                <c:pt idx="31">
                  <c:v>1.8720000000000001</c:v>
                </c:pt>
                <c:pt idx="32">
                  <c:v>1.8280000000000001</c:v>
                </c:pt>
                <c:pt idx="33">
                  <c:v>1.8460000000000001</c:v>
                </c:pt>
                <c:pt idx="34">
                  <c:v>1.8180000000000001</c:v>
                </c:pt>
                <c:pt idx="35">
                  <c:v>1.841</c:v>
                </c:pt>
                <c:pt idx="36">
                  <c:v>1.8129999999999999</c:v>
                </c:pt>
                <c:pt idx="37">
                  <c:v>1.859</c:v>
                </c:pt>
                <c:pt idx="38">
                  <c:v>1.8160000000000001</c:v>
                </c:pt>
                <c:pt idx="39">
                  <c:v>1.825</c:v>
                </c:pt>
                <c:pt idx="40">
                  <c:v>1.861</c:v>
                </c:pt>
                <c:pt idx="41">
                  <c:v>1.794</c:v>
                </c:pt>
                <c:pt idx="42">
                  <c:v>1.7949999999999999</c:v>
                </c:pt>
                <c:pt idx="43">
                  <c:v>1.8720000000000001</c:v>
                </c:pt>
                <c:pt idx="44">
                  <c:v>1.8959999999999999</c:v>
                </c:pt>
                <c:pt idx="45">
                  <c:v>1.833</c:v>
                </c:pt>
                <c:pt idx="46">
                  <c:v>1.7689999999999999</c:v>
                </c:pt>
                <c:pt idx="47">
                  <c:v>1.8480000000000001</c:v>
                </c:pt>
                <c:pt idx="48">
                  <c:v>1.7609999999999999</c:v>
                </c:pt>
                <c:pt idx="49">
                  <c:v>1.833</c:v>
                </c:pt>
                <c:pt idx="50">
                  <c:v>1.869</c:v>
                </c:pt>
                <c:pt idx="51">
                  <c:v>1.819</c:v>
                </c:pt>
                <c:pt idx="52">
                  <c:v>1.8220000000000001</c:v>
                </c:pt>
                <c:pt idx="53">
                  <c:v>1.833</c:v>
                </c:pt>
                <c:pt idx="54">
                  <c:v>1.823</c:v>
                </c:pt>
                <c:pt idx="55">
                  <c:v>1.8540000000000001</c:v>
                </c:pt>
                <c:pt idx="56">
                  <c:v>1.8180000000000001</c:v>
                </c:pt>
              </c:numCache>
            </c:numRef>
          </c:yVal>
          <c:smooth val="0"/>
        </c:ser>
        <c:ser>
          <c:idx val="3"/>
          <c:order val="3"/>
          <c:tx>
            <c:v>NBS19 C</c:v>
          </c:tx>
          <c:spPr>
            <a:ln w="12700" cap="rnd">
              <a:solidFill>
                <a:schemeClr val="accent4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'Curvas massa_P_II'!$AL$20:$AL$21</c:f>
              <c:numCache>
                <c:formatCode>General</c:formatCode>
                <c:ptCount val="2"/>
                <c:pt idx="0">
                  <c:v>0</c:v>
                </c:pt>
                <c:pt idx="1">
                  <c:v>8000</c:v>
                </c:pt>
              </c:numCache>
            </c:numRef>
          </c:xVal>
          <c:yVal>
            <c:numRef>
              <c:f>'Curvas massa_P_II'!$AN$20:$AN$21</c:f>
              <c:numCache>
                <c:formatCode>General</c:formatCode>
                <c:ptCount val="2"/>
                <c:pt idx="0">
                  <c:v>1.95</c:v>
                </c:pt>
                <c:pt idx="1">
                  <c:v>1.95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645888"/>
        <c:axId val="118646464"/>
      </c:scatterChart>
      <c:scatterChart>
        <c:scatterStyle val="lineMarker"/>
        <c:varyColors val="0"/>
        <c:ser>
          <c:idx val="0"/>
          <c:order val="0"/>
          <c:tx>
            <c:v>d18O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('Curvas massa_P_II'!$AD$7:$AD$33,'Curvas massa_P_II'!$AK$37:$AK$66)</c:f>
              <c:numCache>
                <c:formatCode>General</c:formatCode>
                <c:ptCount val="57"/>
                <c:pt idx="0">
                  <c:v>3536</c:v>
                </c:pt>
                <c:pt idx="1">
                  <c:v>4302</c:v>
                </c:pt>
                <c:pt idx="2">
                  <c:v>1138</c:v>
                </c:pt>
                <c:pt idx="3">
                  <c:v>929</c:v>
                </c:pt>
                <c:pt idx="4">
                  <c:v>1564</c:v>
                </c:pt>
                <c:pt idx="5">
                  <c:v>896</c:v>
                </c:pt>
                <c:pt idx="6">
                  <c:v>1580</c:v>
                </c:pt>
                <c:pt idx="7">
                  <c:v>1821</c:v>
                </c:pt>
                <c:pt idx="8">
                  <c:v>1962</c:v>
                </c:pt>
                <c:pt idx="9">
                  <c:v>2070</c:v>
                </c:pt>
                <c:pt idx="10">
                  <c:v>1576</c:v>
                </c:pt>
                <c:pt idx="11">
                  <c:v>2249</c:v>
                </c:pt>
                <c:pt idx="12">
                  <c:v>1873</c:v>
                </c:pt>
                <c:pt idx="13">
                  <c:v>2967</c:v>
                </c:pt>
                <c:pt idx="14">
                  <c:v>2588</c:v>
                </c:pt>
                <c:pt idx="15">
                  <c:v>3470</c:v>
                </c:pt>
                <c:pt idx="16">
                  <c:v>2395</c:v>
                </c:pt>
                <c:pt idx="17">
                  <c:v>3492</c:v>
                </c:pt>
                <c:pt idx="18">
                  <c:v>2649</c:v>
                </c:pt>
                <c:pt idx="19">
                  <c:v>3509</c:v>
                </c:pt>
                <c:pt idx="20">
                  <c:v>2735</c:v>
                </c:pt>
                <c:pt idx="21">
                  <c:v>3965</c:v>
                </c:pt>
                <c:pt idx="22">
                  <c:v>4012</c:v>
                </c:pt>
                <c:pt idx="23">
                  <c:v>4099</c:v>
                </c:pt>
                <c:pt idx="24">
                  <c:v>4548</c:v>
                </c:pt>
                <c:pt idx="25">
                  <c:v>3813</c:v>
                </c:pt>
                <c:pt idx="26">
                  <c:v>3677</c:v>
                </c:pt>
                <c:pt idx="27">
                  <c:v>3008</c:v>
                </c:pt>
                <c:pt idx="28">
                  <c:v>1408</c:v>
                </c:pt>
                <c:pt idx="29">
                  <c:v>2777</c:v>
                </c:pt>
                <c:pt idx="30">
                  <c:v>2438</c:v>
                </c:pt>
                <c:pt idx="31">
                  <c:v>2354</c:v>
                </c:pt>
                <c:pt idx="32">
                  <c:v>3878</c:v>
                </c:pt>
                <c:pt idx="33">
                  <c:v>2482</c:v>
                </c:pt>
                <c:pt idx="34">
                  <c:v>2312</c:v>
                </c:pt>
                <c:pt idx="35">
                  <c:v>2521</c:v>
                </c:pt>
                <c:pt idx="36">
                  <c:v>2964</c:v>
                </c:pt>
                <c:pt idx="37">
                  <c:v>5338</c:v>
                </c:pt>
                <c:pt idx="38">
                  <c:v>4035</c:v>
                </c:pt>
                <c:pt idx="39">
                  <c:v>4700</c:v>
                </c:pt>
                <c:pt idx="40">
                  <c:v>3735</c:v>
                </c:pt>
                <c:pt idx="41">
                  <c:v>4962</c:v>
                </c:pt>
                <c:pt idx="42">
                  <c:v>3039</c:v>
                </c:pt>
                <c:pt idx="43">
                  <c:v>4485</c:v>
                </c:pt>
                <c:pt idx="44">
                  <c:v>3269</c:v>
                </c:pt>
                <c:pt idx="45">
                  <c:v>3258</c:v>
                </c:pt>
                <c:pt idx="46">
                  <c:v>5402</c:v>
                </c:pt>
                <c:pt idx="47">
                  <c:v>4968</c:v>
                </c:pt>
                <c:pt idx="48">
                  <c:v>5306</c:v>
                </c:pt>
                <c:pt idx="49">
                  <c:v>6327</c:v>
                </c:pt>
                <c:pt idx="50">
                  <c:v>5331</c:v>
                </c:pt>
                <c:pt idx="51">
                  <c:v>6036</c:v>
                </c:pt>
                <c:pt idx="52">
                  <c:v>6087</c:v>
                </c:pt>
                <c:pt idx="53">
                  <c:v>5487</c:v>
                </c:pt>
                <c:pt idx="54">
                  <c:v>5278</c:v>
                </c:pt>
                <c:pt idx="55">
                  <c:v>5949</c:v>
                </c:pt>
                <c:pt idx="56">
                  <c:v>5227</c:v>
                </c:pt>
              </c:numCache>
            </c:numRef>
          </c:xVal>
          <c:yVal>
            <c:numRef>
              <c:f>('Curvas massa_P_II'!$F$7:$F$33,'Curvas massa_P_II'!$J$37:$J$66)</c:f>
              <c:numCache>
                <c:formatCode>General</c:formatCode>
                <c:ptCount val="57"/>
                <c:pt idx="0">
                  <c:v>-2.3879999999999999</c:v>
                </c:pt>
                <c:pt idx="1">
                  <c:v>-2.427</c:v>
                </c:pt>
                <c:pt idx="2">
                  <c:v>-2.238</c:v>
                </c:pt>
                <c:pt idx="3">
                  <c:v>-2.8780000000000001</c:v>
                </c:pt>
                <c:pt idx="4">
                  <c:v>-2.6259999999999999</c:v>
                </c:pt>
                <c:pt idx="5">
                  <c:v>-2.9790000000000001</c:v>
                </c:pt>
                <c:pt idx="6">
                  <c:v>-2.4540000000000002</c:v>
                </c:pt>
                <c:pt idx="7">
                  <c:v>-2.702</c:v>
                </c:pt>
                <c:pt idx="8">
                  <c:v>-2.4990000000000001</c:v>
                </c:pt>
                <c:pt idx="9">
                  <c:v>-2.7919999999999998</c:v>
                </c:pt>
                <c:pt idx="10">
                  <c:v>-2.407</c:v>
                </c:pt>
                <c:pt idx="11">
                  <c:v>-2.6280000000000001</c:v>
                </c:pt>
                <c:pt idx="12">
                  <c:v>-2.5179999999999998</c:v>
                </c:pt>
                <c:pt idx="13">
                  <c:v>-2.4089999999999998</c:v>
                </c:pt>
                <c:pt idx="14">
                  <c:v>-2.431</c:v>
                </c:pt>
                <c:pt idx="15">
                  <c:v>-2.4969999999999999</c:v>
                </c:pt>
                <c:pt idx="16">
                  <c:v>-2.6080000000000001</c:v>
                </c:pt>
                <c:pt idx="17">
                  <c:v>-2.431</c:v>
                </c:pt>
                <c:pt idx="18">
                  <c:v>-2.46</c:v>
                </c:pt>
                <c:pt idx="19">
                  <c:v>-2.4609999999999999</c:v>
                </c:pt>
                <c:pt idx="20">
                  <c:v>-2.7360000000000002</c:v>
                </c:pt>
                <c:pt idx="21">
                  <c:v>-2.5840000000000001</c:v>
                </c:pt>
                <c:pt idx="22">
                  <c:v>-2.4790000000000001</c:v>
                </c:pt>
                <c:pt idx="23">
                  <c:v>-2.4929999999999999</c:v>
                </c:pt>
                <c:pt idx="24">
                  <c:v>-2.4550000000000001</c:v>
                </c:pt>
                <c:pt idx="25">
                  <c:v>-2.4990000000000001</c:v>
                </c:pt>
                <c:pt idx="26">
                  <c:v>-2.552</c:v>
                </c:pt>
                <c:pt idx="27">
                  <c:v>-2.5609999999999999</c:v>
                </c:pt>
                <c:pt idx="28">
                  <c:v>-2.5870000000000002</c:v>
                </c:pt>
                <c:pt idx="29">
                  <c:v>-2.609</c:v>
                </c:pt>
                <c:pt idx="30">
                  <c:v>-2.698</c:v>
                </c:pt>
                <c:pt idx="31">
                  <c:v>-2.4780000000000002</c:v>
                </c:pt>
                <c:pt idx="32">
                  <c:v>-2.484</c:v>
                </c:pt>
                <c:pt idx="33">
                  <c:v>-2.532</c:v>
                </c:pt>
                <c:pt idx="34">
                  <c:v>-2.661</c:v>
                </c:pt>
                <c:pt idx="35">
                  <c:v>-2.5840000000000001</c:v>
                </c:pt>
                <c:pt idx="36">
                  <c:v>-2.621</c:v>
                </c:pt>
                <c:pt idx="37">
                  <c:v>-2.4609999999999999</c:v>
                </c:pt>
                <c:pt idx="38">
                  <c:v>-2.548</c:v>
                </c:pt>
                <c:pt idx="39">
                  <c:v>-2.5139999999999998</c:v>
                </c:pt>
                <c:pt idx="40">
                  <c:v>-2.4929999999999999</c:v>
                </c:pt>
                <c:pt idx="41">
                  <c:v>-2.4990000000000001</c:v>
                </c:pt>
                <c:pt idx="42">
                  <c:v>-2.4940000000000002</c:v>
                </c:pt>
                <c:pt idx="43">
                  <c:v>-2.4380000000000002</c:v>
                </c:pt>
                <c:pt idx="44">
                  <c:v>-2.4089999999999998</c:v>
                </c:pt>
                <c:pt idx="45">
                  <c:v>-2.62</c:v>
                </c:pt>
                <c:pt idx="46">
                  <c:v>-2.464</c:v>
                </c:pt>
                <c:pt idx="47">
                  <c:v>-2.5470000000000002</c:v>
                </c:pt>
                <c:pt idx="48">
                  <c:v>-2.5169999999999999</c:v>
                </c:pt>
                <c:pt idx="49">
                  <c:v>-2.3730000000000002</c:v>
                </c:pt>
                <c:pt idx="50">
                  <c:v>-2.3809999999999998</c:v>
                </c:pt>
                <c:pt idx="51">
                  <c:v>-2.5070000000000001</c:v>
                </c:pt>
                <c:pt idx="52">
                  <c:v>-2.4289999999999998</c:v>
                </c:pt>
                <c:pt idx="53">
                  <c:v>-2.5099999999999998</c:v>
                </c:pt>
                <c:pt idx="54">
                  <c:v>-2.4780000000000002</c:v>
                </c:pt>
                <c:pt idx="55">
                  <c:v>-2.4830000000000001</c:v>
                </c:pt>
                <c:pt idx="56">
                  <c:v>-2.4470000000000001</c:v>
                </c:pt>
              </c:numCache>
            </c:numRef>
          </c:yVal>
          <c:smooth val="0"/>
        </c:ser>
        <c:ser>
          <c:idx val="1"/>
          <c:order val="2"/>
          <c:tx>
            <c:v>NBS19 O</c:v>
          </c:tx>
          <c:spPr>
            <a:ln w="12700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'Curvas massa_P_II'!$AL$20:$AL$21</c:f>
              <c:numCache>
                <c:formatCode>General</c:formatCode>
                <c:ptCount val="2"/>
                <c:pt idx="0">
                  <c:v>0</c:v>
                </c:pt>
                <c:pt idx="1">
                  <c:v>8000</c:v>
                </c:pt>
              </c:numCache>
            </c:numRef>
          </c:xVal>
          <c:yVal>
            <c:numRef>
              <c:f>'Curvas massa_P_II'!$AM$20:$AM$21</c:f>
              <c:numCache>
                <c:formatCode>General</c:formatCode>
                <c:ptCount val="2"/>
                <c:pt idx="0">
                  <c:v>-2.2000000000000002</c:v>
                </c:pt>
                <c:pt idx="1">
                  <c:v>-2.2000000000000002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647616"/>
        <c:axId val="118647040"/>
      </c:scatterChart>
      <c:valAx>
        <c:axId val="118645888"/>
        <c:scaling>
          <c:orientation val="minMax"/>
          <c:max val="70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Initial Int</a:t>
                </a:r>
                <a:r>
                  <a:rPr lang="pt-BR" baseline="0"/>
                  <a:t> (mV)</a:t>
                </a:r>
                <a:endParaRPr lang="pt-BR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8646464"/>
        <c:crosses val="autoZero"/>
        <c:crossBetween val="midCat"/>
      </c:valAx>
      <c:valAx>
        <c:axId val="118646464"/>
        <c:scaling>
          <c:orientation val="minMax"/>
          <c:max val="3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d13C (%o)</a:t>
                </a:r>
              </a:p>
            </c:rich>
          </c:tx>
          <c:layout>
            <c:manualLayout>
              <c:xMode val="edge"/>
              <c:yMode val="edge"/>
              <c:x val="2.1581263880476501E-2"/>
              <c:y val="0.37772382618839301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8645888"/>
        <c:crosses val="autoZero"/>
        <c:crossBetween val="midCat"/>
      </c:valAx>
      <c:valAx>
        <c:axId val="118647040"/>
        <c:scaling>
          <c:orientation val="minMax"/>
          <c:max val="0"/>
          <c:min val="-8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d18O (%o)</a:t>
                </a:r>
              </a:p>
            </c:rich>
          </c:tx>
          <c:layout>
            <c:manualLayout>
              <c:xMode val="edge"/>
              <c:yMode val="edge"/>
              <c:x val="0.94196789824348903"/>
              <c:y val="0.37171660834062398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8647616"/>
        <c:crosses val="max"/>
        <c:crossBetween val="midCat"/>
      </c:valAx>
      <c:valAx>
        <c:axId val="11864761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186470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5081714785651801"/>
          <c:y val="0.12962962962963001"/>
          <c:w val="0.793293963254593"/>
          <c:h val="0.70183654126567496"/>
        </c:manualLayout>
      </c:layout>
      <c:scatterChart>
        <c:scatterStyle val="lineMarker"/>
        <c:varyColors val="0"/>
        <c:ser>
          <c:idx val="0"/>
          <c:order val="0"/>
          <c:tx>
            <c:v>NBS19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-0.215343973025096"/>
                  <c:y val="-8.1031906409928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1" i="0" u="none" strike="noStrike" kern="120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numRef>
              <c:f>('Curvas massa_P_II'!$AG$7:$AG$33,'Curvas massa_P_II'!$AJ$37:$AJ$66)</c:f>
              <c:numCache>
                <c:formatCode>General</c:formatCode>
                <c:ptCount val="57"/>
                <c:pt idx="0">
                  <c:v>27</c:v>
                </c:pt>
                <c:pt idx="1">
                  <c:v>27</c:v>
                </c:pt>
                <c:pt idx="2">
                  <c:v>9</c:v>
                </c:pt>
                <c:pt idx="3">
                  <c:v>9</c:v>
                </c:pt>
                <c:pt idx="4">
                  <c:v>9</c:v>
                </c:pt>
                <c:pt idx="5">
                  <c:v>9</c:v>
                </c:pt>
                <c:pt idx="6">
                  <c:v>18</c:v>
                </c:pt>
                <c:pt idx="7">
                  <c:v>18</c:v>
                </c:pt>
                <c:pt idx="8">
                  <c:v>18</c:v>
                </c:pt>
                <c:pt idx="9">
                  <c:v>18</c:v>
                </c:pt>
                <c:pt idx="10">
                  <c:v>18</c:v>
                </c:pt>
                <c:pt idx="11">
                  <c:v>18</c:v>
                </c:pt>
                <c:pt idx="12">
                  <c:v>18</c:v>
                </c:pt>
                <c:pt idx="13">
                  <c:v>27</c:v>
                </c:pt>
                <c:pt idx="14">
                  <c:v>27</c:v>
                </c:pt>
                <c:pt idx="15">
                  <c:v>27</c:v>
                </c:pt>
                <c:pt idx="16">
                  <c:v>27</c:v>
                </c:pt>
                <c:pt idx="17">
                  <c:v>27</c:v>
                </c:pt>
                <c:pt idx="18">
                  <c:v>27</c:v>
                </c:pt>
                <c:pt idx="19">
                  <c:v>27</c:v>
                </c:pt>
                <c:pt idx="20">
                  <c:v>27</c:v>
                </c:pt>
                <c:pt idx="21">
                  <c:v>36</c:v>
                </c:pt>
                <c:pt idx="22">
                  <c:v>36</c:v>
                </c:pt>
                <c:pt idx="23">
                  <c:v>36</c:v>
                </c:pt>
                <c:pt idx="24">
                  <c:v>36</c:v>
                </c:pt>
                <c:pt idx="25">
                  <c:v>36</c:v>
                </c:pt>
                <c:pt idx="26">
                  <c:v>36</c:v>
                </c:pt>
                <c:pt idx="27">
                  <c:v>27</c:v>
                </c:pt>
                <c:pt idx="28">
                  <c:v>27</c:v>
                </c:pt>
                <c:pt idx="29">
                  <c:v>27</c:v>
                </c:pt>
                <c:pt idx="30">
                  <c:v>27</c:v>
                </c:pt>
                <c:pt idx="31">
                  <c:v>27</c:v>
                </c:pt>
                <c:pt idx="32">
                  <c:v>27</c:v>
                </c:pt>
                <c:pt idx="33">
                  <c:v>27</c:v>
                </c:pt>
                <c:pt idx="34">
                  <c:v>27</c:v>
                </c:pt>
                <c:pt idx="35">
                  <c:v>27</c:v>
                </c:pt>
                <c:pt idx="36">
                  <c:v>27</c:v>
                </c:pt>
                <c:pt idx="37">
                  <c:v>36</c:v>
                </c:pt>
                <c:pt idx="38">
                  <c:v>36</c:v>
                </c:pt>
                <c:pt idx="39">
                  <c:v>36</c:v>
                </c:pt>
                <c:pt idx="40">
                  <c:v>36</c:v>
                </c:pt>
                <c:pt idx="41">
                  <c:v>36</c:v>
                </c:pt>
                <c:pt idx="42">
                  <c:v>36</c:v>
                </c:pt>
                <c:pt idx="43">
                  <c:v>36</c:v>
                </c:pt>
                <c:pt idx="44">
                  <c:v>36</c:v>
                </c:pt>
                <c:pt idx="45">
                  <c:v>36</c:v>
                </c:pt>
                <c:pt idx="46">
                  <c:v>36</c:v>
                </c:pt>
                <c:pt idx="47">
                  <c:v>45</c:v>
                </c:pt>
                <c:pt idx="48">
                  <c:v>45</c:v>
                </c:pt>
                <c:pt idx="49">
                  <c:v>45</c:v>
                </c:pt>
                <c:pt idx="50">
                  <c:v>45</c:v>
                </c:pt>
                <c:pt idx="51">
                  <c:v>45</c:v>
                </c:pt>
                <c:pt idx="52">
                  <c:v>45</c:v>
                </c:pt>
                <c:pt idx="53">
                  <c:v>45</c:v>
                </c:pt>
                <c:pt idx="54">
                  <c:v>45</c:v>
                </c:pt>
                <c:pt idx="55">
                  <c:v>45</c:v>
                </c:pt>
                <c:pt idx="56">
                  <c:v>45</c:v>
                </c:pt>
              </c:numCache>
            </c:numRef>
          </c:xVal>
          <c:yVal>
            <c:numRef>
              <c:f>('Curvas massa_P_II'!$AC$7:$AC$33,'Curvas massa_P_II'!$AI$37:$AI$66)</c:f>
              <c:numCache>
                <c:formatCode>General</c:formatCode>
                <c:ptCount val="57"/>
                <c:pt idx="0">
                  <c:v>795</c:v>
                </c:pt>
                <c:pt idx="1">
                  <c:v>841</c:v>
                </c:pt>
                <c:pt idx="2">
                  <c:v>466</c:v>
                </c:pt>
                <c:pt idx="3">
                  <c:v>434</c:v>
                </c:pt>
                <c:pt idx="4">
                  <c:v>558</c:v>
                </c:pt>
                <c:pt idx="5">
                  <c:v>402</c:v>
                </c:pt>
                <c:pt idx="6">
                  <c:v>554</c:v>
                </c:pt>
                <c:pt idx="7">
                  <c:v>593</c:v>
                </c:pt>
                <c:pt idx="8">
                  <c:v>621</c:v>
                </c:pt>
                <c:pt idx="9">
                  <c:v>618</c:v>
                </c:pt>
                <c:pt idx="10">
                  <c:v>568</c:v>
                </c:pt>
                <c:pt idx="11">
                  <c:v>660</c:v>
                </c:pt>
                <c:pt idx="12">
                  <c:v>636</c:v>
                </c:pt>
                <c:pt idx="13">
                  <c:v>760</c:v>
                </c:pt>
                <c:pt idx="14">
                  <c:v>728</c:v>
                </c:pt>
                <c:pt idx="15">
                  <c:v>823</c:v>
                </c:pt>
                <c:pt idx="16">
                  <c:v>714</c:v>
                </c:pt>
                <c:pt idx="17">
                  <c:v>823</c:v>
                </c:pt>
                <c:pt idx="18">
                  <c:v>742</c:v>
                </c:pt>
                <c:pt idx="19">
                  <c:v>827</c:v>
                </c:pt>
                <c:pt idx="20">
                  <c:v>752</c:v>
                </c:pt>
                <c:pt idx="21">
                  <c:v>880</c:v>
                </c:pt>
                <c:pt idx="22">
                  <c:v>891</c:v>
                </c:pt>
                <c:pt idx="23">
                  <c:v>876</c:v>
                </c:pt>
                <c:pt idx="24">
                  <c:v>919</c:v>
                </c:pt>
                <c:pt idx="25">
                  <c:v>855</c:v>
                </c:pt>
                <c:pt idx="26">
                  <c:v>852</c:v>
                </c:pt>
                <c:pt idx="27">
                  <c:v>731</c:v>
                </c:pt>
                <c:pt idx="28">
                  <c:v>529</c:v>
                </c:pt>
                <c:pt idx="29">
                  <c:v>710</c:v>
                </c:pt>
                <c:pt idx="30">
                  <c:v>671</c:v>
                </c:pt>
                <c:pt idx="31">
                  <c:v>678</c:v>
                </c:pt>
                <c:pt idx="32">
                  <c:v>813</c:v>
                </c:pt>
                <c:pt idx="33">
                  <c:v>721</c:v>
                </c:pt>
                <c:pt idx="34">
                  <c:v>671</c:v>
                </c:pt>
                <c:pt idx="35">
                  <c:v>710</c:v>
                </c:pt>
                <c:pt idx="36">
                  <c:v>745</c:v>
                </c:pt>
                <c:pt idx="37">
                  <c:v>908</c:v>
                </c:pt>
                <c:pt idx="38">
                  <c:v>845</c:v>
                </c:pt>
                <c:pt idx="39">
                  <c:v>894</c:v>
                </c:pt>
                <c:pt idx="40">
                  <c:v>816</c:v>
                </c:pt>
                <c:pt idx="41">
                  <c:v>873</c:v>
                </c:pt>
                <c:pt idx="42">
                  <c:v>745</c:v>
                </c:pt>
                <c:pt idx="43">
                  <c:v>873</c:v>
                </c:pt>
                <c:pt idx="44">
                  <c:v>767</c:v>
                </c:pt>
                <c:pt idx="45">
                  <c:v>756</c:v>
                </c:pt>
                <c:pt idx="46">
                  <c:v>898</c:v>
                </c:pt>
                <c:pt idx="47">
                  <c:v>887</c:v>
                </c:pt>
                <c:pt idx="48">
                  <c:v>901</c:v>
                </c:pt>
                <c:pt idx="49">
                  <c:v>965</c:v>
                </c:pt>
                <c:pt idx="50">
                  <c:v>919</c:v>
                </c:pt>
                <c:pt idx="51">
                  <c:v>976</c:v>
                </c:pt>
                <c:pt idx="52">
                  <c:v>958</c:v>
                </c:pt>
                <c:pt idx="53">
                  <c:v>947</c:v>
                </c:pt>
                <c:pt idx="54">
                  <c:v>944</c:v>
                </c:pt>
                <c:pt idx="55">
                  <c:v>968</c:v>
                </c:pt>
                <c:pt idx="56">
                  <c:v>944</c:v>
                </c:pt>
              </c:numCache>
            </c:numRef>
          </c:yVal>
          <c:smooth val="0"/>
        </c:ser>
        <c:ser>
          <c:idx val="1"/>
          <c:order val="1"/>
          <c:tx>
            <c:v>Thermo</c:v>
          </c:tx>
          <c:spPr>
            <a:ln w="88900" cap="rnd">
              <a:solidFill>
                <a:schemeClr val="bg1">
                  <a:lumMod val="85000"/>
                  <a:alpha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'Curvas massa_P_II'!$AL$11:$AL$15</c:f>
              <c:numCache>
                <c:formatCode>General</c:formatCode>
                <c:ptCount val="5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</c:numCache>
            </c:numRef>
          </c:xVal>
          <c:yVal>
            <c:numRef>
              <c:f>'Curvas massa_P_II'!$AM$11:$AM$15</c:f>
              <c:numCache>
                <c:formatCode>General</c:formatCode>
                <c:ptCount val="5"/>
                <c:pt idx="0">
                  <c:v>500</c:v>
                </c:pt>
                <c:pt idx="1">
                  <c:v>675</c:v>
                </c:pt>
                <c:pt idx="2">
                  <c:v>760</c:v>
                </c:pt>
                <c:pt idx="3">
                  <c:v>840</c:v>
                </c:pt>
                <c:pt idx="4">
                  <c:v>900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649920"/>
        <c:axId val="118650496"/>
      </c:scatterChart>
      <c:valAx>
        <c:axId val="118649920"/>
        <c:scaling>
          <c:orientation val="minMax"/>
          <c:max val="7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Mass (ug)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8650496"/>
        <c:crosses val="autoZero"/>
        <c:crossBetween val="midCat"/>
      </c:valAx>
      <c:valAx>
        <c:axId val="118650496"/>
        <c:scaling>
          <c:orientation val="minMax"/>
          <c:max val="120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Pressure</a:t>
                </a:r>
              </a:p>
            </c:rich>
          </c:tx>
          <c:layout>
            <c:manualLayout>
              <c:xMode val="edge"/>
              <c:yMode val="edge"/>
              <c:x val="1.38888888888889E-2"/>
              <c:y val="0.27587197433654098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86499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5081714785651801"/>
          <c:y val="0.16892016816482"/>
          <c:w val="0.793293963254593"/>
          <c:h val="0.66254616403038102"/>
        </c:manualLayout>
      </c:layout>
      <c:scatterChart>
        <c:scatterStyle val="lineMarker"/>
        <c:varyColors val="0"/>
        <c:ser>
          <c:idx val="1"/>
          <c:order val="0"/>
          <c:tx>
            <c:v>Thermo</c:v>
          </c:tx>
          <c:spPr>
            <a:ln w="95250" cap="rnd">
              <a:solidFill>
                <a:schemeClr val="bg1">
                  <a:lumMod val="85000"/>
                  <a:alpha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'Curvas massa_P_II'!$AO$11:$AO$17</c:f>
              <c:numCache>
                <c:formatCode>General</c:formatCode>
                <c:ptCount val="7"/>
                <c:pt idx="0">
                  <c:v>200</c:v>
                </c:pt>
                <c:pt idx="1">
                  <c:v>400</c:v>
                </c:pt>
                <c:pt idx="2">
                  <c:v>500</c:v>
                </c:pt>
                <c:pt idx="3">
                  <c:v>600</c:v>
                </c:pt>
                <c:pt idx="4">
                  <c:v>700</c:v>
                </c:pt>
                <c:pt idx="5">
                  <c:v>800</c:v>
                </c:pt>
                <c:pt idx="6">
                  <c:v>950</c:v>
                </c:pt>
              </c:numCache>
            </c:numRef>
          </c:xVal>
          <c:yVal>
            <c:numRef>
              <c:f>'Curvas massa_P_II'!$AP$11:$AP$17</c:f>
              <c:numCache>
                <c:formatCode>General</c:formatCode>
                <c:ptCount val="7"/>
                <c:pt idx="0">
                  <c:v>440</c:v>
                </c:pt>
                <c:pt idx="1">
                  <c:v>1600</c:v>
                </c:pt>
                <c:pt idx="2">
                  <c:v>2400</c:v>
                </c:pt>
                <c:pt idx="3">
                  <c:v>3400</c:v>
                </c:pt>
                <c:pt idx="4">
                  <c:v>4500</c:v>
                </c:pt>
                <c:pt idx="5">
                  <c:v>5800</c:v>
                </c:pt>
                <c:pt idx="6">
                  <c:v>8000</c:v>
                </c:pt>
              </c:numCache>
            </c:numRef>
          </c:yVal>
          <c:smooth val="1"/>
        </c:ser>
        <c:ser>
          <c:idx val="0"/>
          <c:order val="1"/>
          <c:tx>
            <c:v>Initial Int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0.15444927942238201"/>
                  <c:y val="-9.073591464783710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numRef>
              <c:f>('Curvas massa_P_II'!$AC$7:$AC$33,'Curvas massa_P_II'!$AI$37:$AI$66)</c:f>
              <c:numCache>
                <c:formatCode>General</c:formatCode>
                <c:ptCount val="57"/>
                <c:pt idx="0">
                  <c:v>795</c:v>
                </c:pt>
                <c:pt idx="1">
                  <c:v>841</c:v>
                </c:pt>
                <c:pt idx="2">
                  <c:v>466</c:v>
                </c:pt>
                <c:pt idx="3">
                  <c:v>434</c:v>
                </c:pt>
                <c:pt idx="4">
                  <c:v>558</c:v>
                </c:pt>
                <c:pt idx="5">
                  <c:v>402</c:v>
                </c:pt>
                <c:pt idx="6">
                  <c:v>554</c:v>
                </c:pt>
                <c:pt idx="7">
                  <c:v>593</c:v>
                </c:pt>
                <c:pt idx="8">
                  <c:v>621</c:v>
                </c:pt>
                <c:pt idx="9">
                  <c:v>618</c:v>
                </c:pt>
                <c:pt idx="10">
                  <c:v>568</c:v>
                </c:pt>
                <c:pt idx="11">
                  <c:v>660</c:v>
                </c:pt>
                <c:pt idx="12">
                  <c:v>636</c:v>
                </c:pt>
                <c:pt idx="13">
                  <c:v>760</c:v>
                </c:pt>
                <c:pt idx="14">
                  <c:v>728</c:v>
                </c:pt>
                <c:pt idx="15">
                  <c:v>823</c:v>
                </c:pt>
                <c:pt idx="16">
                  <c:v>714</c:v>
                </c:pt>
                <c:pt idx="17">
                  <c:v>823</c:v>
                </c:pt>
                <c:pt idx="18">
                  <c:v>742</c:v>
                </c:pt>
                <c:pt idx="19">
                  <c:v>827</c:v>
                </c:pt>
                <c:pt idx="20">
                  <c:v>752</c:v>
                </c:pt>
                <c:pt idx="21">
                  <c:v>880</c:v>
                </c:pt>
                <c:pt idx="22">
                  <c:v>891</c:v>
                </c:pt>
                <c:pt idx="23">
                  <c:v>876</c:v>
                </c:pt>
                <c:pt idx="24">
                  <c:v>919</c:v>
                </c:pt>
                <c:pt idx="25">
                  <c:v>855</c:v>
                </c:pt>
                <c:pt idx="26">
                  <c:v>852</c:v>
                </c:pt>
                <c:pt idx="27">
                  <c:v>731</c:v>
                </c:pt>
                <c:pt idx="28">
                  <c:v>529</c:v>
                </c:pt>
                <c:pt idx="29">
                  <c:v>710</c:v>
                </c:pt>
                <c:pt idx="30">
                  <c:v>671</c:v>
                </c:pt>
                <c:pt idx="31">
                  <c:v>678</c:v>
                </c:pt>
                <c:pt idx="32">
                  <c:v>813</c:v>
                </c:pt>
                <c:pt idx="33">
                  <c:v>721</c:v>
                </c:pt>
                <c:pt idx="34">
                  <c:v>671</c:v>
                </c:pt>
                <c:pt idx="35">
                  <c:v>710</c:v>
                </c:pt>
                <c:pt idx="36">
                  <c:v>745</c:v>
                </c:pt>
                <c:pt idx="37">
                  <c:v>908</c:v>
                </c:pt>
                <c:pt idx="38">
                  <c:v>845</c:v>
                </c:pt>
                <c:pt idx="39">
                  <c:v>894</c:v>
                </c:pt>
                <c:pt idx="40">
                  <c:v>816</c:v>
                </c:pt>
                <c:pt idx="41">
                  <c:v>873</c:v>
                </c:pt>
                <c:pt idx="42">
                  <c:v>745</c:v>
                </c:pt>
                <c:pt idx="43">
                  <c:v>873</c:v>
                </c:pt>
                <c:pt idx="44">
                  <c:v>767</c:v>
                </c:pt>
                <c:pt idx="45">
                  <c:v>756</c:v>
                </c:pt>
                <c:pt idx="46">
                  <c:v>898</c:v>
                </c:pt>
                <c:pt idx="47">
                  <c:v>887</c:v>
                </c:pt>
                <c:pt idx="48">
                  <c:v>901</c:v>
                </c:pt>
                <c:pt idx="49">
                  <c:v>965</c:v>
                </c:pt>
                <c:pt idx="50">
                  <c:v>919</c:v>
                </c:pt>
                <c:pt idx="51">
                  <c:v>976</c:v>
                </c:pt>
                <c:pt idx="52">
                  <c:v>958</c:v>
                </c:pt>
                <c:pt idx="53">
                  <c:v>947</c:v>
                </c:pt>
                <c:pt idx="54">
                  <c:v>944</c:v>
                </c:pt>
                <c:pt idx="55">
                  <c:v>968</c:v>
                </c:pt>
                <c:pt idx="56">
                  <c:v>944</c:v>
                </c:pt>
              </c:numCache>
            </c:numRef>
          </c:xVal>
          <c:yVal>
            <c:numRef>
              <c:f>('Curvas massa_P_II'!$AD$7:$AD$33,'Curvas massa_P_II'!$AK$37:$AK$66)</c:f>
              <c:numCache>
                <c:formatCode>General</c:formatCode>
                <c:ptCount val="57"/>
                <c:pt idx="0">
                  <c:v>3536</c:v>
                </c:pt>
                <c:pt idx="1">
                  <c:v>4302</c:v>
                </c:pt>
                <c:pt idx="2">
                  <c:v>1138</c:v>
                </c:pt>
                <c:pt idx="3">
                  <c:v>929</c:v>
                </c:pt>
                <c:pt idx="4">
                  <c:v>1564</c:v>
                </c:pt>
                <c:pt idx="5">
                  <c:v>896</c:v>
                </c:pt>
                <c:pt idx="6">
                  <c:v>1580</c:v>
                </c:pt>
                <c:pt idx="7">
                  <c:v>1821</c:v>
                </c:pt>
                <c:pt idx="8">
                  <c:v>1962</c:v>
                </c:pt>
                <c:pt idx="9">
                  <c:v>2070</c:v>
                </c:pt>
                <c:pt idx="10">
                  <c:v>1576</c:v>
                </c:pt>
                <c:pt idx="11">
                  <c:v>2249</c:v>
                </c:pt>
                <c:pt idx="12">
                  <c:v>1873</c:v>
                </c:pt>
                <c:pt idx="13">
                  <c:v>2967</c:v>
                </c:pt>
                <c:pt idx="14">
                  <c:v>2588</c:v>
                </c:pt>
                <c:pt idx="15">
                  <c:v>3470</c:v>
                </c:pt>
                <c:pt idx="16">
                  <c:v>2395</c:v>
                </c:pt>
                <c:pt idx="17">
                  <c:v>3492</c:v>
                </c:pt>
                <c:pt idx="18">
                  <c:v>2649</c:v>
                </c:pt>
                <c:pt idx="19">
                  <c:v>3509</c:v>
                </c:pt>
                <c:pt idx="20">
                  <c:v>2735</c:v>
                </c:pt>
                <c:pt idx="21">
                  <c:v>3965</c:v>
                </c:pt>
                <c:pt idx="22">
                  <c:v>4012</c:v>
                </c:pt>
                <c:pt idx="23">
                  <c:v>4099</c:v>
                </c:pt>
                <c:pt idx="24">
                  <c:v>4548</c:v>
                </c:pt>
                <c:pt idx="25">
                  <c:v>3813</c:v>
                </c:pt>
                <c:pt idx="26">
                  <c:v>3677</c:v>
                </c:pt>
                <c:pt idx="27">
                  <c:v>3008</c:v>
                </c:pt>
                <c:pt idx="28">
                  <c:v>1408</c:v>
                </c:pt>
                <c:pt idx="29">
                  <c:v>2777</c:v>
                </c:pt>
                <c:pt idx="30">
                  <c:v>2438</c:v>
                </c:pt>
                <c:pt idx="31">
                  <c:v>2354</c:v>
                </c:pt>
                <c:pt idx="32">
                  <c:v>3878</c:v>
                </c:pt>
                <c:pt idx="33">
                  <c:v>2482</c:v>
                </c:pt>
                <c:pt idx="34">
                  <c:v>2312</c:v>
                </c:pt>
                <c:pt idx="35">
                  <c:v>2521</c:v>
                </c:pt>
                <c:pt idx="36">
                  <c:v>2964</c:v>
                </c:pt>
                <c:pt idx="37">
                  <c:v>5338</c:v>
                </c:pt>
                <c:pt idx="38">
                  <c:v>4035</c:v>
                </c:pt>
                <c:pt idx="39">
                  <c:v>4700</c:v>
                </c:pt>
                <c:pt idx="40">
                  <c:v>3735</c:v>
                </c:pt>
                <c:pt idx="41">
                  <c:v>4962</c:v>
                </c:pt>
                <c:pt idx="42">
                  <c:v>3039</c:v>
                </c:pt>
                <c:pt idx="43">
                  <c:v>4485</c:v>
                </c:pt>
                <c:pt idx="44">
                  <c:v>3269</c:v>
                </c:pt>
                <c:pt idx="45">
                  <c:v>3258</c:v>
                </c:pt>
                <c:pt idx="46">
                  <c:v>5402</c:v>
                </c:pt>
                <c:pt idx="47">
                  <c:v>4968</c:v>
                </c:pt>
                <c:pt idx="48">
                  <c:v>5306</c:v>
                </c:pt>
                <c:pt idx="49">
                  <c:v>6327</c:v>
                </c:pt>
                <c:pt idx="50">
                  <c:v>5331</c:v>
                </c:pt>
                <c:pt idx="51">
                  <c:v>6036</c:v>
                </c:pt>
                <c:pt idx="52">
                  <c:v>6087</c:v>
                </c:pt>
                <c:pt idx="53">
                  <c:v>5487</c:v>
                </c:pt>
                <c:pt idx="54">
                  <c:v>5278</c:v>
                </c:pt>
                <c:pt idx="55">
                  <c:v>5949</c:v>
                </c:pt>
                <c:pt idx="56">
                  <c:v>5227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652224"/>
        <c:axId val="125198336"/>
      </c:scatterChart>
      <c:valAx>
        <c:axId val="118652224"/>
        <c:scaling>
          <c:orientation val="minMax"/>
          <c:max val="12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Pressure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5198336"/>
        <c:crosses val="autoZero"/>
        <c:crossBetween val="midCat"/>
      </c:valAx>
      <c:valAx>
        <c:axId val="125198336"/>
        <c:scaling>
          <c:orientation val="minMax"/>
          <c:max val="1000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Intensity</a:t>
                </a:r>
              </a:p>
            </c:rich>
          </c:tx>
          <c:layout>
            <c:manualLayout>
              <c:xMode val="edge"/>
              <c:yMode val="edge"/>
              <c:x val="1.38888888888889E-2"/>
              <c:y val="0.27587197433654098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86522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6.3861968688079099E-2"/>
          <c:y val="2.3598820058997001E-2"/>
          <c:w val="0.87227588315916005"/>
          <c:h val="0.12291145022801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004784978800701"/>
          <c:y val="5.0925925925925902E-2"/>
          <c:w val="0.75996062992126001"/>
          <c:h val="0.78054024496937902"/>
        </c:manualLayout>
      </c:layout>
      <c:scatterChart>
        <c:scatterStyle val="lineMarker"/>
        <c:varyColors val="0"/>
        <c:ser>
          <c:idx val="2"/>
          <c:order val="1"/>
          <c:tx>
            <c:v>d13C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('Curvas massa_P_II'!$AD$7:$AD$33,'Curvas massa_P_II'!$AK$37:$AK$66,'Curvas massa_P_II'!$AM$70:$AM$107)</c:f>
              <c:numCache>
                <c:formatCode>General</c:formatCode>
                <c:ptCount val="95"/>
                <c:pt idx="0">
                  <c:v>3536</c:v>
                </c:pt>
                <c:pt idx="1">
                  <c:v>4302</c:v>
                </c:pt>
                <c:pt idx="2">
                  <c:v>1138</c:v>
                </c:pt>
                <c:pt idx="3">
                  <c:v>929</c:v>
                </c:pt>
                <c:pt idx="4">
                  <c:v>1564</c:v>
                </c:pt>
                <c:pt idx="5">
                  <c:v>896</c:v>
                </c:pt>
                <c:pt idx="6">
                  <c:v>1580</c:v>
                </c:pt>
                <c:pt idx="7">
                  <c:v>1821</c:v>
                </c:pt>
                <c:pt idx="8">
                  <c:v>1962</c:v>
                </c:pt>
                <c:pt idx="9">
                  <c:v>2070</c:v>
                </c:pt>
                <c:pt idx="10">
                  <c:v>1576</c:v>
                </c:pt>
                <c:pt idx="11">
                  <c:v>2249</c:v>
                </c:pt>
                <c:pt idx="12">
                  <c:v>1873</c:v>
                </c:pt>
                <c:pt idx="13">
                  <c:v>2967</c:v>
                </c:pt>
                <c:pt idx="14">
                  <c:v>2588</c:v>
                </c:pt>
                <c:pt idx="15">
                  <c:v>3470</c:v>
                </c:pt>
                <c:pt idx="16">
                  <c:v>2395</c:v>
                </c:pt>
                <c:pt idx="17">
                  <c:v>3492</c:v>
                </c:pt>
                <c:pt idx="18">
                  <c:v>2649</c:v>
                </c:pt>
                <c:pt idx="19">
                  <c:v>3509</c:v>
                </c:pt>
                <c:pt idx="20">
                  <c:v>2735</c:v>
                </c:pt>
                <c:pt idx="21">
                  <c:v>3965</c:v>
                </c:pt>
                <c:pt idx="22">
                  <c:v>4012</c:v>
                </c:pt>
                <c:pt idx="23">
                  <c:v>4099</c:v>
                </c:pt>
                <c:pt idx="24">
                  <c:v>4548</c:v>
                </c:pt>
                <c:pt idx="25">
                  <c:v>3813</c:v>
                </c:pt>
                <c:pt idx="26">
                  <c:v>3677</c:v>
                </c:pt>
                <c:pt idx="27">
                  <c:v>3008</c:v>
                </c:pt>
                <c:pt idx="28">
                  <c:v>1408</c:v>
                </c:pt>
                <c:pt idx="29">
                  <c:v>2777</c:v>
                </c:pt>
                <c:pt idx="30">
                  <c:v>2438</c:v>
                </c:pt>
                <c:pt idx="31">
                  <c:v>2354</c:v>
                </c:pt>
                <c:pt idx="32">
                  <c:v>3878</c:v>
                </c:pt>
                <c:pt idx="33">
                  <c:v>2482</c:v>
                </c:pt>
                <c:pt idx="34">
                  <c:v>2312</c:v>
                </c:pt>
                <c:pt idx="35">
                  <c:v>2521</c:v>
                </c:pt>
                <c:pt idx="36">
                  <c:v>2964</c:v>
                </c:pt>
                <c:pt idx="37">
                  <c:v>5338</c:v>
                </c:pt>
                <c:pt idx="38">
                  <c:v>4035</c:v>
                </c:pt>
                <c:pt idx="39">
                  <c:v>4700</c:v>
                </c:pt>
                <c:pt idx="40">
                  <c:v>3735</c:v>
                </c:pt>
                <c:pt idx="41">
                  <c:v>4962</c:v>
                </c:pt>
                <c:pt idx="42">
                  <c:v>3039</c:v>
                </c:pt>
                <c:pt idx="43">
                  <c:v>4485</c:v>
                </c:pt>
                <c:pt idx="44">
                  <c:v>3269</c:v>
                </c:pt>
                <c:pt idx="45">
                  <c:v>3258</c:v>
                </c:pt>
                <c:pt idx="46">
                  <c:v>5402</c:v>
                </c:pt>
                <c:pt idx="47">
                  <c:v>4968</c:v>
                </c:pt>
                <c:pt idx="48">
                  <c:v>5306</c:v>
                </c:pt>
                <c:pt idx="49">
                  <c:v>6327</c:v>
                </c:pt>
                <c:pt idx="50">
                  <c:v>5331</c:v>
                </c:pt>
                <c:pt idx="51">
                  <c:v>6036</c:v>
                </c:pt>
                <c:pt idx="52">
                  <c:v>6087</c:v>
                </c:pt>
                <c:pt idx="53">
                  <c:v>5487</c:v>
                </c:pt>
                <c:pt idx="54">
                  <c:v>5278</c:v>
                </c:pt>
                <c:pt idx="55">
                  <c:v>5949</c:v>
                </c:pt>
                <c:pt idx="56">
                  <c:v>5227</c:v>
                </c:pt>
                <c:pt idx="57">
                  <c:v>5288</c:v>
                </c:pt>
                <c:pt idx="58">
                  <c:v>4185</c:v>
                </c:pt>
                <c:pt idx="59">
                  <c:v>4819</c:v>
                </c:pt>
                <c:pt idx="60">
                  <c:v>3798</c:v>
                </c:pt>
                <c:pt idx="61">
                  <c:v>5318</c:v>
                </c:pt>
                <c:pt idx="62">
                  <c:v>4843</c:v>
                </c:pt>
                <c:pt idx="63">
                  <c:v>4041</c:v>
                </c:pt>
                <c:pt idx="64">
                  <c:v>4041</c:v>
                </c:pt>
                <c:pt idx="65">
                  <c:v>4030</c:v>
                </c:pt>
                <c:pt idx="66">
                  <c:v>3124</c:v>
                </c:pt>
                <c:pt idx="67">
                  <c:v>3117</c:v>
                </c:pt>
                <c:pt idx="68">
                  <c:v>4191</c:v>
                </c:pt>
                <c:pt idx="69">
                  <c:v>5869</c:v>
                </c:pt>
                <c:pt idx="70">
                  <c:v>5413</c:v>
                </c:pt>
                <c:pt idx="71">
                  <c:v>4910</c:v>
                </c:pt>
                <c:pt idx="72">
                  <c:v>5233</c:v>
                </c:pt>
                <c:pt idx="73">
                  <c:v>5338</c:v>
                </c:pt>
                <c:pt idx="74">
                  <c:v>4704</c:v>
                </c:pt>
                <c:pt idx="75">
                  <c:v>6705</c:v>
                </c:pt>
                <c:pt idx="76">
                  <c:v>5079</c:v>
                </c:pt>
                <c:pt idx="77">
                  <c:v>4824</c:v>
                </c:pt>
                <c:pt idx="78">
                  <c:v>6399</c:v>
                </c:pt>
                <c:pt idx="79">
                  <c:v>4700</c:v>
                </c:pt>
                <c:pt idx="80">
                  <c:v>5616</c:v>
                </c:pt>
                <c:pt idx="81">
                  <c:v>7323</c:v>
                </c:pt>
                <c:pt idx="82">
                  <c:v>6884</c:v>
                </c:pt>
                <c:pt idx="83">
                  <c:v>5572</c:v>
                </c:pt>
                <c:pt idx="84">
                  <c:v>6917</c:v>
                </c:pt>
                <c:pt idx="85">
                  <c:v>6480</c:v>
                </c:pt>
                <c:pt idx="86">
                  <c:v>6314</c:v>
                </c:pt>
                <c:pt idx="87">
                  <c:v>3831</c:v>
                </c:pt>
                <c:pt idx="88">
                  <c:v>6474</c:v>
                </c:pt>
                <c:pt idx="89">
                  <c:v>6345</c:v>
                </c:pt>
                <c:pt idx="90">
                  <c:v>5639</c:v>
                </c:pt>
                <c:pt idx="91">
                  <c:v>3172</c:v>
                </c:pt>
                <c:pt idx="92">
                  <c:v>3219</c:v>
                </c:pt>
                <c:pt idx="93">
                  <c:v>2823</c:v>
                </c:pt>
                <c:pt idx="94">
                  <c:v>2729</c:v>
                </c:pt>
              </c:numCache>
            </c:numRef>
          </c:xVal>
          <c:yVal>
            <c:numRef>
              <c:f>('Curvas massa_P_II'!$C$7:$C$33,'Curvas massa_P_II'!$G$37:$G$66,'Curvas massa_P_II'!$F$70:$F$107)</c:f>
              <c:numCache>
                <c:formatCode>General</c:formatCode>
                <c:ptCount val="95"/>
                <c:pt idx="0">
                  <c:v>1.8360000000000001</c:v>
                </c:pt>
                <c:pt idx="1">
                  <c:v>1.8049999999999999</c:v>
                </c:pt>
                <c:pt idx="2">
                  <c:v>1.8220000000000001</c:v>
                </c:pt>
                <c:pt idx="3">
                  <c:v>1.798</c:v>
                </c:pt>
                <c:pt idx="4">
                  <c:v>1.865</c:v>
                </c:pt>
                <c:pt idx="5">
                  <c:v>1.8340000000000001</c:v>
                </c:pt>
                <c:pt idx="6">
                  <c:v>1.871</c:v>
                </c:pt>
                <c:pt idx="7">
                  <c:v>1.84</c:v>
                </c:pt>
                <c:pt idx="8">
                  <c:v>1.8440000000000001</c:v>
                </c:pt>
                <c:pt idx="9">
                  <c:v>1.6859999999999999</c:v>
                </c:pt>
                <c:pt idx="10">
                  <c:v>1.823</c:v>
                </c:pt>
                <c:pt idx="11">
                  <c:v>1.8480000000000001</c:v>
                </c:pt>
                <c:pt idx="12">
                  <c:v>1.855</c:v>
                </c:pt>
                <c:pt idx="13">
                  <c:v>1.8819999999999999</c:v>
                </c:pt>
                <c:pt idx="14">
                  <c:v>1.867</c:v>
                </c:pt>
                <c:pt idx="15">
                  <c:v>1.841</c:v>
                </c:pt>
                <c:pt idx="16">
                  <c:v>1.8169999999999999</c:v>
                </c:pt>
                <c:pt idx="17">
                  <c:v>1.833</c:v>
                </c:pt>
                <c:pt idx="18">
                  <c:v>1.825</c:v>
                </c:pt>
                <c:pt idx="19">
                  <c:v>1.8580000000000001</c:v>
                </c:pt>
                <c:pt idx="20">
                  <c:v>1.772</c:v>
                </c:pt>
                <c:pt idx="21">
                  <c:v>1.7709999999999999</c:v>
                </c:pt>
                <c:pt idx="22">
                  <c:v>1.7010000000000001</c:v>
                </c:pt>
                <c:pt idx="23">
                  <c:v>1.796</c:v>
                </c:pt>
                <c:pt idx="24">
                  <c:v>1.8360000000000001</c:v>
                </c:pt>
                <c:pt idx="25">
                  <c:v>1.8480000000000001</c:v>
                </c:pt>
                <c:pt idx="26">
                  <c:v>1.8120000000000001</c:v>
                </c:pt>
                <c:pt idx="27">
                  <c:v>1.859</c:v>
                </c:pt>
                <c:pt idx="28">
                  <c:v>1.88</c:v>
                </c:pt>
                <c:pt idx="29">
                  <c:v>1.831</c:v>
                </c:pt>
                <c:pt idx="30">
                  <c:v>1.776</c:v>
                </c:pt>
                <c:pt idx="31">
                  <c:v>1.8720000000000001</c:v>
                </c:pt>
                <c:pt idx="32">
                  <c:v>1.8280000000000001</c:v>
                </c:pt>
                <c:pt idx="33">
                  <c:v>1.8460000000000001</c:v>
                </c:pt>
                <c:pt idx="34">
                  <c:v>1.8180000000000001</c:v>
                </c:pt>
                <c:pt idx="35">
                  <c:v>1.841</c:v>
                </c:pt>
                <c:pt idx="36">
                  <c:v>1.8129999999999999</c:v>
                </c:pt>
                <c:pt idx="37">
                  <c:v>1.859</c:v>
                </c:pt>
                <c:pt idx="38">
                  <c:v>1.8160000000000001</c:v>
                </c:pt>
                <c:pt idx="39">
                  <c:v>1.825</c:v>
                </c:pt>
                <c:pt idx="40">
                  <c:v>1.861</c:v>
                </c:pt>
                <c:pt idx="41">
                  <c:v>1.794</c:v>
                </c:pt>
                <c:pt idx="42">
                  <c:v>1.7949999999999999</c:v>
                </c:pt>
                <c:pt idx="43">
                  <c:v>1.8720000000000001</c:v>
                </c:pt>
                <c:pt idx="44">
                  <c:v>1.8959999999999999</c:v>
                </c:pt>
                <c:pt idx="45">
                  <c:v>1.833</c:v>
                </c:pt>
                <c:pt idx="46">
                  <c:v>1.7689999999999999</c:v>
                </c:pt>
                <c:pt idx="47">
                  <c:v>1.8480000000000001</c:v>
                </c:pt>
                <c:pt idx="48">
                  <c:v>1.7609999999999999</c:v>
                </c:pt>
                <c:pt idx="49">
                  <c:v>1.833</c:v>
                </c:pt>
                <c:pt idx="50">
                  <c:v>1.869</c:v>
                </c:pt>
                <c:pt idx="51">
                  <c:v>1.819</c:v>
                </c:pt>
                <c:pt idx="52">
                  <c:v>1.8220000000000001</c:v>
                </c:pt>
                <c:pt idx="53">
                  <c:v>1.833</c:v>
                </c:pt>
                <c:pt idx="54">
                  <c:v>1.823</c:v>
                </c:pt>
                <c:pt idx="55">
                  <c:v>1.8540000000000001</c:v>
                </c:pt>
                <c:pt idx="56">
                  <c:v>1.8180000000000001</c:v>
                </c:pt>
                <c:pt idx="57">
                  <c:v>1.8420000000000001</c:v>
                </c:pt>
                <c:pt idx="58">
                  <c:v>1.788</c:v>
                </c:pt>
                <c:pt idx="59">
                  <c:v>1.7969999999999999</c:v>
                </c:pt>
                <c:pt idx="60">
                  <c:v>1.766</c:v>
                </c:pt>
                <c:pt idx="61">
                  <c:v>1.794</c:v>
                </c:pt>
                <c:pt idx="62">
                  <c:v>1.8440000000000001</c:v>
                </c:pt>
                <c:pt idx="63">
                  <c:v>1.542</c:v>
                </c:pt>
                <c:pt idx="64">
                  <c:v>1.8380000000000001</c:v>
                </c:pt>
                <c:pt idx="65">
                  <c:v>1.4350000000000001</c:v>
                </c:pt>
                <c:pt idx="66">
                  <c:v>1.786</c:v>
                </c:pt>
                <c:pt idx="67">
                  <c:v>1.6850000000000001</c:v>
                </c:pt>
                <c:pt idx="68">
                  <c:v>1.8320000000000001</c:v>
                </c:pt>
                <c:pt idx="69">
                  <c:v>1.736</c:v>
                </c:pt>
                <c:pt idx="70">
                  <c:v>1.706</c:v>
                </c:pt>
                <c:pt idx="71">
                  <c:v>1.7509999999999999</c:v>
                </c:pt>
                <c:pt idx="72">
                  <c:v>1.841</c:v>
                </c:pt>
                <c:pt idx="73">
                  <c:v>1.7749999999999999</c:v>
                </c:pt>
                <c:pt idx="74">
                  <c:v>1.6830000000000001</c:v>
                </c:pt>
                <c:pt idx="75">
                  <c:v>1.81</c:v>
                </c:pt>
                <c:pt idx="76">
                  <c:v>1.827</c:v>
                </c:pt>
                <c:pt idx="77">
                  <c:v>1.8140000000000001</c:v>
                </c:pt>
                <c:pt idx="78">
                  <c:v>1.782</c:v>
                </c:pt>
                <c:pt idx="79">
                  <c:v>1.8140000000000001</c:v>
                </c:pt>
                <c:pt idx="80">
                  <c:v>1.8280000000000001</c:v>
                </c:pt>
                <c:pt idx="81">
                  <c:v>1.8129999999999999</c:v>
                </c:pt>
                <c:pt idx="82">
                  <c:v>1.8520000000000001</c:v>
                </c:pt>
                <c:pt idx="83">
                  <c:v>1.8580000000000001</c:v>
                </c:pt>
                <c:pt idx="84">
                  <c:v>1.8049999999999999</c:v>
                </c:pt>
                <c:pt idx="85">
                  <c:v>1.8480000000000001</c:v>
                </c:pt>
                <c:pt idx="86">
                  <c:v>1.8260000000000001</c:v>
                </c:pt>
                <c:pt idx="87">
                  <c:v>1.8440000000000001</c:v>
                </c:pt>
                <c:pt idx="88">
                  <c:v>1.857</c:v>
                </c:pt>
                <c:pt idx="89">
                  <c:v>1.7869999999999999</c:v>
                </c:pt>
                <c:pt idx="90">
                  <c:v>1.8160000000000001</c:v>
                </c:pt>
                <c:pt idx="91">
                  <c:v>1.774</c:v>
                </c:pt>
                <c:pt idx="92">
                  <c:v>1.8180000000000001</c:v>
                </c:pt>
                <c:pt idx="93">
                  <c:v>1.895</c:v>
                </c:pt>
                <c:pt idx="94">
                  <c:v>1.849</c:v>
                </c:pt>
              </c:numCache>
            </c:numRef>
          </c:yVal>
          <c:smooth val="0"/>
        </c:ser>
        <c:ser>
          <c:idx val="3"/>
          <c:order val="3"/>
          <c:tx>
            <c:v>NBS19 C</c:v>
          </c:tx>
          <c:spPr>
            <a:ln w="12700" cap="rnd">
              <a:solidFill>
                <a:schemeClr val="accent4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'Curvas massa_P_II'!$AL$20:$AL$21</c:f>
              <c:numCache>
                <c:formatCode>General</c:formatCode>
                <c:ptCount val="2"/>
                <c:pt idx="0">
                  <c:v>0</c:v>
                </c:pt>
                <c:pt idx="1">
                  <c:v>8000</c:v>
                </c:pt>
              </c:numCache>
            </c:numRef>
          </c:xVal>
          <c:yVal>
            <c:numRef>
              <c:f>'Curvas massa_P_II'!$AN$20:$AN$21</c:f>
              <c:numCache>
                <c:formatCode>General</c:formatCode>
                <c:ptCount val="2"/>
                <c:pt idx="0">
                  <c:v>1.95</c:v>
                </c:pt>
                <c:pt idx="1">
                  <c:v>1.95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5200064"/>
        <c:axId val="125200640"/>
      </c:scatterChart>
      <c:scatterChart>
        <c:scatterStyle val="lineMarker"/>
        <c:varyColors val="0"/>
        <c:ser>
          <c:idx val="0"/>
          <c:order val="0"/>
          <c:tx>
            <c:v>d18O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('Curvas massa_P_II'!$AD$7:$AD$33,'Curvas massa_P_II'!$AK$37:$AK$66,'Curvas massa_P_II'!$AM$70:$AM$107)</c:f>
              <c:numCache>
                <c:formatCode>General</c:formatCode>
                <c:ptCount val="95"/>
                <c:pt idx="0">
                  <c:v>3536</c:v>
                </c:pt>
                <c:pt idx="1">
                  <c:v>4302</c:v>
                </c:pt>
                <c:pt idx="2">
                  <c:v>1138</c:v>
                </c:pt>
                <c:pt idx="3">
                  <c:v>929</c:v>
                </c:pt>
                <c:pt idx="4">
                  <c:v>1564</c:v>
                </c:pt>
                <c:pt idx="5">
                  <c:v>896</c:v>
                </c:pt>
                <c:pt idx="6">
                  <c:v>1580</c:v>
                </c:pt>
                <c:pt idx="7">
                  <c:v>1821</c:v>
                </c:pt>
                <c:pt idx="8">
                  <c:v>1962</c:v>
                </c:pt>
                <c:pt idx="9">
                  <c:v>2070</c:v>
                </c:pt>
                <c:pt idx="10">
                  <c:v>1576</c:v>
                </c:pt>
                <c:pt idx="11">
                  <c:v>2249</c:v>
                </c:pt>
                <c:pt idx="12">
                  <c:v>1873</c:v>
                </c:pt>
                <c:pt idx="13">
                  <c:v>2967</c:v>
                </c:pt>
                <c:pt idx="14">
                  <c:v>2588</c:v>
                </c:pt>
                <c:pt idx="15">
                  <c:v>3470</c:v>
                </c:pt>
                <c:pt idx="16">
                  <c:v>2395</c:v>
                </c:pt>
                <c:pt idx="17">
                  <c:v>3492</c:v>
                </c:pt>
                <c:pt idx="18">
                  <c:v>2649</c:v>
                </c:pt>
                <c:pt idx="19">
                  <c:v>3509</c:v>
                </c:pt>
                <c:pt idx="20">
                  <c:v>2735</c:v>
                </c:pt>
                <c:pt idx="21">
                  <c:v>3965</c:v>
                </c:pt>
                <c:pt idx="22">
                  <c:v>4012</c:v>
                </c:pt>
                <c:pt idx="23">
                  <c:v>4099</c:v>
                </c:pt>
                <c:pt idx="24">
                  <c:v>4548</c:v>
                </c:pt>
                <c:pt idx="25">
                  <c:v>3813</c:v>
                </c:pt>
                <c:pt idx="26">
                  <c:v>3677</c:v>
                </c:pt>
                <c:pt idx="27">
                  <c:v>3008</c:v>
                </c:pt>
                <c:pt idx="28">
                  <c:v>1408</c:v>
                </c:pt>
                <c:pt idx="29">
                  <c:v>2777</c:v>
                </c:pt>
                <c:pt idx="30">
                  <c:v>2438</c:v>
                </c:pt>
                <c:pt idx="31">
                  <c:v>2354</c:v>
                </c:pt>
                <c:pt idx="32">
                  <c:v>3878</c:v>
                </c:pt>
                <c:pt idx="33">
                  <c:v>2482</c:v>
                </c:pt>
                <c:pt idx="34">
                  <c:v>2312</c:v>
                </c:pt>
                <c:pt idx="35">
                  <c:v>2521</c:v>
                </c:pt>
                <c:pt idx="36">
                  <c:v>2964</c:v>
                </c:pt>
                <c:pt idx="37">
                  <c:v>5338</c:v>
                </c:pt>
                <c:pt idx="38">
                  <c:v>4035</c:v>
                </c:pt>
                <c:pt idx="39">
                  <c:v>4700</c:v>
                </c:pt>
                <c:pt idx="40">
                  <c:v>3735</c:v>
                </c:pt>
                <c:pt idx="41">
                  <c:v>4962</c:v>
                </c:pt>
                <c:pt idx="42">
                  <c:v>3039</c:v>
                </c:pt>
                <c:pt idx="43">
                  <c:v>4485</c:v>
                </c:pt>
                <c:pt idx="44">
                  <c:v>3269</c:v>
                </c:pt>
                <c:pt idx="45">
                  <c:v>3258</c:v>
                </c:pt>
                <c:pt idx="46">
                  <c:v>5402</c:v>
                </c:pt>
                <c:pt idx="47">
                  <c:v>4968</c:v>
                </c:pt>
                <c:pt idx="48">
                  <c:v>5306</c:v>
                </c:pt>
                <c:pt idx="49">
                  <c:v>6327</c:v>
                </c:pt>
                <c:pt idx="50">
                  <c:v>5331</c:v>
                </c:pt>
                <c:pt idx="51">
                  <c:v>6036</c:v>
                </c:pt>
                <c:pt idx="52">
                  <c:v>6087</c:v>
                </c:pt>
                <c:pt idx="53">
                  <c:v>5487</c:v>
                </c:pt>
                <c:pt idx="54">
                  <c:v>5278</c:v>
                </c:pt>
                <c:pt idx="55">
                  <c:v>5949</c:v>
                </c:pt>
                <c:pt idx="56">
                  <c:v>5227</c:v>
                </c:pt>
                <c:pt idx="57">
                  <c:v>5288</c:v>
                </c:pt>
                <c:pt idx="58">
                  <c:v>4185</c:v>
                </c:pt>
                <c:pt idx="59">
                  <c:v>4819</c:v>
                </c:pt>
                <c:pt idx="60">
                  <c:v>3798</c:v>
                </c:pt>
                <c:pt idx="61">
                  <c:v>5318</c:v>
                </c:pt>
                <c:pt idx="62">
                  <c:v>4843</c:v>
                </c:pt>
                <c:pt idx="63">
                  <c:v>4041</c:v>
                </c:pt>
                <c:pt idx="64">
                  <c:v>4041</c:v>
                </c:pt>
                <c:pt idx="65">
                  <c:v>4030</c:v>
                </c:pt>
                <c:pt idx="66">
                  <c:v>3124</c:v>
                </c:pt>
                <c:pt idx="67">
                  <c:v>3117</c:v>
                </c:pt>
                <c:pt idx="68">
                  <c:v>4191</c:v>
                </c:pt>
                <c:pt idx="69">
                  <c:v>5869</c:v>
                </c:pt>
                <c:pt idx="70">
                  <c:v>5413</c:v>
                </c:pt>
                <c:pt idx="71">
                  <c:v>4910</c:v>
                </c:pt>
                <c:pt idx="72">
                  <c:v>5233</c:v>
                </c:pt>
                <c:pt idx="73">
                  <c:v>5338</c:v>
                </c:pt>
                <c:pt idx="74">
                  <c:v>4704</c:v>
                </c:pt>
                <c:pt idx="75">
                  <c:v>6705</c:v>
                </c:pt>
                <c:pt idx="76">
                  <c:v>5079</c:v>
                </c:pt>
                <c:pt idx="77">
                  <c:v>4824</c:v>
                </c:pt>
                <c:pt idx="78">
                  <c:v>6399</c:v>
                </c:pt>
                <c:pt idx="79">
                  <c:v>4700</c:v>
                </c:pt>
                <c:pt idx="80">
                  <c:v>5616</c:v>
                </c:pt>
                <c:pt idx="81">
                  <c:v>7323</c:v>
                </c:pt>
                <c:pt idx="82">
                  <c:v>6884</c:v>
                </c:pt>
                <c:pt idx="83">
                  <c:v>5572</c:v>
                </c:pt>
                <c:pt idx="84">
                  <c:v>6917</c:v>
                </c:pt>
                <c:pt idx="85">
                  <c:v>6480</c:v>
                </c:pt>
                <c:pt idx="86">
                  <c:v>6314</c:v>
                </c:pt>
                <c:pt idx="87">
                  <c:v>3831</c:v>
                </c:pt>
                <c:pt idx="88">
                  <c:v>6474</c:v>
                </c:pt>
                <c:pt idx="89">
                  <c:v>6345</c:v>
                </c:pt>
                <c:pt idx="90">
                  <c:v>5639</c:v>
                </c:pt>
                <c:pt idx="91">
                  <c:v>3172</c:v>
                </c:pt>
                <c:pt idx="92">
                  <c:v>3219</c:v>
                </c:pt>
                <c:pt idx="93">
                  <c:v>2823</c:v>
                </c:pt>
                <c:pt idx="94">
                  <c:v>2729</c:v>
                </c:pt>
              </c:numCache>
            </c:numRef>
          </c:xVal>
          <c:yVal>
            <c:numRef>
              <c:f>('Curvas massa_P_II'!$F$7:$F$33,'Curvas massa_P_II'!$J$37:$J$66,'Curvas massa_P_II'!$H$70:$H$107)</c:f>
              <c:numCache>
                <c:formatCode>General</c:formatCode>
                <c:ptCount val="95"/>
                <c:pt idx="0">
                  <c:v>-2.3879999999999999</c:v>
                </c:pt>
                <c:pt idx="1">
                  <c:v>-2.427</c:v>
                </c:pt>
                <c:pt idx="2">
                  <c:v>-2.238</c:v>
                </c:pt>
                <c:pt idx="3">
                  <c:v>-2.8780000000000001</c:v>
                </c:pt>
                <c:pt idx="4">
                  <c:v>-2.6259999999999999</c:v>
                </c:pt>
                <c:pt idx="5">
                  <c:v>-2.9790000000000001</c:v>
                </c:pt>
                <c:pt idx="6">
                  <c:v>-2.4540000000000002</c:v>
                </c:pt>
                <c:pt idx="7">
                  <c:v>-2.702</c:v>
                </c:pt>
                <c:pt idx="8">
                  <c:v>-2.4990000000000001</c:v>
                </c:pt>
                <c:pt idx="9">
                  <c:v>-2.7919999999999998</c:v>
                </c:pt>
                <c:pt idx="10">
                  <c:v>-2.407</c:v>
                </c:pt>
                <c:pt idx="11">
                  <c:v>-2.6280000000000001</c:v>
                </c:pt>
                <c:pt idx="12">
                  <c:v>-2.5179999999999998</c:v>
                </c:pt>
                <c:pt idx="13">
                  <c:v>-2.4089999999999998</c:v>
                </c:pt>
                <c:pt idx="14">
                  <c:v>-2.431</c:v>
                </c:pt>
                <c:pt idx="15">
                  <c:v>-2.4969999999999999</c:v>
                </c:pt>
                <c:pt idx="16">
                  <c:v>-2.6080000000000001</c:v>
                </c:pt>
                <c:pt idx="17">
                  <c:v>-2.431</c:v>
                </c:pt>
                <c:pt idx="18">
                  <c:v>-2.46</c:v>
                </c:pt>
                <c:pt idx="19">
                  <c:v>-2.4609999999999999</c:v>
                </c:pt>
                <c:pt idx="20">
                  <c:v>-2.7360000000000002</c:v>
                </c:pt>
                <c:pt idx="21">
                  <c:v>-2.5840000000000001</c:v>
                </c:pt>
                <c:pt idx="22">
                  <c:v>-2.4790000000000001</c:v>
                </c:pt>
                <c:pt idx="23">
                  <c:v>-2.4929999999999999</c:v>
                </c:pt>
                <c:pt idx="24">
                  <c:v>-2.4550000000000001</c:v>
                </c:pt>
                <c:pt idx="25">
                  <c:v>-2.4990000000000001</c:v>
                </c:pt>
                <c:pt idx="26">
                  <c:v>-2.552</c:v>
                </c:pt>
                <c:pt idx="27">
                  <c:v>-2.5609999999999999</c:v>
                </c:pt>
                <c:pt idx="28">
                  <c:v>-2.5870000000000002</c:v>
                </c:pt>
                <c:pt idx="29">
                  <c:v>-2.609</c:v>
                </c:pt>
                <c:pt idx="30">
                  <c:v>-2.698</c:v>
                </c:pt>
                <c:pt idx="31">
                  <c:v>-2.4780000000000002</c:v>
                </c:pt>
                <c:pt idx="32">
                  <c:v>-2.484</c:v>
                </c:pt>
                <c:pt idx="33">
                  <c:v>-2.532</c:v>
                </c:pt>
                <c:pt idx="34">
                  <c:v>-2.661</c:v>
                </c:pt>
                <c:pt idx="35">
                  <c:v>-2.5840000000000001</c:v>
                </c:pt>
                <c:pt idx="36">
                  <c:v>-2.621</c:v>
                </c:pt>
                <c:pt idx="37">
                  <c:v>-2.4609999999999999</c:v>
                </c:pt>
                <c:pt idx="38">
                  <c:v>-2.548</c:v>
                </c:pt>
                <c:pt idx="39">
                  <c:v>-2.5139999999999998</c:v>
                </c:pt>
                <c:pt idx="40">
                  <c:v>-2.4929999999999999</c:v>
                </c:pt>
                <c:pt idx="41">
                  <c:v>-2.4990000000000001</c:v>
                </c:pt>
                <c:pt idx="42">
                  <c:v>-2.4940000000000002</c:v>
                </c:pt>
                <c:pt idx="43">
                  <c:v>-2.4380000000000002</c:v>
                </c:pt>
                <c:pt idx="44">
                  <c:v>-2.4089999999999998</c:v>
                </c:pt>
                <c:pt idx="45">
                  <c:v>-2.62</c:v>
                </c:pt>
                <c:pt idx="46">
                  <c:v>-2.464</c:v>
                </c:pt>
                <c:pt idx="47">
                  <c:v>-2.5470000000000002</c:v>
                </c:pt>
                <c:pt idx="48">
                  <c:v>-2.5169999999999999</c:v>
                </c:pt>
                <c:pt idx="49">
                  <c:v>-2.3730000000000002</c:v>
                </c:pt>
                <c:pt idx="50">
                  <c:v>-2.3809999999999998</c:v>
                </c:pt>
                <c:pt idx="51">
                  <c:v>-2.5070000000000001</c:v>
                </c:pt>
                <c:pt idx="52">
                  <c:v>-2.4289999999999998</c:v>
                </c:pt>
                <c:pt idx="53">
                  <c:v>-2.5099999999999998</c:v>
                </c:pt>
                <c:pt idx="54">
                  <c:v>-2.4780000000000002</c:v>
                </c:pt>
                <c:pt idx="55">
                  <c:v>-2.4830000000000001</c:v>
                </c:pt>
                <c:pt idx="56">
                  <c:v>-2.4470000000000001</c:v>
                </c:pt>
                <c:pt idx="57">
                  <c:v>-2.3119999999999998</c:v>
                </c:pt>
                <c:pt idx="58">
                  <c:v>-2.415</c:v>
                </c:pt>
                <c:pt idx="59">
                  <c:v>-2.4670000000000001</c:v>
                </c:pt>
                <c:pt idx="60">
                  <c:v>-2.5569999999999999</c:v>
                </c:pt>
                <c:pt idx="61">
                  <c:v>-2.5179999999999998</c:v>
                </c:pt>
                <c:pt idx="62">
                  <c:v>-2.472</c:v>
                </c:pt>
                <c:pt idx="63">
                  <c:v>-2.5150000000000001</c:v>
                </c:pt>
                <c:pt idx="64">
                  <c:v>-2.496</c:v>
                </c:pt>
                <c:pt idx="65">
                  <c:v>-2.5470000000000002</c:v>
                </c:pt>
                <c:pt idx="66">
                  <c:v>-2.6360000000000001</c:v>
                </c:pt>
                <c:pt idx="67">
                  <c:v>-2.5529999999999999</c:v>
                </c:pt>
                <c:pt idx="68">
                  <c:v>-2.4809999999999999</c:v>
                </c:pt>
                <c:pt idx="69">
                  <c:v>-2.5470000000000002</c:v>
                </c:pt>
                <c:pt idx="70">
                  <c:v>-2.5499999999999998</c:v>
                </c:pt>
                <c:pt idx="71">
                  <c:v>-2.609</c:v>
                </c:pt>
                <c:pt idx="72">
                  <c:v>-2.5209999999999999</c:v>
                </c:pt>
                <c:pt idx="73">
                  <c:v>-2.548</c:v>
                </c:pt>
                <c:pt idx="74">
                  <c:v>-2.2410000000000001</c:v>
                </c:pt>
                <c:pt idx="75">
                  <c:v>-2.5129999999999999</c:v>
                </c:pt>
                <c:pt idx="76">
                  <c:v>-2.5459999999999998</c:v>
                </c:pt>
                <c:pt idx="77">
                  <c:v>-2.552</c:v>
                </c:pt>
                <c:pt idx="78">
                  <c:v>-2.5310000000000001</c:v>
                </c:pt>
                <c:pt idx="79">
                  <c:v>-2.5670000000000002</c:v>
                </c:pt>
                <c:pt idx="80">
                  <c:v>-2.5139999999999998</c:v>
                </c:pt>
                <c:pt idx="81">
                  <c:v>-2.468</c:v>
                </c:pt>
                <c:pt idx="82">
                  <c:v>-2.3759999999999999</c:v>
                </c:pt>
                <c:pt idx="83">
                  <c:v>-2.4039999999999999</c:v>
                </c:pt>
                <c:pt idx="84">
                  <c:v>-2.4620000000000002</c:v>
                </c:pt>
                <c:pt idx="85">
                  <c:v>-2.4140000000000001</c:v>
                </c:pt>
                <c:pt idx="86">
                  <c:v>-2.3959999999999999</c:v>
                </c:pt>
                <c:pt idx="87">
                  <c:v>-2.4279999999999999</c:v>
                </c:pt>
                <c:pt idx="88">
                  <c:v>-2.38</c:v>
                </c:pt>
                <c:pt idx="89">
                  <c:v>-2.161</c:v>
                </c:pt>
                <c:pt idx="90">
                  <c:v>-2.5299999999999998</c:v>
                </c:pt>
                <c:pt idx="91">
                  <c:v>-2.621</c:v>
                </c:pt>
                <c:pt idx="92">
                  <c:v>-2.4020000000000001</c:v>
                </c:pt>
                <c:pt idx="93">
                  <c:v>-2.573</c:v>
                </c:pt>
                <c:pt idx="94">
                  <c:v>-2.5590000000000002</c:v>
                </c:pt>
              </c:numCache>
            </c:numRef>
          </c:yVal>
          <c:smooth val="0"/>
        </c:ser>
        <c:ser>
          <c:idx val="1"/>
          <c:order val="2"/>
          <c:tx>
            <c:v>NBS19 O</c:v>
          </c:tx>
          <c:spPr>
            <a:ln w="12700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'Curvas massa_P_II'!$AL$20:$AL$21</c:f>
              <c:numCache>
                <c:formatCode>General</c:formatCode>
                <c:ptCount val="2"/>
                <c:pt idx="0">
                  <c:v>0</c:v>
                </c:pt>
                <c:pt idx="1">
                  <c:v>8000</c:v>
                </c:pt>
              </c:numCache>
            </c:numRef>
          </c:xVal>
          <c:yVal>
            <c:numRef>
              <c:f>'Curvas massa_P_II'!$AM$20:$AM$21</c:f>
              <c:numCache>
                <c:formatCode>General</c:formatCode>
                <c:ptCount val="2"/>
                <c:pt idx="0">
                  <c:v>-2.2000000000000002</c:v>
                </c:pt>
                <c:pt idx="1">
                  <c:v>-2.2000000000000002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5201792"/>
        <c:axId val="125201216"/>
      </c:scatterChart>
      <c:valAx>
        <c:axId val="125200064"/>
        <c:scaling>
          <c:orientation val="minMax"/>
          <c:max val="80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Initial Int</a:t>
                </a:r>
                <a:r>
                  <a:rPr lang="pt-BR" baseline="0"/>
                  <a:t> (mV)</a:t>
                </a:r>
                <a:endParaRPr lang="pt-BR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5200640"/>
        <c:crosses val="autoZero"/>
        <c:crossBetween val="midCat"/>
      </c:valAx>
      <c:valAx>
        <c:axId val="125200640"/>
        <c:scaling>
          <c:orientation val="minMax"/>
          <c:max val="3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d13C (%o)</a:t>
                </a:r>
              </a:p>
            </c:rich>
          </c:tx>
          <c:layout>
            <c:manualLayout>
              <c:xMode val="edge"/>
              <c:yMode val="edge"/>
              <c:x val="2.1581263880476501E-2"/>
              <c:y val="0.37772382618839301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5200064"/>
        <c:crosses val="autoZero"/>
        <c:crossBetween val="midCat"/>
      </c:valAx>
      <c:valAx>
        <c:axId val="125201216"/>
        <c:scaling>
          <c:orientation val="minMax"/>
          <c:max val="0"/>
          <c:min val="-8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d18O (%o)</a:t>
                </a:r>
              </a:p>
            </c:rich>
          </c:tx>
          <c:layout>
            <c:manualLayout>
              <c:xMode val="edge"/>
              <c:yMode val="edge"/>
              <c:x val="0.94196789824348903"/>
              <c:y val="0.37171660834062398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5201792"/>
        <c:crosses val="max"/>
        <c:crossBetween val="midCat"/>
      </c:valAx>
      <c:valAx>
        <c:axId val="12520179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252012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5081714785651801"/>
          <c:y val="0.12962962962963001"/>
          <c:w val="0.793293963254593"/>
          <c:h val="0.70183654126567496"/>
        </c:manualLayout>
      </c:layout>
      <c:scatterChart>
        <c:scatterStyle val="lineMarker"/>
        <c:varyColors val="0"/>
        <c:ser>
          <c:idx val="0"/>
          <c:order val="0"/>
          <c:tx>
            <c:v>NBS19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0.15554349795477199"/>
                  <c:y val="-8.9340303050353995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numRef>
              <c:f>('Curvas massa_P_II'!$AG$7:$AG$33,'Curvas massa_P_II'!$AJ$37:$AJ$66,'Curvas massa_P_II'!$AP$70:$AP$107)</c:f>
              <c:numCache>
                <c:formatCode>General</c:formatCode>
                <c:ptCount val="95"/>
                <c:pt idx="0">
                  <c:v>27</c:v>
                </c:pt>
                <c:pt idx="1">
                  <c:v>27</c:v>
                </c:pt>
                <c:pt idx="2">
                  <c:v>9</c:v>
                </c:pt>
                <c:pt idx="3">
                  <c:v>9</c:v>
                </c:pt>
                <c:pt idx="4">
                  <c:v>9</c:v>
                </c:pt>
                <c:pt idx="5">
                  <c:v>9</c:v>
                </c:pt>
                <c:pt idx="6">
                  <c:v>18</c:v>
                </c:pt>
                <c:pt idx="7">
                  <c:v>18</c:v>
                </c:pt>
                <c:pt idx="8">
                  <c:v>18</c:v>
                </c:pt>
                <c:pt idx="9">
                  <c:v>18</c:v>
                </c:pt>
                <c:pt idx="10">
                  <c:v>18</c:v>
                </c:pt>
                <c:pt idx="11">
                  <c:v>18</c:v>
                </c:pt>
                <c:pt idx="12">
                  <c:v>18</c:v>
                </c:pt>
                <c:pt idx="13">
                  <c:v>27</c:v>
                </c:pt>
                <c:pt idx="14">
                  <c:v>27</c:v>
                </c:pt>
                <c:pt idx="15">
                  <c:v>27</c:v>
                </c:pt>
                <c:pt idx="16">
                  <c:v>27</c:v>
                </c:pt>
                <c:pt idx="17">
                  <c:v>27</c:v>
                </c:pt>
                <c:pt idx="18">
                  <c:v>27</c:v>
                </c:pt>
                <c:pt idx="19">
                  <c:v>27</c:v>
                </c:pt>
                <c:pt idx="20">
                  <c:v>27</c:v>
                </c:pt>
                <c:pt idx="21">
                  <c:v>36</c:v>
                </c:pt>
                <c:pt idx="22">
                  <c:v>36</c:v>
                </c:pt>
                <c:pt idx="23">
                  <c:v>36</c:v>
                </c:pt>
                <c:pt idx="24">
                  <c:v>36</c:v>
                </c:pt>
                <c:pt idx="25">
                  <c:v>36</c:v>
                </c:pt>
                <c:pt idx="26">
                  <c:v>36</c:v>
                </c:pt>
                <c:pt idx="27">
                  <c:v>27</c:v>
                </c:pt>
                <c:pt idx="28">
                  <c:v>27</c:v>
                </c:pt>
                <c:pt idx="29">
                  <c:v>27</c:v>
                </c:pt>
                <c:pt idx="30">
                  <c:v>27</c:v>
                </c:pt>
                <c:pt idx="31">
                  <c:v>27</c:v>
                </c:pt>
                <c:pt idx="32">
                  <c:v>27</c:v>
                </c:pt>
                <c:pt idx="33">
                  <c:v>27</c:v>
                </c:pt>
                <c:pt idx="34">
                  <c:v>27</c:v>
                </c:pt>
                <c:pt idx="35">
                  <c:v>27</c:v>
                </c:pt>
                <c:pt idx="36">
                  <c:v>27</c:v>
                </c:pt>
                <c:pt idx="37">
                  <c:v>36</c:v>
                </c:pt>
                <c:pt idx="38">
                  <c:v>36</c:v>
                </c:pt>
                <c:pt idx="39">
                  <c:v>36</c:v>
                </c:pt>
                <c:pt idx="40">
                  <c:v>36</c:v>
                </c:pt>
                <c:pt idx="41">
                  <c:v>36</c:v>
                </c:pt>
                <c:pt idx="42">
                  <c:v>36</c:v>
                </c:pt>
                <c:pt idx="43">
                  <c:v>36</c:v>
                </c:pt>
                <c:pt idx="44">
                  <c:v>36</c:v>
                </c:pt>
                <c:pt idx="45">
                  <c:v>36</c:v>
                </c:pt>
                <c:pt idx="46">
                  <c:v>36</c:v>
                </c:pt>
                <c:pt idx="47">
                  <c:v>45</c:v>
                </c:pt>
                <c:pt idx="48">
                  <c:v>45</c:v>
                </c:pt>
                <c:pt idx="49">
                  <c:v>45</c:v>
                </c:pt>
                <c:pt idx="50">
                  <c:v>45</c:v>
                </c:pt>
                <c:pt idx="51">
                  <c:v>45</c:v>
                </c:pt>
                <c:pt idx="52">
                  <c:v>45</c:v>
                </c:pt>
                <c:pt idx="53">
                  <c:v>45</c:v>
                </c:pt>
                <c:pt idx="54">
                  <c:v>45</c:v>
                </c:pt>
                <c:pt idx="55">
                  <c:v>45</c:v>
                </c:pt>
                <c:pt idx="56">
                  <c:v>45</c:v>
                </c:pt>
                <c:pt idx="57">
                  <c:v>36</c:v>
                </c:pt>
                <c:pt idx="58">
                  <c:v>36</c:v>
                </c:pt>
                <c:pt idx="59">
                  <c:v>36</c:v>
                </c:pt>
                <c:pt idx="60">
                  <c:v>36</c:v>
                </c:pt>
                <c:pt idx="61">
                  <c:v>36</c:v>
                </c:pt>
                <c:pt idx="62">
                  <c:v>36</c:v>
                </c:pt>
                <c:pt idx="63">
                  <c:v>36</c:v>
                </c:pt>
                <c:pt idx="64">
                  <c:v>36</c:v>
                </c:pt>
                <c:pt idx="65">
                  <c:v>36</c:v>
                </c:pt>
                <c:pt idx="66">
                  <c:v>36</c:v>
                </c:pt>
                <c:pt idx="67">
                  <c:v>36</c:v>
                </c:pt>
                <c:pt idx="68">
                  <c:v>36</c:v>
                </c:pt>
                <c:pt idx="69">
                  <c:v>45</c:v>
                </c:pt>
                <c:pt idx="70">
                  <c:v>45</c:v>
                </c:pt>
                <c:pt idx="71">
                  <c:v>45</c:v>
                </c:pt>
                <c:pt idx="72">
                  <c:v>45</c:v>
                </c:pt>
                <c:pt idx="73">
                  <c:v>45</c:v>
                </c:pt>
                <c:pt idx="74">
                  <c:v>45</c:v>
                </c:pt>
                <c:pt idx="75">
                  <c:v>45</c:v>
                </c:pt>
                <c:pt idx="76">
                  <c:v>45</c:v>
                </c:pt>
                <c:pt idx="77">
                  <c:v>45</c:v>
                </c:pt>
                <c:pt idx="78">
                  <c:v>45</c:v>
                </c:pt>
                <c:pt idx="79">
                  <c:v>45</c:v>
                </c:pt>
                <c:pt idx="80">
                  <c:v>54</c:v>
                </c:pt>
                <c:pt idx="81">
                  <c:v>54</c:v>
                </c:pt>
                <c:pt idx="82">
                  <c:v>54</c:v>
                </c:pt>
                <c:pt idx="83">
                  <c:v>54</c:v>
                </c:pt>
                <c:pt idx="84">
                  <c:v>54</c:v>
                </c:pt>
                <c:pt idx="85">
                  <c:v>54</c:v>
                </c:pt>
                <c:pt idx="86">
                  <c:v>54</c:v>
                </c:pt>
                <c:pt idx="87">
                  <c:v>54</c:v>
                </c:pt>
                <c:pt idx="88">
                  <c:v>54</c:v>
                </c:pt>
                <c:pt idx="89">
                  <c:v>54</c:v>
                </c:pt>
                <c:pt idx="90">
                  <c:v>54</c:v>
                </c:pt>
                <c:pt idx="91">
                  <c:v>27</c:v>
                </c:pt>
                <c:pt idx="92">
                  <c:v>27</c:v>
                </c:pt>
                <c:pt idx="93">
                  <c:v>27</c:v>
                </c:pt>
                <c:pt idx="94">
                  <c:v>27</c:v>
                </c:pt>
              </c:numCache>
            </c:numRef>
          </c:xVal>
          <c:yVal>
            <c:numRef>
              <c:f>('Curvas massa_P_II'!$AC$7:$AC$33,'Curvas massa_P_II'!$AI$37:$AI$66,'Curvas massa_P_II'!$AK$70:$AK$107)</c:f>
              <c:numCache>
                <c:formatCode>General</c:formatCode>
                <c:ptCount val="95"/>
                <c:pt idx="0">
                  <c:v>795</c:v>
                </c:pt>
                <c:pt idx="1">
                  <c:v>841</c:v>
                </c:pt>
                <c:pt idx="2">
                  <c:v>466</c:v>
                </c:pt>
                <c:pt idx="3">
                  <c:v>434</c:v>
                </c:pt>
                <c:pt idx="4">
                  <c:v>558</c:v>
                </c:pt>
                <c:pt idx="5">
                  <c:v>402</c:v>
                </c:pt>
                <c:pt idx="6">
                  <c:v>554</c:v>
                </c:pt>
                <c:pt idx="7">
                  <c:v>593</c:v>
                </c:pt>
                <c:pt idx="8">
                  <c:v>621</c:v>
                </c:pt>
                <c:pt idx="9">
                  <c:v>618</c:v>
                </c:pt>
                <c:pt idx="10">
                  <c:v>568</c:v>
                </c:pt>
                <c:pt idx="11">
                  <c:v>660</c:v>
                </c:pt>
                <c:pt idx="12">
                  <c:v>636</c:v>
                </c:pt>
                <c:pt idx="13">
                  <c:v>760</c:v>
                </c:pt>
                <c:pt idx="14">
                  <c:v>728</c:v>
                </c:pt>
                <c:pt idx="15">
                  <c:v>823</c:v>
                </c:pt>
                <c:pt idx="16">
                  <c:v>714</c:v>
                </c:pt>
                <c:pt idx="17">
                  <c:v>823</c:v>
                </c:pt>
                <c:pt idx="18">
                  <c:v>742</c:v>
                </c:pt>
                <c:pt idx="19">
                  <c:v>827</c:v>
                </c:pt>
                <c:pt idx="20">
                  <c:v>752</c:v>
                </c:pt>
                <c:pt idx="21">
                  <c:v>880</c:v>
                </c:pt>
                <c:pt idx="22">
                  <c:v>891</c:v>
                </c:pt>
                <c:pt idx="23">
                  <c:v>876</c:v>
                </c:pt>
                <c:pt idx="24">
                  <c:v>919</c:v>
                </c:pt>
                <c:pt idx="25">
                  <c:v>855</c:v>
                </c:pt>
                <c:pt idx="26">
                  <c:v>852</c:v>
                </c:pt>
                <c:pt idx="27">
                  <c:v>731</c:v>
                </c:pt>
                <c:pt idx="28">
                  <c:v>529</c:v>
                </c:pt>
                <c:pt idx="29">
                  <c:v>710</c:v>
                </c:pt>
                <c:pt idx="30">
                  <c:v>671</c:v>
                </c:pt>
                <c:pt idx="31">
                  <c:v>678</c:v>
                </c:pt>
                <c:pt idx="32">
                  <c:v>813</c:v>
                </c:pt>
                <c:pt idx="33">
                  <c:v>721</c:v>
                </c:pt>
                <c:pt idx="34">
                  <c:v>671</c:v>
                </c:pt>
                <c:pt idx="35">
                  <c:v>710</c:v>
                </c:pt>
                <c:pt idx="36">
                  <c:v>745</c:v>
                </c:pt>
                <c:pt idx="37">
                  <c:v>908</c:v>
                </c:pt>
                <c:pt idx="38">
                  <c:v>845</c:v>
                </c:pt>
                <c:pt idx="39">
                  <c:v>894</c:v>
                </c:pt>
                <c:pt idx="40">
                  <c:v>816</c:v>
                </c:pt>
                <c:pt idx="41">
                  <c:v>873</c:v>
                </c:pt>
                <c:pt idx="42">
                  <c:v>745</c:v>
                </c:pt>
                <c:pt idx="43">
                  <c:v>873</c:v>
                </c:pt>
                <c:pt idx="44">
                  <c:v>767</c:v>
                </c:pt>
                <c:pt idx="45">
                  <c:v>756</c:v>
                </c:pt>
                <c:pt idx="46">
                  <c:v>898</c:v>
                </c:pt>
                <c:pt idx="47">
                  <c:v>887</c:v>
                </c:pt>
                <c:pt idx="48">
                  <c:v>901</c:v>
                </c:pt>
                <c:pt idx="49">
                  <c:v>965</c:v>
                </c:pt>
                <c:pt idx="50">
                  <c:v>919</c:v>
                </c:pt>
                <c:pt idx="51">
                  <c:v>976</c:v>
                </c:pt>
                <c:pt idx="52">
                  <c:v>958</c:v>
                </c:pt>
                <c:pt idx="53">
                  <c:v>947</c:v>
                </c:pt>
                <c:pt idx="54">
                  <c:v>944</c:v>
                </c:pt>
                <c:pt idx="55">
                  <c:v>968</c:v>
                </c:pt>
                <c:pt idx="56">
                  <c:v>944</c:v>
                </c:pt>
                <c:pt idx="57">
                  <c:v>848</c:v>
                </c:pt>
                <c:pt idx="58">
                  <c:v>816</c:v>
                </c:pt>
                <c:pt idx="59">
                  <c:v>845</c:v>
                </c:pt>
                <c:pt idx="60">
                  <c:v>760</c:v>
                </c:pt>
                <c:pt idx="61">
                  <c:v>830</c:v>
                </c:pt>
                <c:pt idx="62">
                  <c:v>837</c:v>
                </c:pt>
                <c:pt idx="63">
                  <c:v>806</c:v>
                </c:pt>
                <c:pt idx="64">
                  <c:v>813</c:v>
                </c:pt>
                <c:pt idx="65">
                  <c:v>806</c:v>
                </c:pt>
                <c:pt idx="66">
                  <c:v>745</c:v>
                </c:pt>
                <c:pt idx="67">
                  <c:v>756</c:v>
                </c:pt>
                <c:pt idx="68">
                  <c:v>834</c:v>
                </c:pt>
                <c:pt idx="69">
                  <c:v>901</c:v>
                </c:pt>
                <c:pt idx="70">
                  <c:v>887</c:v>
                </c:pt>
                <c:pt idx="71">
                  <c:v>852</c:v>
                </c:pt>
                <c:pt idx="72">
                  <c:v>852</c:v>
                </c:pt>
                <c:pt idx="73">
                  <c:v>855</c:v>
                </c:pt>
                <c:pt idx="74">
                  <c:v>823</c:v>
                </c:pt>
                <c:pt idx="75">
                  <c:v>922</c:v>
                </c:pt>
                <c:pt idx="76">
                  <c:v>841</c:v>
                </c:pt>
                <c:pt idx="77">
                  <c:v>848</c:v>
                </c:pt>
                <c:pt idx="78">
                  <c:v>933</c:v>
                </c:pt>
                <c:pt idx="79">
                  <c:v>841</c:v>
                </c:pt>
                <c:pt idx="80">
                  <c:v>894</c:v>
                </c:pt>
                <c:pt idx="81">
                  <c:v>961</c:v>
                </c:pt>
                <c:pt idx="82">
                  <c:v>961</c:v>
                </c:pt>
                <c:pt idx="83">
                  <c:v>884</c:v>
                </c:pt>
                <c:pt idx="84">
                  <c:v>951</c:v>
                </c:pt>
                <c:pt idx="85">
                  <c:v>919</c:v>
                </c:pt>
                <c:pt idx="86">
                  <c:v>930</c:v>
                </c:pt>
                <c:pt idx="87">
                  <c:v>802</c:v>
                </c:pt>
                <c:pt idx="88">
                  <c:v>951</c:v>
                </c:pt>
                <c:pt idx="89">
                  <c:v>940</c:v>
                </c:pt>
                <c:pt idx="90">
                  <c:v>922</c:v>
                </c:pt>
                <c:pt idx="91">
                  <c:v>735</c:v>
                </c:pt>
                <c:pt idx="92">
                  <c:v>752</c:v>
                </c:pt>
                <c:pt idx="93">
                  <c:v>706</c:v>
                </c:pt>
                <c:pt idx="94">
                  <c:v>685</c:v>
                </c:pt>
              </c:numCache>
            </c:numRef>
          </c:yVal>
          <c:smooth val="0"/>
        </c:ser>
        <c:ser>
          <c:idx val="1"/>
          <c:order val="1"/>
          <c:tx>
            <c:v>Thermo</c:v>
          </c:tx>
          <c:spPr>
            <a:ln w="88900" cap="rnd">
              <a:solidFill>
                <a:schemeClr val="bg1">
                  <a:lumMod val="85000"/>
                  <a:alpha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'Curvas massa_P_II'!$AL$11:$AL$15</c:f>
              <c:numCache>
                <c:formatCode>General</c:formatCode>
                <c:ptCount val="5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</c:numCache>
            </c:numRef>
          </c:xVal>
          <c:yVal>
            <c:numRef>
              <c:f>'Curvas massa_P_II'!$AM$11:$AM$15</c:f>
              <c:numCache>
                <c:formatCode>General</c:formatCode>
                <c:ptCount val="5"/>
                <c:pt idx="0">
                  <c:v>500</c:v>
                </c:pt>
                <c:pt idx="1">
                  <c:v>675</c:v>
                </c:pt>
                <c:pt idx="2">
                  <c:v>760</c:v>
                </c:pt>
                <c:pt idx="3">
                  <c:v>840</c:v>
                </c:pt>
                <c:pt idx="4">
                  <c:v>900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5204096"/>
        <c:axId val="125204672"/>
      </c:scatterChart>
      <c:valAx>
        <c:axId val="125204096"/>
        <c:scaling>
          <c:orientation val="minMax"/>
          <c:max val="7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Mass (ug)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5204672"/>
        <c:crosses val="autoZero"/>
        <c:crossBetween val="midCat"/>
      </c:valAx>
      <c:valAx>
        <c:axId val="125204672"/>
        <c:scaling>
          <c:orientation val="minMax"/>
          <c:max val="120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Pressure</a:t>
                </a:r>
              </a:p>
            </c:rich>
          </c:tx>
          <c:layout>
            <c:manualLayout>
              <c:xMode val="edge"/>
              <c:yMode val="edge"/>
              <c:x val="1.38888888888889E-2"/>
              <c:y val="0.27587197433654098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520409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5081714785651801"/>
          <c:y val="0.16892016816482"/>
          <c:w val="0.793293963254593"/>
          <c:h val="0.66254616403038102"/>
        </c:manualLayout>
      </c:layout>
      <c:scatterChart>
        <c:scatterStyle val="lineMarker"/>
        <c:varyColors val="0"/>
        <c:ser>
          <c:idx val="1"/>
          <c:order val="0"/>
          <c:tx>
            <c:v>Thermo</c:v>
          </c:tx>
          <c:spPr>
            <a:ln w="95250" cap="rnd">
              <a:solidFill>
                <a:schemeClr val="bg1">
                  <a:lumMod val="85000"/>
                  <a:alpha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'Curvas massa_P_II'!$AO$11:$AO$17</c:f>
              <c:numCache>
                <c:formatCode>General</c:formatCode>
                <c:ptCount val="7"/>
                <c:pt idx="0">
                  <c:v>200</c:v>
                </c:pt>
                <c:pt idx="1">
                  <c:v>400</c:v>
                </c:pt>
                <c:pt idx="2">
                  <c:v>500</c:v>
                </c:pt>
                <c:pt idx="3">
                  <c:v>600</c:v>
                </c:pt>
                <c:pt idx="4">
                  <c:v>700</c:v>
                </c:pt>
                <c:pt idx="5">
                  <c:v>800</c:v>
                </c:pt>
                <c:pt idx="6">
                  <c:v>950</c:v>
                </c:pt>
              </c:numCache>
            </c:numRef>
          </c:xVal>
          <c:yVal>
            <c:numRef>
              <c:f>'Curvas massa_P_II'!$AP$11:$AP$17</c:f>
              <c:numCache>
                <c:formatCode>General</c:formatCode>
                <c:ptCount val="7"/>
                <c:pt idx="0">
                  <c:v>440</c:v>
                </c:pt>
                <c:pt idx="1">
                  <c:v>1600</c:v>
                </c:pt>
                <c:pt idx="2">
                  <c:v>2400</c:v>
                </c:pt>
                <c:pt idx="3">
                  <c:v>3400</c:v>
                </c:pt>
                <c:pt idx="4">
                  <c:v>4500</c:v>
                </c:pt>
                <c:pt idx="5">
                  <c:v>5800</c:v>
                </c:pt>
                <c:pt idx="6">
                  <c:v>8000</c:v>
                </c:pt>
              </c:numCache>
            </c:numRef>
          </c:yVal>
          <c:smooth val="1"/>
        </c:ser>
        <c:ser>
          <c:idx val="0"/>
          <c:order val="1"/>
          <c:tx>
            <c:v>Initial Int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0.15444927942238201"/>
                  <c:y val="-9.073591464783710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numRef>
              <c:f>('Curvas massa_P_II'!$AC$7:$AC$33,'Curvas massa_P_II'!$AI$37:$AI$66,'Curvas massa_P_II'!$AK$70:$AK$107)</c:f>
              <c:numCache>
                <c:formatCode>General</c:formatCode>
                <c:ptCount val="95"/>
                <c:pt idx="0">
                  <c:v>795</c:v>
                </c:pt>
                <c:pt idx="1">
                  <c:v>841</c:v>
                </c:pt>
                <c:pt idx="2">
                  <c:v>466</c:v>
                </c:pt>
                <c:pt idx="3">
                  <c:v>434</c:v>
                </c:pt>
                <c:pt idx="4">
                  <c:v>558</c:v>
                </c:pt>
                <c:pt idx="5">
                  <c:v>402</c:v>
                </c:pt>
                <c:pt idx="6">
                  <c:v>554</c:v>
                </c:pt>
                <c:pt idx="7">
                  <c:v>593</c:v>
                </c:pt>
                <c:pt idx="8">
                  <c:v>621</c:v>
                </c:pt>
                <c:pt idx="9">
                  <c:v>618</c:v>
                </c:pt>
                <c:pt idx="10">
                  <c:v>568</c:v>
                </c:pt>
                <c:pt idx="11">
                  <c:v>660</c:v>
                </c:pt>
                <c:pt idx="12">
                  <c:v>636</c:v>
                </c:pt>
                <c:pt idx="13">
                  <c:v>760</c:v>
                </c:pt>
                <c:pt idx="14">
                  <c:v>728</c:v>
                </c:pt>
                <c:pt idx="15">
                  <c:v>823</c:v>
                </c:pt>
                <c:pt idx="16">
                  <c:v>714</c:v>
                </c:pt>
                <c:pt idx="17">
                  <c:v>823</c:v>
                </c:pt>
                <c:pt idx="18">
                  <c:v>742</c:v>
                </c:pt>
                <c:pt idx="19">
                  <c:v>827</c:v>
                </c:pt>
                <c:pt idx="20">
                  <c:v>752</c:v>
                </c:pt>
                <c:pt idx="21">
                  <c:v>880</c:v>
                </c:pt>
                <c:pt idx="22">
                  <c:v>891</c:v>
                </c:pt>
                <c:pt idx="23">
                  <c:v>876</c:v>
                </c:pt>
                <c:pt idx="24">
                  <c:v>919</c:v>
                </c:pt>
                <c:pt idx="25">
                  <c:v>855</c:v>
                </c:pt>
                <c:pt idx="26">
                  <c:v>852</c:v>
                </c:pt>
                <c:pt idx="27">
                  <c:v>731</c:v>
                </c:pt>
                <c:pt idx="28">
                  <c:v>529</c:v>
                </c:pt>
                <c:pt idx="29">
                  <c:v>710</c:v>
                </c:pt>
                <c:pt idx="30">
                  <c:v>671</c:v>
                </c:pt>
                <c:pt idx="31">
                  <c:v>678</c:v>
                </c:pt>
                <c:pt idx="32">
                  <c:v>813</c:v>
                </c:pt>
                <c:pt idx="33">
                  <c:v>721</c:v>
                </c:pt>
                <c:pt idx="34">
                  <c:v>671</c:v>
                </c:pt>
                <c:pt idx="35">
                  <c:v>710</c:v>
                </c:pt>
                <c:pt idx="36">
                  <c:v>745</c:v>
                </c:pt>
                <c:pt idx="37">
                  <c:v>908</c:v>
                </c:pt>
                <c:pt idx="38">
                  <c:v>845</c:v>
                </c:pt>
                <c:pt idx="39">
                  <c:v>894</c:v>
                </c:pt>
                <c:pt idx="40">
                  <c:v>816</c:v>
                </c:pt>
                <c:pt idx="41">
                  <c:v>873</c:v>
                </c:pt>
                <c:pt idx="42">
                  <c:v>745</c:v>
                </c:pt>
                <c:pt idx="43">
                  <c:v>873</c:v>
                </c:pt>
                <c:pt idx="44">
                  <c:v>767</c:v>
                </c:pt>
                <c:pt idx="45">
                  <c:v>756</c:v>
                </c:pt>
                <c:pt idx="46">
                  <c:v>898</c:v>
                </c:pt>
                <c:pt idx="47">
                  <c:v>887</c:v>
                </c:pt>
                <c:pt idx="48">
                  <c:v>901</c:v>
                </c:pt>
                <c:pt idx="49">
                  <c:v>965</c:v>
                </c:pt>
                <c:pt idx="50">
                  <c:v>919</c:v>
                </c:pt>
                <c:pt idx="51">
                  <c:v>976</c:v>
                </c:pt>
                <c:pt idx="52">
                  <c:v>958</c:v>
                </c:pt>
                <c:pt idx="53">
                  <c:v>947</c:v>
                </c:pt>
                <c:pt idx="54">
                  <c:v>944</c:v>
                </c:pt>
                <c:pt idx="55">
                  <c:v>968</c:v>
                </c:pt>
                <c:pt idx="56">
                  <c:v>944</c:v>
                </c:pt>
                <c:pt idx="57">
                  <c:v>848</c:v>
                </c:pt>
                <c:pt idx="58">
                  <c:v>816</c:v>
                </c:pt>
                <c:pt idx="59">
                  <c:v>845</c:v>
                </c:pt>
                <c:pt idx="60">
                  <c:v>760</c:v>
                </c:pt>
                <c:pt idx="61">
                  <c:v>830</c:v>
                </c:pt>
                <c:pt idx="62">
                  <c:v>837</c:v>
                </c:pt>
                <c:pt idx="63">
                  <c:v>806</c:v>
                </c:pt>
                <c:pt idx="64">
                  <c:v>813</c:v>
                </c:pt>
                <c:pt idx="65">
                  <c:v>806</c:v>
                </c:pt>
                <c:pt idx="66">
                  <c:v>745</c:v>
                </c:pt>
                <c:pt idx="67">
                  <c:v>756</c:v>
                </c:pt>
                <c:pt idx="68">
                  <c:v>834</c:v>
                </c:pt>
                <c:pt idx="69">
                  <c:v>901</c:v>
                </c:pt>
                <c:pt idx="70">
                  <c:v>887</c:v>
                </c:pt>
                <c:pt idx="71">
                  <c:v>852</c:v>
                </c:pt>
                <c:pt idx="72">
                  <c:v>852</c:v>
                </c:pt>
                <c:pt idx="73">
                  <c:v>855</c:v>
                </c:pt>
                <c:pt idx="74">
                  <c:v>823</c:v>
                </c:pt>
                <c:pt idx="75">
                  <c:v>922</c:v>
                </c:pt>
                <c:pt idx="76">
                  <c:v>841</c:v>
                </c:pt>
                <c:pt idx="77">
                  <c:v>848</c:v>
                </c:pt>
                <c:pt idx="78">
                  <c:v>933</c:v>
                </c:pt>
                <c:pt idx="79">
                  <c:v>841</c:v>
                </c:pt>
                <c:pt idx="80">
                  <c:v>894</c:v>
                </c:pt>
                <c:pt idx="81">
                  <c:v>961</c:v>
                </c:pt>
                <c:pt idx="82">
                  <c:v>961</c:v>
                </c:pt>
                <c:pt idx="83">
                  <c:v>884</c:v>
                </c:pt>
                <c:pt idx="84">
                  <c:v>951</c:v>
                </c:pt>
                <c:pt idx="85">
                  <c:v>919</c:v>
                </c:pt>
                <c:pt idx="86">
                  <c:v>930</c:v>
                </c:pt>
                <c:pt idx="87">
                  <c:v>802</c:v>
                </c:pt>
                <c:pt idx="88">
                  <c:v>951</c:v>
                </c:pt>
                <c:pt idx="89">
                  <c:v>940</c:v>
                </c:pt>
                <c:pt idx="90">
                  <c:v>922</c:v>
                </c:pt>
                <c:pt idx="91">
                  <c:v>735</c:v>
                </c:pt>
                <c:pt idx="92">
                  <c:v>752</c:v>
                </c:pt>
                <c:pt idx="93">
                  <c:v>706</c:v>
                </c:pt>
                <c:pt idx="94">
                  <c:v>685</c:v>
                </c:pt>
              </c:numCache>
            </c:numRef>
          </c:xVal>
          <c:yVal>
            <c:numRef>
              <c:f>('Curvas massa_P_II'!$AD$7:$AD$33,'Curvas massa_P_II'!$AK$37:$AK$66,'Curvas massa_P_II'!$AM$70:$AM$107)</c:f>
              <c:numCache>
                <c:formatCode>General</c:formatCode>
                <c:ptCount val="95"/>
                <c:pt idx="0">
                  <c:v>3536</c:v>
                </c:pt>
                <c:pt idx="1">
                  <c:v>4302</c:v>
                </c:pt>
                <c:pt idx="2">
                  <c:v>1138</c:v>
                </c:pt>
                <c:pt idx="3">
                  <c:v>929</c:v>
                </c:pt>
                <c:pt idx="4">
                  <c:v>1564</c:v>
                </c:pt>
                <c:pt idx="5">
                  <c:v>896</c:v>
                </c:pt>
                <c:pt idx="6">
                  <c:v>1580</c:v>
                </c:pt>
                <c:pt idx="7">
                  <c:v>1821</c:v>
                </c:pt>
                <c:pt idx="8">
                  <c:v>1962</c:v>
                </c:pt>
                <c:pt idx="9">
                  <c:v>2070</c:v>
                </c:pt>
                <c:pt idx="10">
                  <c:v>1576</c:v>
                </c:pt>
                <c:pt idx="11">
                  <c:v>2249</c:v>
                </c:pt>
                <c:pt idx="12">
                  <c:v>1873</c:v>
                </c:pt>
                <c:pt idx="13">
                  <c:v>2967</c:v>
                </c:pt>
                <c:pt idx="14">
                  <c:v>2588</c:v>
                </c:pt>
                <c:pt idx="15">
                  <c:v>3470</c:v>
                </c:pt>
                <c:pt idx="16">
                  <c:v>2395</c:v>
                </c:pt>
                <c:pt idx="17">
                  <c:v>3492</c:v>
                </c:pt>
                <c:pt idx="18">
                  <c:v>2649</c:v>
                </c:pt>
                <c:pt idx="19">
                  <c:v>3509</c:v>
                </c:pt>
                <c:pt idx="20">
                  <c:v>2735</c:v>
                </c:pt>
                <c:pt idx="21">
                  <c:v>3965</c:v>
                </c:pt>
                <c:pt idx="22">
                  <c:v>4012</c:v>
                </c:pt>
                <c:pt idx="23">
                  <c:v>4099</c:v>
                </c:pt>
                <c:pt idx="24">
                  <c:v>4548</c:v>
                </c:pt>
                <c:pt idx="25">
                  <c:v>3813</c:v>
                </c:pt>
                <c:pt idx="26">
                  <c:v>3677</c:v>
                </c:pt>
                <c:pt idx="27">
                  <c:v>3008</c:v>
                </c:pt>
                <c:pt idx="28">
                  <c:v>1408</c:v>
                </c:pt>
                <c:pt idx="29">
                  <c:v>2777</c:v>
                </c:pt>
                <c:pt idx="30">
                  <c:v>2438</c:v>
                </c:pt>
                <c:pt idx="31">
                  <c:v>2354</c:v>
                </c:pt>
                <c:pt idx="32">
                  <c:v>3878</c:v>
                </c:pt>
                <c:pt idx="33">
                  <c:v>2482</c:v>
                </c:pt>
                <c:pt idx="34">
                  <c:v>2312</c:v>
                </c:pt>
                <c:pt idx="35">
                  <c:v>2521</c:v>
                </c:pt>
                <c:pt idx="36">
                  <c:v>2964</c:v>
                </c:pt>
                <c:pt idx="37">
                  <c:v>5338</c:v>
                </c:pt>
                <c:pt idx="38">
                  <c:v>4035</c:v>
                </c:pt>
                <c:pt idx="39">
                  <c:v>4700</c:v>
                </c:pt>
                <c:pt idx="40">
                  <c:v>3735</c:v>
                </c:pt>
                <c:pt idx="41">
                  <c:v>4962</c:v>
                </c:pt>
                <c:pt idx="42">
                  <c:v>3039</c:v>
                </c:pt>
                <c:pt idx="43">
                  <c:v>4485</c:v>
                </c:pt>
                <c:pt idx="44">
                  <c:v>3269</c:v>
                </c:pt>
                <c:pt idx="45">
                  <c:v>3258</c:v>
                </c:pt>
                <c:pt idx="46">
                  <c:v>5402</c:v>
                </c:pt>
                <c:pt idx="47">
                  <c:v>4968</c:v>
                </c:pt>
                <c:pt idx="48">
                  <c:v>5306</c:v>
                </c:pt>
                <c:pt idx="49">
                  <c:v>6327</c:v>
                </c:pt>
                <c:pt idx="50">
                  <c:v>5331</c:v>
                </c:pt>
                <c:pt idx="51">
                  <c:v>6036</c:v>
                </c:pt>
                <c:pt idx="52">
                  <c:v>6087</c:v>
                </c:pt>
                <c:pt idx="53">
                  <c:v>5487</c:v>
                </c:pt>
                <c:pt idx="54">
                  <c:v>5278</c:v>
                </c:pt>
                <c:pt idx="55">
                  <c:v>5949</c:v>
                </c:pt>
                <c:pt idx="56">
                  <c:v>5227</c:v>
                </c:pt>
                <c:pt idx="57">
                  <c:v>5288</c:v>
                </c:pt>
                <c:pt idx="58">
                  <c:v>4185</c:v>
                </c:pt>
                <c:pt idx="59">
                  <c:v>4819</c:v>
                </c:pt>
                <c:pt idx="60">
                  <c:v>3798</c:v>
                </c:pt>
                <c:pt idx="61">
                  <c:v>5318</c:v>
                </c:pt>
                <c:pt idx="62">
                  <c:v>4843</c:v>
                </c:pt>
                <c:pt idx="63">
                  <c:v>4041</c:v>
                </c:pt>
                <c:pt idx="64">
                  <c:v>4041</c:v>
                </c:pt>
                <c:pt idx="65">
                  <c:v>4030</c:v>
                </c:pt>
                <c:pt idx="66">
                  <c:v>3124</c:v>
                </c:pt>
                <c:pt idx="67">
                  <c:v>3117</c:v>
                </c:pt>
                <c:pt idx="68">
                  <c:v>4191</c:v>
                </c:pt>
                <c:pt idx="69">
                  <c:v>5869</c:v>
                </c:pt>
                <c:pt idx="70">
                  <c:v>5413</c:v>
                </c:pt>
                <c:pt idx="71">
                  <c:v>4910</c:v>
                </c:pt>
                <c:pt idx="72">
                  <c:v>5233</c:v>
                </c:pt>
                <c:pt idx="73">
                  <c:v>5338</c:v>
                </c:pt>
                <c:pt idx="74">
                  <c:v>4704</c:v>
                </c:pt>
                <c:pt idx="75">
                  <c:v>6705</c:v>
                </c:pt>
                <c:pt idx="76">
                  <c:v>5079</c:v>
                </c:pt>
                <c:pt idx="77">
                  <c:v>4824</c:v>
                </c:pt>
                <c:pt idx="78">
                  <c:v>6399</c:v>
                </c:pt>
                <c:pt idx="79">
                  <c:v>4700</c:v>
                </c:pt>
                <c:pt idx="80">
                  <c:v>5616</c:v>
                </c:pt>
                <c:pt idx="81">
                  <c:v>7323</c:v>
                </c:pt>
                <c:pt idx="82">
                  <c:v>6884</c:v>
                </c:pt>
                <c:pt idx="83">
                  <c:v>5572</c:v>
                </c:pt>
                <c:pt idx="84">
                  <c:v>6917</c:v>
                </c:pt>
                <c:pt idx="85">
                  <c:v>6480</c:v>
                </c:pt>
                <c:pt idx="86">
                  <c:v>6314</c:v>
                </c:pt>
                <c:pt idx="87">
                  <c:v>3831</c:v>
                </c:pt>
                <c:pt idx="88">
                  <c:v>6474</c:v>
                </c:pt>
                <c:pt idx="89">
                  <c:v>6345</c:v>
                </c:pt>
                <c:pt idx="90">
                  <c:v>5639</c:v>
                </c:pt>
                <c:pt idx="91">
                  <c:v>3172</c:v>
                </c:pt>
                <c:pt idx="92">
                  <c:v>3219</c:v>
                </c:pt>
                <c:pt idx="93">
                  <c:v>2823</c:v>
                </c:pt>
                <c:pt idx="94">
                  <c:v>2729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8024576"/>
        <c:axId val="128025152"/>
      </c:scatterChart>
      <c:valAx>
        <c:axId val="128024576"/>
        <c:scaling>
          <c:orientation val="minMax"/>
          <c:max val="12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Pressure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8025152"/>
        <c:crosses val="autoZero"/>
        <c:crossBetween val="midCat"/>
      </c:valAx>
      <c:valAx>
        <c:axId val="128025152"/>
        <c:scaling>
          <c:orientation val="minMax"/>
          <c:max val="1000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Intensity</a:t>
                </a:r>
              </a:p>
            </c:rich>
          </c:tx>
          <c:layout>
            <c:manualLayout>
              <c:xMode val="edge"/>
              <c:yMode val="edge"/>
              <c:x val="1.38888888888889E-2"/>
              <c:y val="0.27587197433654098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80245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6.3861968688079099E-2"/>
          <c:y val="2.3598820058997001E-2"/>
          <c:w val="0.87227588315916005"/>
          <c:h val="0.12291145022801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004784978800701"/>
          <c:y val="5.0925925925925902E-2"/>
          <c:w val="0.75996062992126001"/>
          <c:h val="0.78054024496937902"/>
        </c:manualLayout>
      </c:layout>
      <c:scatterChart>
        <c:scatterStyle val="lineMarker"/>
        <c:varyColors val="0"/>
        <c:ser>
          <c:idx val="2"/>
          <c:order val="1"/>
          <c:tx>
            <c:v>d13C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('Curvas massa_P_II'!$AD$7:$AD$33,'Curvas massa_P_II'!$AK$37:$AK$66,'Curvas massa_P_II'!$AM$70:$AM$107,'Curvas massa_P_II'!$AR$113:$AR$146)</c:f>
              <c:numCache>
                <c:formatCode>General</c:formatCode>
                <c:ptCount val="129"/>
                <c:pt idx="0">
                  <c:v>3536</c:v>
                </c:pt>
                <c:pt idx="1">
                  <c:v>4302</c:v>
                </c:pt>
                <c:pt idx="2">
                  <c:v>1138</c:v>
                </c:pt>
                <c:pt idx="3">
                  <c:v>929</c:v>
                </c:pt>
                <c:pt idx="4">
                  <c:v>1564</c:v>
                </c:pt>
                <c:pt idx="5">
                  <c:v>896</c:v>
                </c:pt>
                <c:pt idx="6">
                  <c:v>1580</c:v>
                </c:pt>
                <c:pt idx="7">
                  <c:v>1821</c:v>
                </c:pt>
                <c:pt idx="8">
                  <c:v>1962</c:v>
                </c:pt>
                <c:pt idx="9">
                  <c:v>2070</c:v>
                </c:pt>
                <c:pt idx="10">
                  <c:v>1576</c:v>
                </c:pt>
                <c:pt idx="11">
                  <c:v>2249</c:v>
                </c:pt>
                <c:pt idx="12">
                  <c:v>1873</c:v>
                </c:pt>
                <c:pt idx="13">
                  <c:v>2967</c:v>
                </c:pt>
                <c:pt idx="14">
                  <c:v>2588</c:v>
                </c:pt>
                <c:pt idx="15">
                  <c:v>3470</c:v>
                </c:pt>
                <c:pt idx="16">
                  <c:v>2395</c:v>
                </c:pt>
                <c:pt idx="17">
                  <c:v>3492</c:v>
                </c:pt>
                <c:pt idx="18">
                  <c:v>2649</c:v>
                </c:pt>
                <c:pt idx="19">
                  <c:v>3509</c:v>
                </c:pt>
                <c:pt idx="20">
                  <c:v>2735</c:v>
                </c:pt>
                <c:pt idx="21">
                  <c:v>3965</c:v>
                </c:pt>
                <c:pt idx="22">
                  <c:v>4012</c:v>
                </c:pt>
                <c:pt idx="23">
                  <c:v>4099</c:v>
                </c:pt>
                <c:pt idx="24">
                  <c:v>4548</c:v>
                </c:pt>
                <c:pt idx="25">
                  <c:v>3813</c:v>
                </c:pt>
                <c:pt idx="26">
                  <c:v>3677</c:v>
                </c:pt>
                <c:pt idx="27">
                  <c:v>3008</c:v>
                </c:pt>
                <c:pt idx="28">
                  <c:v>1408</c:v>
                </c:pt>
                <c:pt idx="29">
                  <c:v>2777</c:v>
                </c:pt>
                <c:pt idx="30">
                  <c:v>2438</c:v>
                </c:pt>
                <c:pt idx="31">
                  <c:v>2354</c:v>
                </c:pt>
                <c:pt idx="32">
                  <c:v>3878</c:v>
                </c:pt>
                <c:pt idx="33">
                  <c:v>2482</c:v>
                </c:pt>
                <c:pt idx="34">
                  <c:v>2312</c:v>
                </c:pt>
                <c:pt idx="35">
                  <c:v>2521</c:v>
                </c:pt>
                <c:pt idx="36">
                  <c:v>2964</c:v>
                </c:pt>
                <c:pt idx="37">
                  <c:v>5338</c:v>
                </c:pt>
                <c:pt idx="38">
                  <c:v>4035</c:v>
                </c:pt>
                <c:pt idx="39">
                  <c:v>4700</c:v>
                </c:pt>
                <c:pt idx="40">
                  <c:v>3735</c:v>
                </c:pt>
                <c:pt idx="41">
                  <c:v>4962</c:v>
                </c:pt>
                <c:pt idx="42">
                  <c:v>3039</c:v>
                </c:pt>
                <c:pt idx="43">
                  <c:v>4485</c:v>
                </c:pt>
                <c:pt idx="44">
                  <c:v>3269</c:v>
                </c:pt>
                <c:pt idx="45">
                  <c:v>3258</c:v>
                </c:pt>
                <c:pt idx="46">
                  <c:v>5402</c:v>
                </c:pt>
                <c:pt idx="47">
                  <c:v>4968</c:v>
                </c:pt>
                <c:pt idx="48">
                  <c:v>5306</c:v>
                </c:pt>
                <c:pt idx="49">
                  <c:v>6327</c:v>
                </c:pt>
                <c:pt idx="50">
                  <c:v>5331</c:v>
                </c:pt>
                <c:pt idx="51">
                  <c:v>6036</c:v>
                </c:pt>
                <c:pt idx="52">
                  <c:v>6087</c:v>
                </c:pt>
                <c:pt idx="53">
                  <c:v>5487</c:v>
                </c:pt>
                <c:pt idx="54">
                  <c:v>5278</c:v>
                </c:pt>
                <c:pt idx="55">
                  <c:v>5949</c:v>
                </c:pt>
                <c:pt idx="56">
                  <c:v>5227</c:v>
                </c:pt>
                <c:pt idx="57">
                  <c:v>5288</c:v>
                </c:pt>
                <c:pt idx="58">
                  <c:v>4185</c:v>
                </c:pt>
                <c:pt idx="59">
                  <c:v>4819</c:v>
                </c:pt>
                <c:pt idx="60">
                  <c:v>3798</c:v>
                </c:pt>
                <c:pt idx="61">
                  <c:v>5318</c:v>
                </c:pt>
                <c:pt idx="62">
                  <c:v>4843</c:v>
                </c:pt>
                <c:pt idx="63">
                  <c:v>4041</c:v>
                </c:pt>
                <c:pt idx="64">
                  <c:v>4041</c:v>
                </c:pt>
                <c:pt idx="65">
                  <c:v>4030</c:v>
                </c:pt>
                <c:pt idx="66">
                  <c:v>3124</c:v>
                </c:pt>
                <c:pt idx="67">
                  <c:v>3117</c:v>
                </c:pt>
                <c:pt idx="68">
                  <c:v>4191</c:v>
                </c:pt>
                <c:pt idx="69">
                  <c:v>5869</c:v>
                </c:pt>
                <c:pt idx="70">
                  <c:v>5413</c:v>
                </c:pt>
                <c:pt idx="71">
                  <c:v>4910</c:v>
                </c:pt>
                <c:pt idx="72">
                  <c:v>5233</c:v>
                </c:pt>
                <c:pt idx="73">
                  <c:v>5338</c:v>
                </c:pt>
                <c:pt idx="74">
                  <c:v>4704</c:v>
                </c:pt>
                <c:pt idx="75">
                  <c:v>6705</c:v>
                </c:pt>
                <c:pt idx="76">
                  <c:v>5079</c:v>
                </c:pt>
                <c:pt idx="77">
                  <c:v>4824</c:v>
                </c:pt>
                <c:pt idx="78">
                  <c:v>6399</c:v>
                </c:pt>
                <c:pt idx="79">
                  <c:v>4700</c:v>
                </c:pt>
                <c:pt idx="80">
                  <c:v>5616</c:v>
                </c:pt>
                <c:pt idx="81">
                  <c:v>7323</c:v>
                </c:pt>
                <c:pt idx="82">
                  <c:v>6884</c:v>
                </c:pt>
                <c:pt idx="83">
                  <c:v>5572</c:v>
                </c:pt>
                <c:pt idx="84">
                  <c:v>6917</c:v>
                </c:pt>
                <c:pt idx="85">
                  <c:v>6480</c:v>
                </c:pt>
                <c:pt idx="86">
                  <c:v>6314</c:v>
                </c:pt>
                <c:pt idx="87">
                  <c:v>3831</c:v>
                </c:pt>
                <c:pt idx="88">
                  <c:v>6474</c:v>
                </c:pt>
                <c:pt idx="89">
                  <c:v>6345</c:v>
                </c:pt>
                <c:pt idx="90">
                  <c:v>5639</c:v>
                </c:pt>
                <c:pt idx="91">
                  <c:v>3172</c:v>
                </c:pt>
                <c:pt idx="92">
                  <c:v>3219</c:v>
                </c:pt>
                <c:pt idx="93">
                  <c:v>2823</c:v>
                </c:pt>
                <c:pt idx="94">
                  <c:v>2729</c:v>
                </c:pt>
                <c:pt idx="95">
                  <c:v>3708</c:v>
                </c:pt>
                <c:pt idx="96">
                  <c:v>4166</c:v>
                </c:pt>
                <c:pt idx="97">
                  <c:v>3358</c:v>
                </c:pt>
                <c:pt idx="98">
                  <c:v>4364</c:v>
                </c:pt>
                <c:pt idx="99">
                  <c:v>4098</c:v>
                </c:pt>
                <c:pt idx="100">
                  <c:v>4238</c:v>
                </c:pt>
                <c:pt idx="101">
                  <c:v>7750</c:v>
                </c:pt>
                <c:pt idx="103">
                  <c:v>5145</c:v>
                </c:pt>
                <c:pt idx="104">
                  <c:v>5033</c:v>
                </c:pt>
                <c:pt idx="105">
                  <c:v>5077</c:v>
                </c:pt>
                <c:pt idx="106">
                  <c:v>5355</c:v>
                </c:pt>
                <c:pt idx="107">
                  <c:v>4647</c:v>
                </c:pt>
                <c:pt idx="108">
                  <c:v>3561</c:v>
                </c:pt>
                <c:pt idx="109">
                  <c:v>3770</c:v>
                </c:pt>
                <c:pt idx="110">
                  <c:v>4508</c:v>
                </c:pt>
                <c:pt idx="111">
                  <c:v>3089</c:v>
                </c:pt>
                <c:pt idx="112">
                  <c:v>4146</c:v>
                </c:pt>
                <c:pt idx="113">
                  <c:v>4515</c:v>
                </c:pt>
                <c:pt idx="114">
                  <c:v>4345</c:v>
                </c:pt>
                <c:pt idx="115">
                  <c:v>3012</c:v>
                </c:pt>
                <c:pt idx="116">
                  <c:v>4495</c:v>
                </c:pt>
                <c:pt idx="117">
                  <c:v>3785</c:v>
                </c:pt>
                <c:pt idx="118">
                  <c:v>3597</c:v>
                </c:pt>
                <c:pt idx="119">
                  <c:v>3476</c:v>
                </c:pt>
                <c:pt idx="120">
                  <c:v>2934</c:v>
                </c:pt>
                <c:pt idx="121">
                  <c:v>5007</c:v>
                </c:pt>
                <c:pt idx="122">
                  <c:v>3959</c:v>
                </c:pt>
                <c:pt idx="123">
                  <c:v>4431</c:v>
                </c:pt>
                <c:pt idx="124">
                  <c:v>4278</c:v>
                </c:pt>
                <c:pt idx="125">
                  <c:v>4776</c:v>
                </c:pt>
                <c:pt idx="126">
                  <c:v>4317</c:v>
                </c:pt>
                <c:pt idx="127">
                  <c:v>3916</c:v>
                </c:pt>
                <c:pt idx="128">
                  <c:v>3332</c:v>
                </c:pt>
              </c:numCache>
            </c:numRef>
          </c:xVal>
          <c:yVal>
            <c:numRef>
              <c:f>('Curvas massa_P_II'!$C$7:$C$33,'Curvas massa_P_II'!$G$37:$G$66,'Curvas massa_P_II'!$F$70:$F$107,'Curvas massa_P_II'!$G$113:$G$146)</c:f>
              <c:numCache>
                <c:formatCode>General</c:formatCode>
                <c:ptCount val="129"/>
                <c:pt idx="0">
                  <c:v>1.8360000000000001</c:v>
                </c:pt>
                <c:pt idx="1">
                  <c:v>1.8049999999999999</c:v>
                </c:pt>
                <c:pt idx="2">
                  <c:v>1.8220000000000001</c:v>
                </c:pt>
                <c:pt idx="3">
                  <c:v>1.798</c:v>
                </c:pt>
                <c:pt idx="4">
                  <c:v>1.865</c:v>
                </c:pt>
                <c:pt idx="5">
                  <c:v>1.8340000000000001</c:v>
                </c:pt>
                <c:pt idx="6">
                  <c:v>1.871</c:v>
                </c:pt>
                <c:pt idx="7">
                  <c:v>1.84</c:v>
                </c:pt>
                <c:pt idx="8">
                  <c:v>1.8440000000000001</c:v>
                </c:pt>
                <c:pt idx="9">
                  <c:v>1.6859999999999999</c:v>
                </c:pt>
                <c:pt idx="10">
                  <c:v>1.823</c:v>
                </c:pt>
                <c:pt idx="11">
                  <c:v>1.8480000000000001</c:v>
                </c:pt>
                <c:pt idx="12">
                  <c:v>1.855</c:v>
                </c:pt>
                <c:pt idx="13">
                  <c:v>1.8819999999999999</c:v>
                </c:pt>
                <c:pt idx="14">
                  <c:v>1.867</c:v>
                </c:pt>
                <c:pt idx="15">
                  <c:v>1.841</c:v>
                </c:pt>
                <c:pt idx="16">
                  <c:v>1.8169999999999999</c:v>
                </c:pt>
                <c:pt idx="17">
                  <c:v>1.833</c:v>
                </c:pt>
                <c:pt idx="18">
                  <c:v>1.825</c:v>
                </c:pt>
                <c:pt idx="19">
                  <c:v>1.8580000000000001</c:v>
                </c:pt>
                <c:pt idx="20">
                  <c:v>1.772</c:v>
                </c:pt>
                <c:pt idx="21">
                  <c:v>1.7709999999999999</c:v>
                </c:pt>
                <c:pt idx="22">
                  <c:v>1.7010000000000001</c:v>
                </c:pt>
                <c:pt idx="23">
                  <c:v>1.796</c:v>
                </c:pt>
                <c:pt idx="24">
                  <c:v>1.8360000000000001</c:v>
                </c:pt>
                <c:pt idx="25">
                  <c:v>1.8480000000000001</c:v>
                </c:pt>
                <c:pt idx="26">
                  <c:v>1.8120000000000001</c:v>
                </c:pt>
                <c:pt idx="27">
                  <c:v>1.859</c:v>
                </c:pt>
                <c:pt idx="28">
                  <c:v>1.88</c:v>
                </c:pt>
                <c:pt idx="29">
                  <c:v>1.831</c:v>
                </c:pt>
                <c:pt idx="30">
                  <c:v>1.776</c:v>
                </c:pt>
                <c:pt idx="31">
                  <c:v>1.8720000000000001</c:v>
                </c:pt>
                <c:pt idx="32">
                  <c:v>1.8280000000000001</c:v>
                </c:pt>
                <c:pt idx="33">
                  <c:v>1.8460000000000001</c:v>
                </c:pt>
                <c:pt idx="34">
                  <c:v>1.8180000000000001</c:v>
                </c:pt>
                <c:pt idx="35">
                  <c:v>1.841</c:v>
                </c:pt>
                <c:pt idx="36">
                  <c:v>1.8129999999999999</c:v>
                </c:pt>
                <c:pt idx="37">
                  <c:v>1.859</c:v>
                </c:pt>
                <c:pt idx="38">
                  <c:v>1.8160000000000001</c:v>
                </c:pt>
                <c:pt idx="39">
                  <c:v>1.825</c:v>
                </c:pt>
                <c:pt idx="40">
                  <c:v>1.861</c:v>
                </c:pt>
                <c:pt idx="41">
                  <c:v>1.794</c:v>
                </c:pt>
                <c:pt idx="42">
                  <c:v>1.7949999999999999</c:v>
                </c:pt>
                <c:pt idx="43">
                  <c:v>1.8720000000000001</c:v>
                </c:pt>
                <c:pt idx="44">
                  <c:v>1.8959999999999999</c:v>
                </c:pt>
                <c:pt idx="45">
                  <c:v>1.833</c:v>
                </c:pt>
                <c:pt idx="46">
                  <c:v>1.7689999999999999</c:v>
                </c:pt>
                <c:pt idx="47">
                  <c:v>1.8480000000000001</c:v>
                </c:pt>
                <c:pt idx="48">
                  <c:v>1.7609999999999999</c:v>
                </c:pt>
                <c:pt idx="49">
                  <c:v>1.833</c:v>
                </c:pt>
                <c:pt idx="50">
                  <c:v>1.869</c:v>
                </c:pt>
                <c:pt idx="51">
                  <c:v>1.819</c:v>
                </c:pt>
                <c:pt idx="52">
                  <c:v>1.8220000000000001</c:v>
                </c:pt>
                <c:pt idx="53">
                  <c:v>1.833</c:v>
                </c:pt>
                <c:pt idx="54">
                  <c:v>1.823</c:v>
                </c:pt>
                <c:pt idx="55">
                  <c:v>1.8540000000000001</c:v>
                </c:pt>
                <c:pt idx="56">
                  <c:v>1.8180000000000001</c:v>
                </c:pt>
                <c:pt idx="57">
                  <c:v>1.8420000000000001</c:v>
                </c:pt>
                <c:pt idx="58">
                  <c:v>1.788</c:v>
                </c:pt>
                <c:pt idx="59">
                  <c:v>1.7969999999999999</c:v>
                </c:pt>
                <c:pt idx="60">
                  <c:v>1.766</c:v>
                </c:pt>
                <c:pt idx="61">
                  <c:v>1.794</c:v>
                </c:pt>
                <c:pt idx="62">
                  <c:v>1.8440000000000001</c:v>
                </c:pt>
                <c:pt idx="63">
                  <c:v>1.542</c:v>
                </c:pt>
                <c:pt idx="64">
                  <c:v>1.8380000000000001</c:v>
                </c:pt>
                <c:pt idx="65">
                  <c:v>1.4350000000000001</c:v>
                </c:pt>
                <c:pt idx="66">
                  <c:v>1.786</c:v>
                </c:pt>
                <c:pt idx="67">
                  <c:v>1.6850000000000001</c:v>
                </c:pt>
                <c:pt idx="68">
                  <c:v>1.8320000000000001</c:v>
                </c:pt>
                <c:pt idx="69">
                  <c:v>1.736</c:v>
                </c:pt>
                <c:pt idx="70">
                  <c:v>1.706</c:v>
                </c:pt>
                <c:pt idx="71">
                  <c:v>1.7509999999999999</c:v>
                </c:pt>
                <c:pt idx="72">
                  <c:v>1.841</c:v>
                </c:pt>
                <c:pt idx="73">
                  <c:v>1.7749999999999999</c:v>
                </c:pt>
                <c:pt idx="74">
                  <c:v>1.6830000000000001</c:v>
                </c:pt>
                <c:pt idx="75">
                  <c:v>1.81</c:v>
                </c:pt>
                <c:pt idx="76">
                  <c:v>1.827</c:v>
                </c:pt>
                <c:pt idx="77">
                  <c:v>1.8140000000000001</c:v>
                </c:pt>
                <c:pt idx="78">
                  <c:v>1.782</c:v>
                </c:pt>
                <c:pt idx="79">
                  <c:v>1.8140000000000001</c:v>
                </c:pt>
                <c:pt idx="80">
                  <c:v>1.8280000000000001</c:v>
                </c:pt>
                <c:pt idx="81">
                  <c:v>1.8129999999999999</c:v>
                </c:pt>
                <c:pt idx="82">
                  <c:v>1.8520000000000001</c:v>
                </c:pt>
                <c:pt idx="83">
                  <c:v>1.8580000000000001</c:v>
                </c:pt>
                <c:pt idx="84">
                  <c:v>1.8049999999999999</c:v>
                </c:pt>
                <c:pt idx="85">
                  <c:v>1.8480000000000001</c:v>
                </c:pt>
                <c:pt idx="86">
                  <c:v>1.8260000000000001</c:v>
                </c:pt>
                <c:pt idx="87">
                  <c:v>1.8440000000000001</c:v>
                </c:pt>
                <c:pt idx="88">
                  <c:v>1.857</c:v>
                </c:pt>
                <c:pt idx="89">
                  <c:v>1.7869999999999999</c:v>
                </c:pt>
                <c:pt idx="90">
                  <c:v>1.8160000000000001</c:v>
                </c:pt>
                <c:pt idx="91">
                  <c:v>1.774</c:v>
                </c:pt>
                <c:pt idx="92">
                  <c:v>1.8180000000000001</c:v>
                </c:pt>
                <c:pt idx="93">
                  <c:v>1.895</c:v>
                </c:pt>
                <c:pt idx="94">
                  <c:v>1.849</c:v>
                </c:pt>
                <c:pt idx="95">
                  <c:v>1.85</c:v>
                </c:pt>
                <c:pt idx="96">
                  <c:v>1.7829999999999999</c:v>
                </c:pt>
                <c:pt idx="97">
                  <c:v>1.8260000000000001</c:v>
                </c:pt>
                <c:pt idx="98">
                  <c:v>1.819</c:v>
                </c:pt>
                <c:pt idx="99">
                  <c:v>1.8360000000000001</c:v>
                </c:pt>
                <c:pt idx="100">
                  <c:v>1.7889999999999999</c:v>
                </c:pt>
                <c:pt idx="101">
                  <c:v>1.69</c:v>
                </c:pt>
                <c:pt idx="103">
                  <c:v>1.8149999999999999</c:v>
                </c:pt>
                <c:pt idx="104">
                  <c:v>1.774</c:v>
                </c:pt>
                <c:pt idx="105">
                  <c:v>1.754</c:v>
                </c:pt>
                <c:pt idx="106">
                  <c:v>1.742</c:v>
                </c:pt>
                <c:pt idx="107">
                  <c:v>1.782</c:v>
                </c:pt>
                <c:pt idx="108">
                  <c:v>1.863</c:v>
                </c:pt>
                <c:pt idx="109">
                  <c:v>1.754</c:v>
                </c:pt>
                <c:pt idx="110">
                  <c:v>1.837</c:v>
                </c:pt>
                <c:pt idx="111">
                  <c:v>1.766</c:v>
                </c:pt>
                <c:pt idx="112">
                  <c:v>1.7869999999999999</c:v>
                </c:pt>
                <c:pt idx="113">
                  <c:v>1.8420000000000001</c:v>
                </c:pt>
                <c:pt idx="114">
                  <c:v>1.8120000000000001</c:v>
                </c:pt>
                <c:pt idx="115">
                  <c:v>1.7390000000000001</c:v>
                </c:pt>
                <c:pt idx="116">
                  <c:v>1.7809999999999999</c:v>
                </c:pt>
                <c:pt idx="117">
                  <c:v>1.7490000000000001</c:v>
                </c:pt>
                <c:pt idx="118">
                  <c:v>1.6</c:v>
                </c:pt>
                <c:pt idx="119">
                  <c:v>1.7829999999999999</c:v>
                </c:pt>
                <c:pt idx="120">
                  <c:v>1.788</c:v>
                </c:pt>
                <c:pt idx="121">
                  <c:v>1.7529999999999999</c:v>
                </c:pt>
                <c:pt idx="122">
                  <c:v>1.7829999999999999</c:v>
                </c:pt>
                <c:pt idx="123">
                  <c:v>1.8129999999999999</c:v>
                </c:pt>
                <c:pt idx="124">
                  <c:v>1.831</c:v>
                </c:pt>
                <c:pt idx="125">
                  <c:v>1.762</c:v>
                </c:pt>
                <c:pt idx="126">
                  <c:v>1.78</c:v>
                </c:pt>
                <c:pt idx="127">
                  <c:v>1.903</c:v>
                </c:pt>
                <c:pt idx="128">
                  <c:v>1.8069999999999999</c:v>
                </c:pt>
              </c:numCache>
            </c:numRef>
          </c:yVal>
          <c:smooth val="0"/>
        </c:ser>
        <c:ser>
          <c:idx val="3"/>
          <c:order val="3"/>
          <c:tx>
            <c:v>NBS19 C</c:v>
          </c:tx>
          <c:spPr>
            <a:ln w="12700" cap="rnd">
              <a:solidFill>
                <a:schemeClr val="accent4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'Curvas massa_P_II'!$AL$20:$AL$21</c:f>
              <c:numCache>
                <c:formatCode>General</c:formatCode>
                <c:ptCount val="2"/>
                <c:pt idx="0">
                  <c:v>0</c:v>
                </c:pt>
                <c:pt idx="1">
                  <c:v>8000</c:v>
                </c:pt>
              </c:numCache>
            </c:numRef>
          </c:xVal>
          <c:yVal>
            <c:numRef>
              <c:f>'Curvas massa_P_II'!$AN$20:$AN$21</c:f>
              <c:numCache>
                <c:formatCode>General</c:formatCode>
                <c:ptCount val="2"/>
                <c:pt idx="0">
                  <c:v>1.95</c:v>
                </c:pt>
                <c:pt idx="1">
                  <c:v>1.95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8029184"/>
        <c:axId val="128029760"/>
      </c:scatterChart>
      <c:scatterChart>
        <c:scatterStyle val="lineMarker"/>
        <c:varyColors val="0"/>
        <c:ser>
          <c:idx val="0"/>
          <c:order val="0"/>
          <c:tx>
            <c:v>d18O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('Curvas massa_P_II'!$AD$7:$AD$33,'Curvas massa_P_II'!$AK$37:$AK$66,'Curvas massa_P_II'!$AM$70:$AM$107,'Curvas massa_P_II'!$AR$113:$AR$146)</c:f>
              <c:numCache>
                <c:formatCode>General</c:formatCode>
                <c:ptCount val="129"/>
                <c:pt idx="0">
                  <c:v>3536</c:v>
                </c:pt>
                <c:pt idx="1">
                  <c:v>4302</c:v>
                </c:pt>
                <c:pt idx="2">
                  <c:v>1138</c:v>
                </c:pt>
                <c:pt idx="3">
                  <c:v>929</c:v>
                </c:pt>
                <c:pt idx="4">
                  <c:v>1564</c:v>
                </c:pt>
                <c:pt idx="5">
                  <c:v>896</c:v>
                </c:pt>
                <c:pt idx="6">
                  <c:v>1580</c:v>
                </c:pt>
                <c:pt idx="7">
                  <c:v>1821</c:v>
                </c:pt>
                <c:pt idx="8">
                  <c:v>1962</c:v>
                </c:pt>
                <c:pt idx="9">
                  <c:v>2070</c:v>
                </c:pt>
                <c:pt idx="10">
                  <c:v>1576</c:v>
                </c:pt>
                <c:pt idx="11">
                  <c:v>2249</c:v>
                </c:pt>
                <c:pt idx="12">
                  <c:v>1873</c:v>
                </c:pt>
                <c:pt idx="13">
                  <c:v>2967</c:v>
                </c:pt>
                <c:pt idx="14">
                  <c:v>2588</c:v>
                </c:pt>
                <c:pt idx="15">
                  <c:v>3470</c:v>
                </c:pt>
                <c:pt idx="16">
                  <c:v>2395</c:v>
                </c:pt>
                <c:pt idx="17">
                  <c:v>3492</c:v>
                </c:pt>
                <c:pt idx="18">
                  <c:v>2649</c:v>
                </c:pt>
                <c:pt idx="19">
                  <c:v>3509</c:v>
                </c:pt>
                <c:pt idx="20">
                  <c:v>2735</c:v>
                </c:pt>
                <c:pt idx="21">
                  <c:v>3965</c:v>
                </c:pt>
                <c:pt idx="22">
                  <c:v>4012</c:v>
                </c:pt>
                <c:pt idx="23">
                  <c:v>4099</c:v>
                </c:pt>
                <c:pt idx="24">
                  <c:v>4548</c:v>
                </c:pt>
                <c:pt idx="25">
                  <c:v>3813</c:v>
                </c:pt>
                <c:pt idx="26">
                  <c:v>3677</c:v>
                </c:pt>
                <c:pt idx="27">
                  <c:v>3008</c:v>
                </c:pt>
                <c:pt idx="28">
                  <c:v>1408</c:v>
                </c:pt>
                <c:pt idx="29">
                  <c:v>2777</c:v>
                </c:pt>
                <c:pt idx="30">
                  <c:v>2438</c:v>
                </c:pt>
                <c:pt idx="31">
                  <c:v>2354</c:v>
                </c:pt>
                <c:pt idx="32">
                  <c:v>3878</c:v>
                </c:pt>
                <c:pt idx="33">
                  <c:v>2482</c:v>
                </c:pt>
                <c:pt idx="34">
                  <c:v>2312</c:v>
                </c:pt>
                <c:pt idx="35">
                  <c:v>2521</c:v>
                </c:pt>
                <c:pt idx="36">
                  <c:v>2964</c:v>
                </c:pt>
                <c:pt idx="37">
                  <c:v>5338</c:v>
                </c:pt>
                <c:pt idx="38">
                  <c:v>4035</c:v>
                </c:pt>
                <c:pt idx="39">
                  <c:v>4700</c:v>
                </c:pt>
                <c:pt idx="40">
                  <c:v>3735</c:v>
                </c:pt>
                <c:pt idx="41">
                  <c:v>4962</c:v>
                </c:pt>
                <c:pt idx="42">
                  <c:v>3039</c:v>
                </c:pt>
                <c:pt idx="43">
                  <c:v>4485</c:v>
                </c:pt>
                <c:pt idx="44">
                  <c:v>3269</c:v>
                </c:pt>
                <c:pt idx="45">
                  <c:v>3258</c:v>
                </c:pt>
                <c:pt idx="46">
                  <c:v>5402</c:v>
                </c:pt>
                <c:pt idx="47">
                  <c:v>4968</c:v>
                </c:pt>
                <c:pt idx="48">
                  <c:v>5306</c:v>
                </c:pt>
                <c:pt idx="49">
                  <c:v>6327</c:v>
                </c:pt>
                <c:pt idx="50">
                  <c:v>5331</c:v>
                </c:pt>
                <c:pt idx="51">
                  <c:v>6036</c:v>
                </c:pt>
                <c:pt idx="52">
                  <c:v>6087</c:v>
                </c:pt>
                <c:pt idx="53">
                  <c:v>5487</c:v>
                </c:pt>
                <c:pt idx="54">
                  <c:v>5278</c:v>
                </c:pt>
                <c:pt idx="55">
                  <c:v>5949</c:v>
                </c:pt>
                <c:pt idx="56">
                  <c:v>5227</c:v>
                </c:pt>
                <c:pt idx="57">
                  <c:v>5288</c:v>
                </c:pt>
                <c:pt idx="58">
                  <c:v>4185</c:v>
                </c:pt>
                <c:pt idx="59">
                  <c:v>4819</c:v>
                </c:pt>
                <c:pt idx="60">
                  <c:v>3798</c:v>
                </c:pt>
                <c:pt idx="61">
                  <c:v>5318</c:v>
                </c:pt>
                <c:pt idx="62">
                  <c:v>4843</c:v>
                </c:pt>
                <c:pt idx="63">
                  <c:v>4041</c:v>
                </c:pt>
                <c:pt idx="64">
                  <c:v>4041</c:v>
                </c:pt>
                <c:pt idx="65">
                  <c:v>4030</c:v>
                </c:pt>
                <c:pt idx="66">
                  <c:v>3124</c:v>
                </c:pt>
                <c:pt idx="67">
                  <c:v>3117</c:v>
                </c:pt>
                <c:pt idx="68">
                  <c:v>4191</c:v>
                </c:pt>
                <c:pt idx="69">
                  <c:v>5869</c:v>
                </c:pt>
                <c:pt idx="70">
                  <c:v>5413</c:v>
                </c:pt>
                <c:pt idx="71">
                  <c:v>4910</c:v>
                </c:pt>
                <c:pt idx="72">
                  <c:v>5233</c:v>
                </c:pt>
                <c:pt idx="73">
                  <c:v>5338</c:v>
                </c:pt>
                <c:pt idx="74">
                  <c:v>4704</c:v>
                </c:pt>
                <c:pt idx="75">
                  <c:v>6705</c:v>
                </c:pt>
                <c:pt idx="76">
                  <c:v>5079</c:v>
                </c:pt>
                <c:pt idx="77">
                  <c:v>4824</c:v>
                </c:pt>
                <c:pt idx="78">
                  <c:v>6399</c:v>
                </c:pt>
                <c:pt idx="79">
                  <c:v>4700</c:v>
                </c:pt>
                <c:pt idx="80">
                  <c:v>5616</c:v>
                </c:pt>
                <c:pt idx="81">
                  <c:v>7323</c:v>
                </c:pt>
                <c:pt idx="82">
                  <c:v>6884</c:v>
                </c:pt>
                <c:pt idx="83">
                  <c:v>5572</c:v>
                </c:pt>
                <c:pt idx="84">
                  <c:v>6917</c:v>
                </c:pt>
                <c:pt idx="85">
                  <c:v>6480</c:v>
                </c:pt>
                <c:pt idx="86">
                  <c:v>6314</c:v>
                </c:pt>
                <c:pt idx="87">
                  <c:v>3831</c:v>
                </c:pt>
                <c:pt idx="88">
                  <c:v>6474</c:v>
                </c:pt>
                <c:pt idx="89">
                  <c:v>6345</c:v>
                </c:pt>
                <c:pt idx="90">
                  <c:v>5639</c:v>
                </c:pt>
                <c:pt idx="91">
                  <c:v>3172</c:v>
                </c:pt>
                <c:pt idx="92">
                  <c:v>3219</c:v>
                </c:pt>
                <c:pt idx="93">
                  <c:v>2823</c:v>
                </c:pt>
                <c:pt idx="94">
                  <c:v>2729</c:v>
                </c:pt>
                <c:pt idx="95">
                  <c:v>3708</c:v>
                </c:pt>
                <c:pt idx="96">
                  <c:v>4166</c:v>
                </c:pt>
                <c:pt idx="97">
                  <c:v>3358</c:v>
                </c:pt>
                <c:pt idx="98">
                  <c:v>4364</c:v>
                </c:pt>
                <c:pt idx="99">
                  <c:v>4098</c:v>
                </c:pt>
                <c:pt idx="100">
                  <c:v>4238</c:v>
                </c:pt>
                <c:pt idx="101">
                  <c:v>7750</c:v>
                </c:pt>
                <c:pt idx="103">
                  <c:v>5145</c:v>
                </c:pt>
                <c:pt idx="104">
                  <c:v>5033</c:v>
                </c:pt>
                <c:pt idx="105">
                  <c:v>5077</c:v>
                </c:pt>
                <c:pt idx="106">
                  <c:v>5355</c:v>
                </c:pt>
                <c:pt idx="107">
                  <c:v>4647</c:v>
                </c:pt>
                <c:pt idx="108">
                  <c:v>3561</c:v>
                </c:pt>
                <c:pt idx="109">
                  <c:v>3770</c:v>
                </c:pt>
                <c:pt idx="110">
                  <c:v>4508</c:v>
                </c:pt>
                <c:pt idx="111">
                  <c:v>3089</c:v>
                </c:pt>
                <c:pt idx="112">
                  <c:v>4146</c:v>
                </c:pt>
                <c:pt idx="113">
                  <c:v>4515</c:v>
                </c:pt>
                <c:pt idx="114">
                  <c:v>4345</c:v>
                </c:pt>
                <c:pt idx="115">
                  <c:v>3012</c:v>
                </c:pt>
                <c:pt idx="116">
                  <c:v>4495</c:v>
                </c:pt>
                <c:pt idx="117">
                  <c:v>3785</c:v>
                </c:pt>
                <c:pt idx="118">
                  <c:v>3597</c:v>
                </c:pt>
                <c:pt idx="119">
                  <c:v>3476</c:v>
                </c:pt>
                <c:pt idx="120">
                  <c:v>2934</c:v>
                </c:pt>
                <c:pt idx="121">
                  <c:v>5007</c:v>
                </c:pt>
                <c:pt idx="122">
                  <c:v>3959</c:v>
                </c:pt>
                <c:pt idx="123">
                  <c:v>4431</c:v>
                </c:pt>
                <c:pt idx="124">
                  <c:v>4278</c:v>
                </c:pt>
                <c:pt idx="125">
                  <c:v>4776</c:v>
                </c:pt>
                <c:pt idx="126">
                  <c:v>4317</c:v>
                </c:pt>
                <c:pt idx="127">
                  <c:v>3916</c:v>
                </c:pt>
                <c:pt idx="128">
                  <c:v>3332</c:v>
                </c:pt>
              </c:numCache>
            </c:numRef>
          </c:xVal>
          <c:yVal>
            <c:numRef>
              <c:f>('Curvas massa_P_II'!$F$7:$F$33,'Curvas massa_P_II'!$J$37:$J$66,'Curvas massa_P_II'!$H$70:$H$107,'Curvas massa_P_II'!$J$113:$J$146)</c:f>
              <c:numCache>
                <c:formatCode>General</c:formatCode>
                <c:ptCount val="129"/>
                <c:pt idx="0">
                  <c:v>-2.3879999999999999</c:v>
                </c:pt>
                <c:pt idx="1">
                  <c:v>-2.427</c:v>
                </c:pt>
                <c:pt idx="2">
                  <c:v>-2.238</c:v>
                </c:pt>
                <c:pt idx="3">
                  <c:v>-2.8780000000000001</c:v>
                </c:pt>
                <c:pt idx="4">
                  <c:v>-2.6259999999999999</c:v>
                </c:pt>
                <c:pt idx="5">
                  <c:v>-2.9790000000000001</c:v>
                </c:pt>
                <c:pt idx="6">
                  <c:v>-2.4540000000000002</c:v>
                </c:pt>
                <c:pt idx="7">
                  <c:v>-2.702</c:v>
                </c:pt>
                <c:pt idx="8">
                  <c:v>-2.4990000000000001</c:v>
                </c:pt>
                <c:pt idx="9">
                  <c:v>-2.7919999999999998</c:v>
                </c:pt>
                <c:pt idx="10">
                  <c:v>-2.407</c:v>
                </c:pt>
                <c:pt idx="11">
                  <c:v>-2.6280000000000001</c:v>
                </c:pt>
                <c:pt idx="12">
                  <c:v>-2.5179999999999998</c:v>
                </c:pt>
                <c:pt idx="13">
                  <c:v>-2.4089999999999998</c:v>
                </c:pt>
                <c:pt idx="14">
                  <c:v>-2.431</c:v>
                </c:pt>
                <c:pt idx="15">
                  <c:v>-2.4969999999999999</c:v>
                </c:pt>
                <c:pt idx="16">
                  <c:v>-2.6080000000000001</c:v>
                </c:pt>
                <c:pt idx="17">
                  <c:v>-2.431</c:v>
                </c:pt>
                <c:pt idx="18">
                  <c:v>-2.46</c:v>
                </c:pt>
                <c:pt idx="19">
                  <c:v>-2.4609999999999999</c:v>
                </c:pt>
                <c:pt idx="20">
                  <c:v>-2.7360000000000002</c:v>
                </c:pt>
                <c:pt idx="21">
                  <c:v>-2.5840000000000001</c:v>
                </c:pt>
                <c:pt idx="22">
                  <c:v>-2.4790000000000001</c:v>
                </c:pt>
                <c:pt idx="23">
                  <c:v>-2.4929999999999999</c:v>
                </c:pt>
                <c:pt idx="24">
                  <c:v>-2.4550000000000001</c:v>
                </c:pt>
                <c:pt idx="25">
                  <c:v>-2.4990000000000001</c:v>
                </c:pt>
                <c:pt idx="26">
                  <c:v>-2.552</c:v>
                </c:pt>
                <c:pt idx="27">
                  <c:v>-2.5609999999999999</c:v>
                </c:pt>
                <c:pt idx="28">
                  <c:v>-2.5870000000000002</c:v>
                </c:pt>
                <c:pt idx="29">
                  <c:v>-2.609</c:v>
                </c:pt>
                <c:pt idx="30">
                  <c:v>-2.698</c:v>
                </c:pt>
                <c:pt idx="31">
                  <c:v>-2.4780000000000002</c:v>
                </c:pt>
                <c:pt idx="32">
                  <c:v>-2.484</c:v>
                </c:pt>
                <c:pt idx="33">
                  <c:v>-2.532</c:v>
                </c:pt>
                <c:pt idx="34">
                  <c:v>-2.661</c:v>
                </c:pt>
                <c:pt idx="35">
                  <c:v>-2.5840000000000001</c:v>
                </c:pt>
                <c:pt idx="36">
                  <c:v>-2.621</c:v>
                </c:pt>
                <c:pt idx="37">
                  <c:v>-2.4609999999999999</c:v>
                </c:pt>
                <c:pt idx="38">
                  <c:v>-2.548</c:v>
                </c:pt>
                <c:pt idx="39">
                  <c:v>-2.5139999999999998</c:v>
                </c:pt>
                <c:pt idx="40">
                  <c:v>-2.4929999999999999</c:v>
                </c:pt>
                <c:pt idx="41">
                  <c:v>-2.4990000000000001</c:v>
                </c:pt>
                <c:pt idx="42">
                  <c:v>-2.4940000000000002</c:v>
                </c:pt>
                <c:pt idx="43">
                  <c:v>-2.4380000000000002</c:v>
                </c:pt>
                <c:pt idx="44">
                  <c:v>-2.4089999999999998</c:v>
                </c:pt>
                <c:pt idx="45">
                  <c:v>-2.62</c:v>
                </c:pt>
                <c:pt idx="46">
                  <c:v>-2.464</c:v>
                </c:pt>
                <c:pt idx="47">
                  <c:v>-2.5470000000000002</c:v>
                </c:pt>
                <c:pt idx="48">
                  <c:v>-2.5169999999999999</c:v>
                </c:pt>
                <c:pt idx="49">
                  <c:v>-2.3730000000000002</c:v>
                </c:pt>
                <c:pt idx="50">
                  <c:v>-2.3809999999999998</c:v>
                </c:pt>
                <c:pt idx="51">
                  <c:v>-2.5070000000000001</c:v>
                </c:pt>
                <c:pt idx="52">
                  <c:v>-2.4289999999999998</c:v>
                </c:pt>
                <c:pt idx="53">
                  <c:v>-2.5099999999999998</c:v>
                </c:pt>
                <c:pt idx="54">
                  <c:v>-2.4780000000000002</c:v>
                </c:pt>
                <c:pt idx="55">
                  <c:v>-2.4830000000000001</c:v>
                </c:pt>
                <c:pt idx="56">
                  <c:v>-2.4470000000000001</c:v>
                </c:pt>
                <c:pt idx="57">
                  <c:v>-2.3119999999999998</c:v>
                </c:pt>
                <c:pt idx="58">
                  <c:v>-2.415</c:v>
                </c:pt>
                <c:pt idx="59">
                  <c:v>-2.4670000000000001</c:v>
                </c:pt>
                <c:pt idx="60">
                  <c:v>-2.5569999999999999</c:v>
                </c:pt>
                <c:pt idx="61">
                  <c:v>-2.5179999999999998</c:v>
                </c:pt>
                <c:pt idx="62">
                  <c:v>-2.472</c:v>
                </c:pt>
                <c:pt idx="63">
                  <c:v>-2.5150000000000001</c:v>
                </c:pt>
                <c:pt idx="64">
                  <c:v>-2.496</c:v>
                </c:pt>
                <c:pt idx="65">
                  <c:v>-2.5470000000000002</c:v>
                </c:pt>
                <c:pt idx="66">
                  <c:v>-2.6360000000000001</c:v>
                </c:pt>
                <c:pt idx="67">
                  <c:v>-2.5529999999999999</c:v>
                </c:pt>
                <c:pt idx="68">
                  <c:v>-2.4809999999999999</c:v>
                </c:pt>
                <c:pt idx="69">
                  <c:v>-2.5470000000000002</c:v>
                </c:pt>
                <c:pt idx="70">
                  <c:v>-2.5499999999999998</c:v>
                </c:pt>
                <c:pt idx="71">
                  <c:v>-2.609</c:v>
                </c:pt>
                <c:pt idx="72">
                  <c:v>-2.5209999999999999</c:v>
                </c:pt>
                <c:pt idx="73">
                  <c:v>-2.548</c:v>
                </c:pt>
                <c:pt idx="74">
                  <c:v>-2.2410000000000001</c:v>
                </c:pt>
                <c:pt idx="75">
                  <c:v>-2.5129999999999999</c:v>
                </c:pt>
                <c:pt idx="76">
                  <c:v>-2.5459999999999998</c:v>
                </c:pt>
                <c:pt idx="77">
                  <c:v>-2.552</c:v>
                </c:pt>
                <c:pt idx="78">
                  <c:v>-2.5310000000000001</c:v>
                </c:pt>
                <c:pt idx="79">
                  <c:v>-2.5670000000000002</c:v>
                </c:pt>
                <c:pt idx="80">
                  <c:v>-2.5139999999999998</c:v>
                </c:pt>
                <c:pt idx="81">
                  <c:v>-2.468</c:v>
                </c:pt>
                <c:pt idx="82">
                  <c:v>-2.3759999999999999</c:v>
                </c:pt>
                <c:pt idx="83">
                  <c:v>-2.4039999999999999</c:v>
                </c:pt>
                <c:pt idx="84">
                  <c:v>-2.4620000000000002</c:v>
                </c:pt>
                <c:pt idx="85">
                  <c:v>-2.4140000000000001</c:v>
                </c:pt>
                <c:pt idx="86">
                  <c:v>-2.3959999999999999</c:v>
                </c:pt>
                <c:pt idx="87">
                  <c:v>-2.4279999999999999</c:v>
                </c:pt>
                <c:pt idx="88">
                  <c:v>-2.38</c:v>
                </c:pt>
                <c:pt idx="89">
                  <c:v>-2.161</c:v>
                </c:pt>
                <c:pt idx="90">
                  <c:v>-2.5299999999999998</c:v>
                </c:pt>
                <c:pt idx="91">
                  <c:v>-2.621</c:v>
                </c:pt>
                <c:pt idx="92">
                  <c:v>-2.4020000000000001</c:v>
                </c:pt>
                <c:pt idx="93">
                  <c:v>-2.573</c:v>
                </c:pt>
                <c:pt idx="94">
                  <c:v>-2.5590000000000002</c:v>
                </c:pt>
                <c:pt idx="95">
                  <c:v>-2.3639999999999999</c:v>
                </c:pt>
                <c:pt idx="96">
                  <c:v>-2.496</c:v>
                </c:pt>
                <c:pt idx="97">
                  <c:v>-2.4609999999999999</c:v>
                </c:pt>
                <c:pt idx="98">
                  <c:v>-2.5529999999999999</c:v>
                </c:pt>
                <c:pt idx="99">
                  <c:v>-2.496</c:v>
                </c:pt>
                <c:pt idx="100">
                  <c:v>-2.5030000000000001</c:v>
                </c:pt>
                <c:pt idx="101">
                  <c:v>-2.4710000000000001</c:v>
                </c:pt>
                <c:pt idx="103">
                  <c:v>-2.38</c:v>
                </c:pt>
                <c:pt idx="104">
                  <c:v>-2.5569999999999999</c:v>
                </c:pt>
                <c:pt idx="105">
                  <c:v>-2.5289999999999999</c:v>
                </c:pt>
                <c:pt idx="106">
                  <c:v>-2.5710000000000002</c:v>
                </c:pt>
                <c:pt idx="107">
                  <c:v>-2.6469999999999998</c:v>
                </c:pt>
                <c:pt idx="108">
                  <c:v>-2.67</c:v>
                </c:pt>
                <c:pt idx="109">
                  <c:v>-2.577</c:v>
                </c:pt>
                <c:pt idx="110">
                  <c:v>-2.5190000000000001</c:v>
                </c:pt>
                <c:pt idx="111">
                  <c:v>-2.6579999999999999</c:v>
                </c:pt>
                <c:pt idx="112">
                  <c:v>-2.5059999999999998</c:v>
                </c:pt>
                <c:pt idx="113">
                  <c:v>-2.5750000000000002</c:v>
                </c:pt>
                <c:pt idx="114">
                  <c:v>-2.5329999999999999</c:v>
                </c:pt>
                <c:pt idx="115">
                  <c:v>-2.782</c:v>
                </c:pt>
                <c:pt idx="116">
                  <c:v>-2.5409999999999999</c:v>
                </c:pt>
                <c:pt idx="117">
                  <c:v>-2.734</c:v>
                </c:pt>
                <c:pt idx="118">
                  <c:v>-2.887</c:v>
                </c:pt>
                <c:pt idx="119">
                  <c:v>-2.7130000000000001</c:v>
                </c:pt>
                <c:pt idx="120">
                  <c:v>-2.633</c:v>
                </c:pt>
                <c:pt idx="121">
                  <c:v>-2.7050000000000001</c:v>
                </c:pt>
                <c:pt idx="122">
                  <c:v>-2.7519999999999998</c:v>
                </c:pt>
                <c:pt idx="123">
                  <c:v>-2.581</c:v>
                </c:pt>
                <c:pt idx="124">
                  <c:v>-2.5259999999999998</c:v>
                </c:pt>
                <c:pt idx="125">
                  <c:v>-2.6240000000000001</c:v>
                </c:pt>
                <c:pt idx="126">
                  <c:v>-2.5680000000000001</c:v>
                </c:pt>
                <c:pt idx="127">
                  <c:v>-2.1389999999999998</c:v>
                </c:pt>
                <c:pt idx="128">
                  <c:v>-2.68</c:v>
                </c:pt>
              </c:numCache>
            </c:numRef>
          </c:yVal>
          <c:smooth val="0"/>
        </c:ser>
        <c:ser>
          <c:idx val="1"/>
          <c:order val="2"/>
          <c:tx>
            <c:v>NBS19 O</c:v>
          </c:tx>
          <c:spPr>
            <a:ln w="12700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'Curvas massa_P_II'!$AL$20:$AL$21</c:f>
              <c:numCache>
                <c:formatCode>General</c:formatCode>
                <c:ptCount val="2"/>
                <c:pt idx="0">
                  <c:v>0</c:v>
                </c:pt>
                <c:pt idx="1">
                  <c:v>8000</c:v>
                </c:pt>
              </c:numCache>
            </c:numRef>
          </c:xVal>
          <c:yVal>
            <c:numRef>
              <c:f>'Curvas massa_P_II'!$AM$20:$AM$21</c:f>
              <c:numCache>
                <c:formatCode>General</c:formatCode>
                <c:ptCount val="2"/>
                <c:pt idx="0">
                  <c:v>-2.2000000000000002</c:v>
                </c:pt>
                <c:pt idx="1">
                  <c:v>-2.2000000000000002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8030912"/>
        <c:axId val="128030336"/>
      </c:scatterChart>
      <c:valAx>
        <c:axId val="128029184"/>
        <c:scaling>
          <c:orientation val="minMax"/>
          <c:max val="80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Initial Int</a:t>
                </a:r>
                <a:r>
                  <a:rPr lang="pt-BR" baseline="0"/>
                  <a:t> (mV)</a:t>
                </a:r>
                <a:endParaRPr lang="pt-BR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8029760"/>
        <c:crosses val="autoZero"/>
        <c:crossBetween val="midCat"/>
      </c:valAx>
      <c:valAx>
        <c:axId val="128029760"/>
        <c:scaling>
          <c:orientation val="minMax"/>
          <c:max val="3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d13C (%o)</a:t>
                </a:r>
              </a:p>
            </c:rich>
          </c:tx>
          <c:layout>
            <c:manualLayout>
              <c:xMode val="edge"/>
              <c:yMode val="edge"/>
              <c:x val="2.1581263880476501E-2"/>
              <c:y val="0.37772382618839301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8029184"/>
        <c:crosses val="autoZero"/>
        <c:crossBetween val="midCat"/>
      </c:valAx>
      <c:valAx>
        <c:axId val="128030336"/>
        <c:scaling>
          <c:orientation val="minMax"/>
          <c:max val="0"/>
          <c:min val="-8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d18O (%o)</a:t>
                </a:r>
              </a:p>
            </c:rich>
          </c:tx>
          <c:layout>
            <c:manualLayout>
              <c:xMode val="edge"/>
              <c:yMode val="edge"/>
              <c:x val="0.94196789824348903"/>
              <c:y val="0.37171660834062398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8030912"/>
        <c:crosses val="max"/>
        <c:crossBetween val="midCat"/>
      </c:valAx>
      <c:valAx>
        <c:axId val="12803091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280303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5081714785651801"/>
          <c:y val="0.12962962962963001"/>
          <c:w val="0.793293963254593"/>
          <c:h val="0.70183654126567496"/>
        </c:manualLayout>
      </c:layout>
      <c:scatterChart>
        <c:scatterStyle val="lineMarker"/>
        <c:varyColors val="0"/>
        <c:ser>
          <c:idx val="0"/>
          <c:order val="0"/>
          <c:tx>
            <c:v>NBS19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0.20536676688081201"/>
                  <c:y val="0.2018748983810650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numRef>
              <c:f>('Curvas massa_P_II'!$AG$7:$AG$33,'Curvas massa_P_II'!$AJ$37:$AJ$66,'Curvas massa_P_II'!$AP$70:$AP$107,'Curvas massa_P_II'!$AV$113:$AV$146)</c:f>
              <c:numCache>
                <c:formatCode>General</c:formatCode>
                <c:ptCount val="129"/>
                <c:pt idx="0">
                  <c:v>27</c:v>
                </c:pt>
                <c:pt idx="1">
                  <c:v>27</c:v>
                </c:pt>
                <c:pt idx="2">
                  <c:v>9</c:v>
                </c:pt>
                <c:pt idx="3">
                  <c:v>9</c:v>
                </c:pt>
                <c:pt idx="4">
                  <c:v>9</c:v>
                </c:pt>
                <c:pt idx="5">
                  <c:v>9</c:v>
                </c:pt>
                <c:pt idx="6">
                  <c:v>18</c:v>
                </c:pt>
                <c:pt idx="7">
                  <c:v>18</c:v>
                </c:pt>
                <c:pt idx="8">
                  <c:v>18</c:v>
                </c:pt>
                <c:pt idx="9">
                  <c:v>18</c:v>
                </c:pt>
                <c:pt idx="10">
                  <c:v>18</c:v>
                </c:pt>
                <c:pt idx="11">
                  <c:v>18</c:v>
                </c:pt>
                <c:pt idx="12">
                  <c:v>18</c:v>
                </c:pt>
                <c:pt idx="13">
                  <c:v>27</c:v>
                </c:pt>
                <c:pt idx="14">
                  <c:v>27</c:v>
                </c:pt>
                <c:pt idx="15">
                  <c:v>27</c:v>
                </c:pt>
                <c:pt idx="16">
                  <c:v>27</c:v>
                </c:pt>
                <c:pt idx="17">
                  <c:v>27</c:v>
                </c:pt>
                <c:pt idx="18">
                  <c:v>27</c:v>
                </c:pt>
                <c:pt idx="19">
                  <c:v>27</c:v>
                </c:pt>
                <c:pt idx="20">
                  <c:v>27</c:v>
                </c:pt>
                <c:pt idx="21">
                  <c:v>36</c:v>
                </c:pt>
                <c:pt idx="22">
                  <c:v>36</c:v>
                </c:pt>
                <c:pt idx="23">
                  <c:v>36</c:v>
                </c:pt>
                <c:pt idx="24">
                  <c:v>36</c:v>
                </c:pt>
                <c:pt idx="25">
                  <c:v>36</c:v>
                </c:pt>
                <c:pt idx="26">
                  <c:v>36</c:v>
                </c:pt>
                <c:pt idx="27">
                  <c:v>27</c:v>
                </c:pt>
                <c:pt idx="28">
                  <c:v>27</c:v>
                </c:pt>
                <c:pt idx="29">
                  <c:v>27</c:v>
                </c:pt>
                <c:pt idx="30">
                  <c:v>27</c:v>
                </c:pt>
                <c:pt idx="31">
                  <c:v>27</c:v>
                </c:pt>
                <c:pt idx="32">
                  <c:v>27</c:v>
                </c:pt>
                <c:pt idx="33">
                  <c:v>27</c:v>
                </c:pt>
                <c:pt idx="34">
                  <c:v>27</c:v>
                </c:pt>
                <c:pt idx="35">
                  <c:v>27</c:v>
                </c:pt>
                <c:pt idx="36">
                  <c:v>27</c:v>
                </c:pt>
                <c:pt idx="37">
                  <c:v>36</c:v>
                </c:pt>
                <c:pt idx="38">
                  <c:v>36</c:v>
                </c:pt>
                <c:pt idx="39">
                  <c:v>36</c:v>
                </c:pt>
                <c:pt idx="40">
                  <c:v>36</c:v>
                </c:pt>
                <c:pt idx="41">
                  <c:v>36</c:v>
                </c:pt>
                <c:pt idx="42">
                  <c:v>36</c:v>
                </c:pt>
                <c:pt idx="43">
                  <c:v>36</c:v>
                </c:pt>
                <c:pt idx="44">
                  <c:v>36</c:v>
                </c:pt>
                <c:pt idx="45">
                  <c:v>36</c:v>
                </c:pt>
                <c:pt idx="46">
                  <c:v>36</c:v>
                </c:pt>
                <c:pt idx="47">
                  <c:v>45</c:v>
                </c:pt>
                <c:pt idx="48">
                  <c:v>45</c:v>
                </c:pt>
                <c:pt idx="49">
                  <c:v>45</c:v>
                </c:pt>
                <c:pt idx="50">
                  <c:v>45</c:v>
                </c:pt>
                <c:pt idx="51">
                  <c:v>45</c:v>
                </c:pt>
                <c:pt idx="52">
                  <c:v>45</c:v>
                </c:pt>
                <c:pt idx="53">
                  <c:v>45</c:v>
                </c:pt>
                <c:pt idx="54">
                  <c:v>45</c:v>
                </c:pt>
                <c:pt idx="55">
                  <c:v>45</c:v>
                </c:pt>
                <c:pt idx="56">
                  <c:v>45</c:v>
                </c:pt>
                <c:pt idx="57">
                  <c:v>36</c:v>
                </c:pt>
                <c:pt idx="58">
                  <c:v>36</c:v>
                </c:pt>
                <c:pt idx="59">
                  <c:v>36</c:v>
                </c:pt>
                <c:pt idx="60">
                  <c:v>36</c:v>
                </c:pt>
                <c:pt idx="61">
                  <c:v>36</c:v>
                </c:pt>
                <c:pt idx="62">
                  <c:v>36</c:v>
                </c:pt>
                <c:pt idx="63">
                  <c:v>36</c:v>
                </c:pt>
                <c:pt idx="64">
                  <c:v>36</c:v>
                </c:pt>
                <c:pt idx="65">
                  <c:v>36</c:v>
                </c:pt>
                <c:pt idx="66">
                  <c:v>36</c:v>
                </c:pt>
                <c:pt idx="67">
                  <c:v>36</c:v>
                </c:pt>
                <c:pt idx="68">
                  <c:v>36</c:v>
                </c:pt>
                <c:pt idx="69">
                  <c:v>45</c:v>
                </c:pt>
                <c:pt idx="70">
                  <c:v>45</c:v>
                </c:pt>
                <c:pt idx="71">
                  <c:v>45</c:v>
                </c:pt>
                <c:pt idx="72">
                  <c:v>45</c:v>
                </c:pt>
                <c:pt idx="73">
                  <c:v>45</c:v>
                </c:pt>
                <c:pt idx="74">
                  <c:v>45</c:v>
                </c:pt>
                <c:pt idx="75">
                  <c:v>45</c:v>
                </c:pt>
                <c:pt idx="76">
                  <c:v>45</c:v>
                </c:pt>
                <c:pt idx="77">
                  <c:v>45</c:v>
                </c:pt>
                <c:pt idx="78">
                  <c:v>45</c:v>
                </c:pt>
                <c:pt idx="79">
                  <c:v>45</c:v>
                </c:pt>
                <c:pt idx="80">
                  <c:v>54</c:v>
                </c:pt>
                <c:pt idx="81">
                  <c:v>54</c:v>
                </c:pt>
                <c:pt idx="82">
                  <c:v>54</c:v>
                </c:pt>
                <c:pt idx="83">
                  <c:v>54</c:v>
                </c:pt>
                <c:pt idx="84">
                  <c:v>54</c:v>
                </c:pt>
                <c:pt idx="85">
                  <c:v>54</c:v>
                </c:pt>
                <c:pt idx="86">
                  <c:v>54</c:v>
                </c:pt>
                <c:pt idx="87">
                  <c:v>54</c:v>
                </c:pt>
                <c:pt idx="88">
                  <c:v>54</c:v>
                </c:pt>
                <c:pt idx="89">
                  <c:v>54</c:v>
                </c:pt>
                <c:pt idx="90">
                  <c:v>54</c:v>
                </c:pt>
                <c:pt idx="91">
                  <c:v>27</c:v>
                </c:pt>
                <c:pt idx="92">
                  <c:v>27</c:v>
                </c:pt>
                <c:pt idx="93">
                  <c:v>27</c:v>
                </c:pt>
                <c:pt idx="94">
                  <c:v>27</c:v>
                </c:pt>
                <c:pt idx="95">
                  <c:v>36</c:v>
                </c:pt>
                <c:pt idx="96">
                  <c:v>36</c:v>
                </c:pt>
                <c:pt idx="97">
                  <c:v>36</c:v>
                </c:pt>
                <c:pt idx="98">
                  <c:v>36</c:v>
                </c:pt>
                <c:pt idx="99">
                  <c:v>36</c:v>
                </c:pt>
                <c:pt idx="100">
                  <c:v>36</c:v>
                </c:pt>
                <c:pt idx="101">
                  <c:v>54</c:v>
                </c:pt>
                <c:pt idx="103">
                  <c:v>36</c:v>
                </c:pt>
                <c:pt idx="104">
                  <c:v>36</c:v>
                </c:pt>
                <c:pt idx="105">
                  <c:v>36</c:v>
                </c:pt>
                <c:pt idx="106">
                  <c:v>36</c:v>
                </c:pt>
                <c:pt idx="107">
                  <c:v>36</c:v>
                </c:pt>
                <c:pt idx="108">
                  <c:v>36</c:v>
                </c:pt>
                <c:pt idx="109">
                  <c:v>36</c:v>
                </c:pt>
                <c:pt idx="110">
                  <c:v>36</c:v>
                </c:pt>
                <c:pt idx="111">
                  <c:v>36</c:v>
                </c:pt>
                <c:pt idx="112">
                  <c:v>36</c:v>
                </c:pt>
                <c:pt idx="113">
                  <c:v>36</c:v>
                </c:pt>
                <c:pt idx="114">
                  <c:v>36</c:v>
                </c:pt>
                <c:pt idx="115">
                  <c:v>36</c:v>
                </c:pt>
                <c:pt idx="116">
                  <c:v>36</c:v>
                </c:pt>
                <c:pt idx="117">
                  <c:v>36</c:v>
                </c:pt>
                <c:pt idx="118">
                  <c:v>36</c:v>
                </c:pt>
                <c:pt idx="119">
                  <c:v>36</c:v>
                </c:pt>
                <c:pt idx="120">
                  <c:v>36</c:v>
                </c:pt>
                <c:pt idx="121">
                  <c:v>36</c:v>
                </c:pt>
                <c:pt idx="122">
                  <c:v>36</c:v>
                </c:pt>
                <c:pt idx="123">
                  <c:v>36</c:v>
                </c:pt>
                <c:pt idx="124">
                  <c:v>36</c:v>
                </c:pt>
                <c:pt idx="125">
                  <c:v>36</c:v>
                </c:pt>
                <c:pt idx="126">
                  <c:v>36</c:v>
                </c:pt>
                <c:pt idx="127">
                  <c:v>36</c:v>
                </c:pt>
                <c:pt idx="128">
                  <c:v>36</c:v>
                </c:pt>
              </c:numCache>
            </c:numRef>
          </c:xVal>
          <c:yVal>
            <c:numRef>
              <c:f>('Curvas massa_P_II'!$AC$7:$AC$33,'Curvas massa_P_II'!$AI$37:$AI$66,'Curvas massa_P_II'!$AK$70:$AK$107,'Curvas massa_P_II'!$AQ$113:$AQ$146)</c:f>
              <c:numCache>
                <c:formatCode>General</c:formatCode>
                <c:ptCount val="129"/>
                <c:pt idx="0">
                  <c:v>795</c:v>
                </c:pt>
                <c:pt idx="1">
                  <c:v>841</c:v>
                </c:pt>
                <c:pt idx="2">
                  <c:v>466</c:v>
                </c:pt>
                <c:pt idx="3">
                  <c:v>434</c:v>
                </c:pt>
                <c:pt idx="4">
                  <c:v>558</c:v>
                </c:pt>
                <c:pt idx="5">
                  <c:v>402</c:v>
                </c:pt>
                <c:pt idx="6">
                  <c:v>554</c:v>
                </c:pt>
                <c:pt idx="7">
                  <c:v>593</c:v>
                </c:pt>
                <c:pt idx="8">
                  <c:v>621</c:v>
                </c:pt>
                <c:pt idx="9">
                  <c:v>618</c:v>
                </c:pt>
                <c:pt idx="10">
                  <c:v>568</c:v>
                </c:pt>
                <c:pt idx="11">
                  <c:v>660</c:v>
                </c:pt>
                <c:pt idx="12">
                  <c:v>636</c:v>
                </c:pt>
                <c:pt idx="13">
                  <c:v>760</c:v>
                </c:pt>
                <c:pt idx="14">
                  <c:v>728</c:v>
                </c:pt>
                <c:pt idx="15">
                  <c:v>823</c:v>
                </c:pt>
                <c:pt idx="16">
                  <c:v>714</c:v>
                </c:pt>
                <c:pt idx="17">
                  <c:v>823</c:v>
                </c:pt>
                <c:pt idx="18">
                  <c:v>742</c:v>
                </c:pt>
                <c:pt idx="19">
                  <c:v>827</c:v>
                </c:pt>
                <c:pt idx="20">
                  <c:v>752</c:v>
                </c:pt>
                <c:pt idx="21">
                  <c:v>880</c:v>
                </c:pt>
                <c:pt idx="22">
                  <c:v>891</c:v>
                </c:pt>
                <c:pt idx="23">
                  <c:v>876</c:v>
                </c:pt>
                <c:pt idx="24">
                  <c:v>919</c:v>
                </c:pt>
                <c:pt idx="25">
                  <c:v>855</c:v>
                </c:pt>
                <c:pt idx="26">
                  <c:v>852</c:v>
                </c:pt>
                <c:pt idx="27">
                  <c:v>731</c:v>
                </c:pt>
                <c:pt idx="28">
                  <c:v>529</c:v>
                </c:pt>
                <c:pt idx="29">
                  <c:v>710</c:v>
                </c:pt>
                <c:pt idx="30">
                  <c:v>671</c:v>
                </c:pt>
                <c:pt idx="31">
                  <c:v>678</c:v>
                </c:pt>
                <c:pt idx="32">
                  <c:v>813</c:v>
                </c:pt>
                <c:pt idx="33">
                  <c:v>721</c:v>
                </c:pt>
                <c:pt idx="34">
                  <c:v>671</c:v>
                </c:pt>
                <c:pt idx="35">
                  <c:v>710</c:v>
                </c:pt>
                <c:pt idx="36">
                  <c:v>745</c:v>
                </c:pt>
                <c:pt idx="37">
                  <c:v>908</c:v>
                </c:pt>
                <c:pt idx="38">
                  <c:v>845</c:v>
                </c:pt>
                <c:pt idx="39">
                  <c:v>894</c:v>
                </c:pt>
                <c:pt idx="40">
                  <c:v>816</c:v>
                </c:pt>
                <c:pt idx="41">
                  <c:v>873</c:v>
                </c:pt>
                <c:pt idx="42">
                  <c:v>745</c:v>
                </c:pt>
                <c:pt idx="43">
                  <c:v>873</c:v>
                </c:pt>
                <c:pt idx="44">
                  <c:v>767</c:v>
                </c:pt>
                <c:pt idx="45">
                  <c:v>756</c:v>
                </c:pt>
                <c:pt idx="46">
                  <c:v>898</c:v>
                </c:pt>
                <c:pt idx="47">
                  <c:v>887</c:v>
                </c:pt>
                <c:pt idx="48">
                  <c:v>901</c:v>
                </c:pt>
                <c:pt idx="49">
                  <c:v>965</c:v>
                </c:pt>
                <c:pt idx="50">
                  <c:v>919</c:v>
                </c:pt>
                <c:pt idx="51">
                  <c:v>976</c:v>
                </c:pt>
                <c:pt idx="52">
                  <c:v>958</c:v>
                </c:pt>
                <c:pt idx="53">
                  <c:v>947</c:v>
                </c:pt>
                <c:pt idx="54">
                  <c:v>944</c:v>
                </c:pt>
                <c:pt idx="55">
                  <c:v>968</c:v>
                </c:pt>
                <c:pt idx="56">
                  <c:v>944</c:v>
                </c:pt>
                <c:pt idx="57">
                  <c:v>848</c:v>
                </c:pt>
                <c:pt idx="58">
                  <c:v>816</c:v>
                </c:pt>
                <c:pt idx="59">
                  <c:v>845</c:v>
                </c:pt>
                <c:pt idx="60">
                  <c:v>760</c:v>
                </c:pt>
                <c:pt idx="61">
                  <c:v>830</c:v>
                </c:pt>
                <c:pt idx="62">
                  <c:v>837</c:v>
                </c:pt>
                <c:pt idx="63">
                  <c:v>806</c:v>
                </c:pt>
                <c:pt idx="64">
                  <c:v>813</c:v>
                </c:pt>
                <c:pt idx="65">
                  <c:v>806</c:v>
                </c:pt>
                <c:pt idx="66">
                  <c:v>745</c:v>
                </c:pt>
                <c:pt idx="67">
                  <c:v>756</c:v>
                </c:pt>
                <c:pt idx="68">
                  <c:v>834</c:v>
                </c:pt>
                <c:pt idx="69">
                  <c:v>901</c:v>
                </c:pt>
                <c:pt idx="70">
                  <c:v>887</c:v>
                </c:pt>
                <c:pt idx="71">
                  <c:v>852</c:v>
                </c:pt>
                <c:pt idx="72">
                  <c:v>852</c:v>
                </c:pt>
                <c:pt idx="73">
                  <c:v>855</c:v>
                </c:pt>
                <c:pt idx="74">
                  <c:v>823</c:v>
                </c:pt>
                <c:pt idx="75">
                  <c:v>922</c:v>
                </c:pt>
                <c:pt idx="76">
                  <c:v>841</c:v>
                </c:pt>
                <c:pt idx="77">
                  <c:v>848</c:v>
                </c:pt>
                <c:pt idx="78">
                  <c:v>933</c:v>
                </c:pt>
                <c:pt idx="79">
                  <c:v>841</c:v>
                </c:pt>
                <c:pt idx="80">
                  <c:v>894</c:v>
                </c:pt>
                <c:pt idx="81">
                  <c:v>961</c:v>
                </c:pt>
                <c:pt idx="82">
                  <c:v>961</c:v>
                </c:pt>
                <c:pt idx="83">
                  <c:v>884</c:v>
                </c:pt>
                <c:pt idx="84">
                  <c:v>951</c:v>
                </c:pt>
                <c:pt idx="85">
                  <c:v>919</c:v>
                </c:pt>
                <c:pt idx="86">
                  <c:v>930</c:v>
                </c:pt>
                <c:pt idx="87">
                  <c:v>802</c:v>
                </c:pt>
                <c:pt idx="88">
                  <c:v>951</c:v>
                </c:pt>
                <c:pt idx="89">
                  <c:v>940</c:v>
                </c:pt>
                <c:pt idx="90">
                  <c:v>922</c:v>
                </c:pt>
                <c:pt idx="91">
                  <c:v>735</c:v>
                </c:pt>
                <c:pt idx="92">
                  <c:v>752</c:v>
                </c:pt>
                <c:pt idx="93">
                  <c:v>706</c:v>
                </c:pt>
                <c:pt idx="94">
                  <c:v>685</c:v>
                </c:pt>
                <c:pt idx="95">
                  <c:v>735</c:v>
                </c:pt>
                <c:pt idx="96">
                  <c:v>763</c:v>
                </c:pt>
                <c:pt idx="97">
                  <c:v>728</c:v>
                </c:pt>
                <c:pt idx="98">
                  <c:v>784</c:v>
                </c:pt>
                <c:pt idx="99">
                  <c:v>802</c:v>
                </c:pt>
                <c:pt idx="100">
                  <c:v>816</c:v>
                </c:pt>
                <c:pt idx="101">
                  <c:v>968</c:v>
                </c:pt>
                <c:pt idx="103">
                  <c:v>912</c:v>
                </c:pt>
                <c:pt idx="104">
                  <c:v>894</c:v>
                </c:pt>
                <c:pt idx="105">
                  <c:v>905</c:v>
                </c:pt>
                <c:pt idx="106">
                  <c:v>944</c:v>
                </c:pt>
                <c:pt idx="107">
                  <c:v>884</c:v>
                </c:pt>
                <c:pt idx="108">
                  <c:v>809</c:v>
                </c:pt>
                <c:pt idx="109">
                  <c:v>852</c:v>
                </c:pt>
                <c:pt idx="110">
                  <c:v>876</c:v>
                </c:pt>
                <c:pt idx="111">
                  <c:v>752</c:v>
                </c:pt>
                <c:pt idx="112">
                  <c:v>834</c:v>
                </c:pt>
                <c:pt idx="113">
                  <c:v>873</c:v>
                </c:pt>
                <c:pt idx="114">
                  <c:v>859</c:v>
                </c:pt>
                <c:pt idx="115">
                  <c:v>749</c:v>
                </c:pt>
                <c:pt idx="116">
                  <c:v>873</c:v>
                </c:pt>
                <c:pt idx="117">
                  <c:v>827</c:v>
                </c:pt>
                <c:pt idx="118">
                  <c:v>813</c:v>
                </c:pt>
                <c:pt idx="119">
                  <c:v>791</c:v>
                </c:pt>
                <c:pt idx="120">
                  <c:v>745</c:v>
                </c:pt>
                <c:pt idx="121">
                  <c:v>905</c:v>
                </c:pt>
                <c:pt idx="122">
                  <c:v>837</c:v>
                </c:pt>
                <c:pt idx="123">
                  <c:v>866</c:v>
                </c:pt>
                <c:pt idx="124">
                  <c:v>862</c:v>
                </c:pt>
                <c:pt idx="125">
                  <c:v>905</c:v>
                </c:pt>
                <c:pt idx="126">
                  <c:v>866</c:v>
                </c:pt>
                <c:pt idx="127">
                  <c:v>834</c:v>
                </c:pt>
                <c:pt idx="128">
                  <c:v>791</c:v>
                </c:pt>
              </c:numCache>
            </c:numRef>
          </c:yVal>
          <c:smooth val="0"/>
        </c:ser>
        <c:ser>
          <c:idx val="1"/>
          <c:order val="1"/>
          <c:tx>
            <c:v>Thermo</c:v>
          </c:tx>
          <c:spPr>
            <a:ln w="88900" cap="rnd">
              <a:solidFill>
                <a:schemeClr val="bg1">
                  <a:lumMod val="85000"/>
                  <a:alpha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'Curvas massa_P_II'!$AL$11:$AL$15</c:f>
              <c:numCache>
                <c:formatCode>General</c:formatCode>
                <c:ptCount val="5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</c:numCache>
            </c:numRef>
          </c:xVal>
          <c:yVal>
            <c:numRef>
              <c:f>'Curvas massa_P_II'!$AM$11:$AM$15</c:f>
              <c:numCache>
                <c:formatCode>General</c:formatCode>
                <c:ptCount val="5"/>
                <c:pt idx="0">
                  <c:v>500</c:v>
                </c:pt>
                <c:pt idx="1">
                  <c:v>675</c:v>
                </c:pt>
                <c:pt idx="2">
                  <c:v>760</c:v>
                </c:pt>
                <c:pt idx="3">
                  <c:v>840</c:v>
                </c:pt>
                <c:pt idx="4">
                  <c:v>900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6668864"/>
        <c:axId val="136669440"/>
      </c:scatterChart>
      <c:valAx>
        <c:axId val="136668864"/>
        <c:scaling>
          <c:orientation val="minMax"/>
          <c:max val="7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Mass (ug)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6669440"/>
        <c:crosses val="autoZero"/>
        <c:crossBetween val="midCat"/>
      </c:valAx>
      <c:valAx>
        <c:axId val="136669440"/>
        <c:scaling>
          <c:orientation val="minMax"/>
          <c:max val="120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Pressure</a:t>
                </a:r>
              </a:p>
            </c:rich>
          </c:tx>
          <c:layout>
            <c:manualLayout>
              <c:xMode val="edge"/>
              <c:yMode val="edge"/>
              <c:x val="1.38888888888889E-2"/>
              <c:y val="0.27587197433654098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66688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5081714785651801"/>
          <c:y val="0.16892016816482"/>
          <c:w val="0.793293963254593"/>
          <c:h val="0.66254616403038102"/>
        </c:manualLayout>
      </c:layout>
      <c:scatterChart>
        <c:scatterStyle val="lineMarker"/>
        <c:varyColors val="0"/>
        <c:ser>
          <c:idx val="1"/>
          <c:order val="0"/>
          <c:tx>
            <c:v>Thermo</c:v>
          </c:tx>
          <c:spPr>
            <a:ln w="95250" cap="rnd">
              <a:solidFill>
                <a:schemeClr val="bg1">
                  <a:lumMod val="85000"/>
                  <a:alpha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'Curvas massa_P_II'!$AO$11:$AO$17</c:f>
              <c:numCache>
                <c:formatCode>General</c:formatCode>
                <c:ptCount val="7"/>
                <c:pt idx="0">
                  <c:v>200</c:v>
                </c:pt>
                <c:pt idx="1">
                  <c:v>400</c:v>
                </c:pt>
                <c:pt idx="2">
                  <c:v>500</c:v>
                </c:pt>
                <c:pt idx="3">
                  <c:v>600</c:v>
                </c:pt>
                <c:pt idx="4">
                  <c:v>700</c:v>
                </c:pt>
                <c:pt idx="5">
                  <c:v>800</c:v>
                </c:pt>
                <c:pt idx="6">
                  <c:v>950</c:v>
                </c:pt>
              </c:numCache>
            </c:numRef>
          </c:xVal>
          <c:yVal>
            <c:numRef>
              <c:f>'Curvas massa_P_II'!$AP$11:$AP$17</c:f>
              <c:numCache>
                <c:formatCode>General</c:formatCode>
                <c:ptCount val="7"/>
                <c:pt idx="0">
                  <c:v>440</c:v>
                </c:pt>
                <c:pt idx="1">
                  <c:v>1600</c:v>
                </c:pt>
                <c:pt idx="2">
                  <c:v>2400</c:v>
                </c:pt>
                <c:pt idx="3">
                  <c:v>3400</c:v>
                </c:pt>
                <c:pt idx="4">
                  <c:v>4500</c:v>
                </c:pt>
                <c:pt idx="5">
                  <c:v>5800</c:v>
                </c:pt>
                <c:pt idx="6">
                  <c:v>8000</c:v>
                </c:pt>
              </c:numCache>
            </c:numRef>
          </c:yVal>
          <c:smooth val="1"/>
        </c:ser>
        <c:ser>
          <c:idx val="0"/>
          <c:order val="1"/>
          <c:tx>
            <c:v>Initial Int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0.18058543891767001"/>
                  <c:y val="-8.4079313094712699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1" i="0" u="none" strike="noStrike" kern="120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numRef>
              <c:f>('Curvas massa_P_II'!$AC$7:$AC$33,'Curvas massa_P_II'!$AI$37:$AI$66,'Curvas massa_P_II'!$AK$70:$AK$107,'Curvas massa_P_II'!$AQ$113:$AQ$146)</c:f>
              <c:numCache>
                <c:formatCode>General</c:formatCode>
                <c:ptCount val="129"/>
                <c:pt idx="0">
                  <c:v>795</c:v>
                </c:pt>
                <c:pt idx="1">
                  <c:v>841</c:v>
                </c:pt>
                <c:pt idx="2">
                  <c:v>466</c:v>
                </c:pt>
                <c:pt idx="3">
                  <c:v>434</c:v>
                </c:pt>
                <c:pt idx="4">
                  <c:v>558</c:v>
                </c:pt>
                <c:pt idx="5">
                  <c:v>402</c:v>
                </c:pt>
                <c:pt idx="6">
                  <c:v>554</c:v>
                </c:pt>
                <c:pt idx="7">
                  <c:v>593</c:v>
                </c:pt>
                <c:pt idx="8">
                  <c:v>621</c:v>
                </c:pt>
                <c:pt idx="9">
                  <c:v>618</c:v>
                </c:pt>
                <c:pt idx="10">
                  <c:v>568</c:v>
                </c:pt>
                <c:pt idx="11">
                  <c:v>660</c:v>
                </c:pt>
                <c:pt idx="12">
                  <c:v>636</c:v>
                </c:pt>
                <c:pt idx="13">
                  <c:v>760</c:v>
                </c:pt>
                <c:pt idx="14">
                  <c:v>728</c:v>
                </c:pt>
                <c:pt idx="15">
                  <c:v>823</c:v>
                </c:pt>
                <c:pt idx="16">
                  <c:v>714</c:v>
                </c:pt>
                <c:pt idx="17">
                  <c:v>823</c:v>
                </c:pt>
                <c:pt idx="18">
                  <c:v>742</c:v>
                </c:pt>
                <c:pt idx="19">
                  <c:v>827</c:v>
                </c:pt>
                <c:pt idx="20">
                  <c:v>752</c:v>
                </c:pt>
                <c:pt idx="21">
                  <c:v>880</c:v>
                </c:pt>
                <c:pt idx="22">
                  <c:v>891</c:v>
                </c:pt>
                <c:pt idx="23">
                  <c:v>876</c:v>
                </c:pt>
                <c:pt idx="24">
                  <c:v>919</c:v>
                </c:pt>
                <c:pt idx="25">
                  <c:v>855</c:v>
                </c:pt>
                <c:pt idx="26">
                  <c:v>852</c:v>
                </c:pt>
                <c:pt idx="27">
                  <c:v>731</c:v>
                </c:pt>
                <c:pt idx="28">
                  <c:v>529</c:v>
                </c:pt>
                <c:pt idx="29">
                  <c:v>710</c:v>
                </c:pt>
                <c:pt idx="30">
                  <c:v>671</c:v>
                </c:pt>
                <c:pt idx="31">
                  <c:v>678</c:v>
                </c:pt>
                <c:pt idx="32">
                  <c:v>813</c:v>
                </c:pt>
                <c:pt idx="33">
                  <c:v>721</c:v>
                </c:pt>
                <c:pt idx="34">
                  <c:v>671</c:v>
                </c:pt>
                <c:pt idx="35">
                  <c:v>710</c:v>
                </c:pt>
                <c:pt idx="36">
                  <c:v>745</c:v>
                </c:pt>
                <c:pt idx="37">
                  <c:v>908</c:v>
                </c:pt>
                <c:pt idx="38">
                  <c:v>845</c:v>
                </c:pt>
                <c:pt idx="39">
                  <c:v>894</c:v>
                </c:pt>
                <c:pt idx="40">
                  <c:v>816</c:v>
                </c:pt>
                <c:pt idx="41">
                  <c:v>873</c:v>
                </c:pt>
                <c:pt idx="42">
                  <c:v>745</c:v>
                </c:pt>
                <c:pt idx="43">
                  <c:v>873</c:v>
                </c:pt>
                <c:pt idx="44">
                  <c:v>767</c:v>
                </c:pt>
                <c:pt idx="45">
                  <c:v>756</c:v>
                </c:pt>
                <c:pt idx="46">
                  <c:v>898</c:v>
                </c:pt>
                <c:pt idx="47">
                  <c:v>887</c:v>
                </c:pt>
                <c:pt idx="48">
                  <c:v>901</c:v>
                </c:pt>
                <c:pt idx="49">
                  <c:v>965</c:v>
                </c:pt>
                <c:pt idx="50">
                  <c:v>919</c:v>
                </c:pt>
                <c:pt idx="51">
                  <c:v>976</c:v>
                </c:pt>
                <c:pt idx="52">
                  <c:v>958</c:v>
                </c:pt>
                <c:pt idx="53">
                  <c:v>947</c:v>
                </c:pt>
                <c:pt idx="54">
                  <c:v>944</c:v>
                </c:pt>
                <c:pt idx="55">
                  <c:v>968</c:v>
                </c:pt>
                <c:pt idx="56">
                  <c:v>944</c:v>
                </c:pt>
                <c:pt idx="57">
                  <c:v>848</c:v>
                </c:pt>
                <c:pt idx="58">
                  <c:v>816</c:v>
                </c:pt>
                <c:pt idx="59">
                  <c:v>845</c:v>
                </c:pt>
                <c:pt idx="60">
                  <c:v>760</c:v>
                </c:pt>
                <c:pt idx="61">
                  <c:v>830</c:v>
                </c:pt>
                <c:pt idx="62">
                  <c:v>837</c:v>
                </c:pt>
                <c:pt idx="63">
                  <c:v>806</c:v>
                </c:pt>
                <c:pt idx="64">
                  <c:v>813</c:v>
                </c:pt>
                <c:pt idx="65">
                  <c:v>806</c:v>
                </c:pt>
                <c:pt idx="66">
                  <c:v>745</c:v>
                </c:pt>
                <c:pt idx="67">
                  <c:v>756</c:v>
                </c:pt>
                <c:pt idx="68">
                  <c:v>834</c:v>
                </c:pt>
                <c:pt idx="69">
                  <c:v>901</c:v>
                </c:pt>
                <c:pt idx="70">
                  <c:v>887</c:v>
                </c:pt>
                <c:pt idx="71">
                  <c:v>852</c:v>
                </c:pt>
                <c:pt idx="72">
                  <c:v>852</c:v>
                </c:pt>
                <c:pt idx="73">
                  <c:v>855</c:v>
                </c:pt>
                <c:pt idx="74">
                  <c:v>823</c:v>
                </c:pt>
                <c:pt idx="75">
                  <c:v>922</c:v>
                </c:pt>
                <c:pt idx="76">
                  <c:v>841</c:v>
                </c:pt>
                <c:pt idx="77">
                  <c:v>848</c:v>
                </c:pt>
                <c:pt idx="78">
                  <c:v>933</c:v>
                </c:pt>
                <c:pt idx="79">
                  <c:v>841</c:v>
                </c:pt>
                <c:pt idx="80">
                  <c:v>894</c:v>
                </c:pt>
                <c:pt idx="81">
                  <c:v>961</c:v>
                </c:pt>
                <c:pt idx="82">
                  <c:v>961</c:v>
                </c:pt>
                <c:pt idx="83">
                  <c:v>884</c:v>
                </c:pt>
                <c:pt idx="84">
                  <c:v>951</c:v>
                </c:pt>
                <c:pt idx="85">
                  <c:v>919</c:v>
                </c:pt>
                <c:pt idx="86">
                  <c:v>930</c:v>
                </c:pt>
                <c:pt idx="87">
                  <c:v>802</c:v>
                </c:pt>
                <c:pt idx="88">
                  <c:v>951</c:v>
                </c:pt>
                <c:pt idx="89">
                  <c:v>940</c:v>
                </c:pt>
                <c:pt idx="90">
                  <c:v>922</c:v>
                </c:pt>
                <c:pt idx="91">
                  <c:v>735</c:v>
                </c:pt>
                <c:pt idx="92">
                  <c:v>752</c:v>
                </c:pt>
                <c:pt idx="93">
                  <c:v>706</c:v>
                </c:pt>
                <c:pt idx="94">
                  <c:v>685</c:v>
                </c:pt>
                <c:pt idx="95">
                  <c:v>735</c:v>
                </c:pt>
                <c:pt idx="96">
                  <c:v>763</c:v>
                </c:pt>
                <c:pt idx="97">
                  <c:v>728</c:v>
                </c:pt>
                <c:pt idx="98">
                  <c:v>784</c:v>
                </c:pt>
                <c:pt idx="99">
                  <c:v>802</c:v>
                </c:pt>
                <c:pt idx="100">
                  <c:v>816</c:v>
                </c:pt>
                <c:pt idx="101">
                  <c:v>968</c:v>
                </c:pt>
                <c:pt idx="103">
                  <c:v>912</c:v>
                </c:pt>
                <c:pt idx="104">
                  <c:v>894</c:v>
                </c:pt>
                <c:pt idx="105">
                  <c:v>905</c:v>
                </c:pt>
                <c:pt idx="106">
                  <c:v>944</c:v>
                </c:pt>
                <c:pt idx="107">
                  <c:v>884</c:v>
                </c:pt>
                <c:pt idx="108">
                  <c:v>809</c:v>
                </c:pt>
                <c:pt idx="109">
                  <c:v>852</c:v>
                </c:pt>
                <c:pt idx="110">
                  <c:v>876</c:v>
                </c:pt>
                <c:pt idx="111">
                  <c:v>752</c:v>
                </c:pt>
                <c:pt idx="112">
                  <c:v>834</c:v>
                </c:pt>
                <c:pt idx="113">
                  <c:v>873</c:v>
                </c:pt>
                <c:pt idx="114">
                  <c:v>859</c:v>
                </c:pt>
                <c:pt idx="115">
                  <c:v>749</c:v>
                </c:pt>
                <c:pt idx="116">
                  <c:v>873</c:v>
                </c:pt>
                <c:pt idx="117">
                  <c:v>827</c:v>
                </c:pt>
                <c:pt idx="118">
                  <c:v>813</c:v>
                </c:pt>
                <c:pt idx="119">
                  <c:v>791</c:v>
                </c:pt>
                <c:pt idx="120">
                  <c:v>745</c:v>
                </c:pt>
                <c:pt idx="121">
                  <c:v>905</c:v>
                </c:pt>
                <c:pt idx="122">
                  <c:v>837</c:v>
                </c:pt>
                <c:pt idx="123">
                  <c:v>866</c:v>
                </c:pt>
                <c:pt idx="124">
                  <c:v>862</c:v>
                </c:pt>
                <c:pt idx="125">
                  <c:v>905</c:v>
                </c:pt>
                <c:pt idx="126">
                  <c:v>866</c:v>
                </c:pt>
                <c:pt idx="127">
                  <c:v>834</c:v>
                </c:pt>
                <c:pt idx="128">
                  <c:v>791</c:v>
                </c:pt>
              </c:numCache>
            </c:numRef>
          </c:xVal>
          <c:yVal>
            <c:numRef>
              <c:f>('Curvas massa_P_II'!$AD$7:$AD$33,'Curvas massa_P_II'!$AK$37:$AK$66,'Curvas massa_P_II'!$AM$70:$AM$107,'Curvas massa_P_II'!$AR$113:$AR$146)</c:f>
              <c:numCache>
                <c:formatCode>General</c:formatCode>
                <c:ptCount val="129"/>
                <c:pt idx="0">
                  <c:v>3536</c:v>
                </c:pt>
                <c:pt idx="1">
                  <c:v>4302</c:v>
                </c:pt>
                <c:pt idx="2">
                  <c:v>1138</c:v>
                </c:pt>
                <c:pt idx="3">
                  <c:v>929</c:v>
                </c:pt>
                <c:pt idx="4">
                  <c:v>1564</c:v>
                </c:pt>
                <c:pt idx="5">
                  <c:v>896</c:v>
                </c:pt>
                <c:pt idx="6">
                  <c:v>1580</c:v>
                </c:pt>
                <c:pt idx="7">
                  <c:v>1821</c:v>
                </c:pt>
                <c:pt idx="8">
                  <c:v>1962</c:v>
                </c:pt>
                <c:pt idx="9">
                  <c:v>2070</c:v>
                </c:pt>
                <c:pt idx="10">
                  <c:v>1576</c:v>
                </c:pt>
                <c:pt idx="11">
                  <c:v>2249</c:v>
                </c:pt>
                <c:pt idx="12">
                  <c:v>1873</c:v>
                </c:pt>
                <c:pt idx="13">
                  <c:v>2967</c:v>
                </c:pt>
                <c:pt idx="14">
                  <c:v>2588</c:v>
                </c:pt>
                <c:pt idx="15">
                  <c:v>3470</c:v>
                </c:pt>
                <c:pt idx="16">
                  <c:v>2395</c:v>
                </c:pt>
                <c:pt idx="17">
                  <c:v>3492</c:v>
                </c:pt>
                <c:pt idx="18">
                  <c:v>2649</c:v>
                </c:pt>
                <c:pt idx="19">
                  <c:v>3509</c:v>
                </c:pt>
                <c:pt idx="20">
                  <c:v>2735</c:v>
                </c:pt>
                <c:pt idx="21">
                  <c:v>3965</c:v>
                </c:pt>
                <c:pt idx="22">
                  <c:v>4012</c:v>
                </c:pt>
                <c:pt idx="23">
                  <c:v>4099</c:v>
                </c:pt>
                <c:pt idx="24">
                  <c:v>4548</c:v>
                </c:pt>
                <c:pt idx="25">
                  <c:v>3813</c:v>
                </c:pt>
                <c:pt idx="26">
                  <c:v>3677</c:v>
                </c:pt>
                <c:pt idx="27">
                  <c:v>3008</c:v>
                </c:pt>
                <c:pt idx="28">
                  <c:v>1408</c:v>
                </c:pt>
                <c:pt idx="29">
                  <c:v>2777</c:v>
                </c:pt>
                <c:pt idx="30">
                  <c:v>2438</c:v>
                </c:pt>
                <c:pt idx="31">
                  <c:v>2354</c:v>
                </c:pt>
                <c:pt idx="32">
                  <c:v>3878</c:v>
                </c:pt>
                <c:pt idx="33">
                  <c:v>2482</c:v>
                </c:pt>
                <c:pt idx="34">
                  <c:v>2312</c:v>
                </c:pt>
                <c:pt idx="35">
                  <c:v>2521</c:v>
                </c:pt>
                <c:pt idx="36">
                  <c:v>2964</c:v>
                </c:pt>
                <c:pt idx="37">
                  <c:v>5338</c:v>
                </c:pt>
                <c:pt idx="38">
                  <c:v>4035</c:v>
                </c:pt>
                <c:pt idx="39">
                  <c:v>4700</c:v>
                </c:pt>
                <c:pt idx="40">
                  <c:v>3735</c:v>
                </c:pt>
                <c:pt idx="41">
                  <c:v>4962</c:v>
                </c:pt>
                <c:pt idx="42">
                  <c:v>3039</c:v>
                </c:pt>
                <c:pt idx="43">
                  <c:v>4485</c:v>
                </c:pt>
                <c:pt idx="44">
                  <c:v>3269</c:v>
                </c:pt>
                <c:pt idx="45">
                  <c:v>3258</c:v>
                </c:pt>
                <c:pt idx="46">
                  <c:v>5402</c:v>
                </c:pt>
                <c:pt idx="47">
                  <c:v>4968</c:v>
                </c:pt>
                <c:pt idx="48">
                  <c:v>5306</c:v>
                </c:pt>
                <c:pt idx="49">
                  <c:v>6327</c:v>
                </c:pt>
                <c:pt idx="50">
                  <c:v>5331</c:v>
                </c:pt>
                <c:pt idx="51">
                  <c:v>6036</c:v>
                </c:pt>
                <c:pt idx="52">
                  <c:v>6087</c:v>
                </c:pt>
                <c:pt idx="53">
                  <c:v>5487</c:v>
                </c:pt>
                <c:pt idx="54">
                  <c:v>5278</c:v>
                </c:pt>
                <c:pt idx="55">
                  <c:v>5949</c:v>
                </c:pt>
                <c:pt idx="56">
                  <c:v>5227</c:v>
                </c:pt>
                <c:pt idx="57">
                  <c:v>5288</c:v>
                </c:pt>
                <c:pt idx="58">
                  <c:v>4185</c:v>
                </c:pt>
                <c:pt idx="59">
                  <c:v>4819</c:v>
                </c:pt>
                <c:pt idx="60">
                  <c:v>3798</c:v>
                </c:pt>
                <c:pt idx="61">
                  <c:v>5318</c:v>
                </c:pt>
                <c:pt idx="62">
                  <c:v>4843</c:v>
                </c:pt>
                <c:pt idx="63">
                  <c:v>4041</c:v>
                </c:pt>
                <c:pt idx="64">
                  <c:v>4041</c:v>
                </c:pt>
                <c:pt idx="65">
                  <c:v>4030</c:v>
                </c:pt>
                <c:pt idx="66">
                  <c:v>3124</c:v>
                </c:pt>
                <c:pt idx="67">
                  <c:v>3117</c:v>
                </c:pt>
                <c:pt idx="68">
                  <c:v>4191</c:v>
                </c:pt>
                <c:pt idx="69">
                  <c:v>5869</c:v>
                </c:pt>
                <c:pt idx="70">
                  <c:v>5413</c:v>
                </c:pt>
                <c:pt idx="71">
                  <c:v>4910</c:v>
                </c:pt>
                <c:pt idx="72">
                  <c:v>5233</c:v>
                </c:pt>
                <c:pt idx="73">
                  <c:v>5338</c:v>
                </c:pt>
                <c:pt idx="74">
                  <c:v>4704</c:v>
                </c:pt>
                <c:pt idx="75">
                  <c:v>6705</c:v>
                </c:pt>
                <c:pt idx="76">
                  <c:v>5079</c:v>
                </c:pt>
                <c:pt idx="77">
                  <c:v>4824</c:v>
                </c:pt>
                <c:pt idx="78">
                  <c:v>6399</c:v>
                </c:pt>
                <c:pt idx="79">
                  <c:v>4700</c:v>
                </c:pt>
                <c:pt idx="80">
                  <c:v>5616</c:v>
                </c:pt>
                <c:pt idx="81">
                  <c:v>7323</c:v>
                </c:pt>
                <c:pt idx="82">
                  <c:v>6884</c:v>
                </c:pt>
                <c:pt idx="83">
                  <c:v>5572</c:v>
                </c:pt>
                <c:pt idx="84">
                  <c:v>6917</c:v>
                </c:pt>
                <c:pt idx="85">
                  <c:v>6480</c:v>
                </c:pt>
                <c:pt idx="86">
                  <c:v>6314</c:v>
                </c:pt>
                <c:pt idx="87">
                  <c:v>3831</c:v>
                </c:pt>
                <c:pt idx="88">
                  <c:v>6474</c:v>
                </c:pt>
                <c:pt idx="89">
                  <c:v>6345</c:v>
                </c:pt>
                <c:pt idx="90">
                  <c:v>5639</c:v>
                </c:pt>
                <c:pt idx="91">
                  <c:v>3172</c:v>
                </c:pt>
                <c:pt idx="92">
                  <c:v>3219</c:v>
                </c:pt>
                <c:pt idx="93">
                  <c:v>2823</c:v>
                </c:pt>
                <c:pt idx="94">
                  <c:v>2729</c:v>
                </c:pt>
                <c:pt idx="95">
                  <c:v>3708</c:v>
                </c:pt>
                <c:pt idx="96">
                  <c:v>4166</c:v>
                </c:pt>
                <c:pt idx="97">
                  <c:v>3358</c:v>
                </c:pt>
                <c:pt idx="98">
                  <c:v>4364</c:v>
                </c:pt>
                <c:pt idx="99">
                  <c:v>4098</c:v>
                </c:pt>
                <c:pt idx="100">
                  <c:v>4238</c:v>
                </c:pt>
                <c:pt idx="101">
                  <c:v>7750</c:v>
                </c:pt>
                <c:pt idx="103">
                  <c:v>5145</c:v>
                </c:pt>
                <c:pt idx="104">
                  <c:v>5033</c:v>
                </c:pt>
                <c:pt idx="105">
                  <c:v>5077</c:v>
                </c:pt>
                <c:pt idx="106">
                  <c:v>5355</c:v>
                </c:pt>
                <c:pt idx="107">
                  <c:v>4647</c:v>
                </c:pt>
                <c:pt idx="108">
                  <c:v>3561</c:v>
                </c:pt>
                <c:pt idx="109">
                  <c:v>3770</c:v>
                </c:pt>
                <c:pt idx="110">
                  <c:v>4508</c:v>
                </c:pt>
                <c:pt idx="111">
                  <c:v>3089</c:v>
                </c:pt>
                <c:pt idx="112">
                  <c:v>4146</c:v>
                </c:pt>
                <c:pt idx="113">
                  <c:v>4515</c:v>
                </c:pt>
                <c:pt idx="114">
                  <c:v>4345</c:v>
                </c:pt>
                <c:pt idx="115">
                  <c:v>3012</c:v>
                </c:pt>
                <c:pt idx="116">
                  <c:v>4495</c:v>
                </c:pt>
                <c:pt idx="117">
                  <c:v>3785</c:v>
                </c:pt>
                <c:pt idx="118">
                  <c:v>3597</c:v>
                </c:pt>
                <c:pt idx="119">
                  <c:v>3476</c:v>
                </c:pt>
                <c:pt idx="120">
                  <c:v>2934</c:v>
                </c:pt>
                <c:pt idx="121">
                  <c:v>5007</c:v>
                </c:pt>
                <c:pt idx="122">
                  <c:v>3959</c:v>
                </c:pt>
                <c:pt idx="123">
                  <c:v>4431</c:v>
                </c:pt>
                <c:pt idx="124">
                  <c:v>4278</c:v>
                </c:pt>
                <c:pt idx="125">
                  <c:v>4776</c:v>
                </c:pt>
                <c:pt idx="126">
                  <c:v>4317</c:v>
                </c:pt>
                <c:pt idx="127">
                  <c:v>3916</c:v>
                </c:pt>
                <c:pt idx="128">
                  <c:v>3332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6672320"/>
        <c:axId val="136672896"/>
      </c:scatterChart>
      <c:valAx>
        <c:axId val="136672320"/>
        <c:scaling>
          <c:orientation val="minMax"/>
          <c:max val="12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Pressure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6672896"/>
        <c:crosses val="autoZero"/>
        <c:crossBetween val="midCat"/>
      </c:valAx>
      <c:valAx>
        <c:axId val="136672896"/>
        <c:scaling>
          <c:orientation val="minMax"/>
          <c:max val="1000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Intensity</a:t>
                </a:r>
              </a:p>
            </c:rich>
          </c:tx>
          <c:layout>
            <c:manualLayout>
              <c:xMode val="edge"/>
              <c:yMode val="edge"/>
              <c:x val="1.38888888888889E-2"/>
              <c:y val="0.27587197433654098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66723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6.3861968688079099E-2"/>
          <c:y val="2.3598820058997001E-2"/>
          <c:w val="0.87227588315916005"/>
          <c:h val="0.12291145022801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5081714785651801"/>
          <c:y val="0.12962962962963001"/>
          <c:w val="0.793293963254593"/>
          <c:h val="0.70183654126567496"/>
        </c:manualLayout>
      </c:layout>
      <c:scatterChart>
        <c:scatterStyle val="lineMarker"/>
        <c:varyColors val="0"/>
        <c:ser>
          <c:idx val="0"/>
          <c:order val="0"/>
          <c:tx>
            <c:v>NBS19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-0.215343973025096"/>
                  <c:y val="-8.1031906409928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1" i="0" u="none" strike="noStrike" kern="120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numRef>
              <c:f>('Curvas massa_P_II'!$AG$7:$AG$33,'Curvas massa_P_II'!$AJ$37:$AJ$66,'Curvas massa_P_II'!$AU$151:$AU$160)</c:f>
              <c:numCache>
                <c:formatCode>General</c:formatCode>
                <c:ptCount val="67"/>
                <c:pt idx="0">
                  <c:v>27</c:v>
                </c:pt>
                <c:pt idx="1">
                  <c:v>27</c:v>
                </c:pt>
                <c:pt idx="2">
                  <c:v>9</c:v>
                </c:pt>
                <c:pt idx="3">
                  <c:v>9</c:v>
                </c:pt>
                <c:pt idx="4">
                  <c:v>9</c:v>
                </c:pt>
                <c:pt idx="5">
                  <c:v>9</c:v>
                </c:pt>
                <c:pt idx="6">
                  <c:v>18</c:v>
                </c:pt>
                <c:pt idx="7">
                  <c:v>18</c:v>
                </c:pt>
                <c:pt idx="8">
                  <c:v>18</c:v>
                </c:pt>
                <c:pt idx="9">
                  <c:v>18</c:v>
                </c:pt>
                <c:pt idx="10">
                  <c:v>18</c:v>
                </c:pt>
                <c:pt idx="11">
                  <c:v>18</c:v>
                </c:pt>
                <c:pt idx="12">
                  <c:v>18</c:v>
                </c:pt>
                <c:pt idx="13">
                  <c:v>27</c:v>
                </c:pt>
                <c:pt idx="14">
                  <c:v>27</c:v>
                </c:pt>
                <c:pt idx="15">
                  <c:v>27</c:v>
                </c:pt>
                <c:pt idx="16">
                  <c:v>27</c:v>
                </c:pt>
                <c:pt idx="17">
                  <c:v>27</c:v>
                </c:pt>
                <c:pt idx="18">
                  <c:v>27</c:v>
                </c:pt>
                <c:pt idx="19">
                  <c:v>27</c:v>
                </c:pt>
                <c:pt idx="20">
                  <c:v>27</c:v>
                </c:pt>
                <c:pt idx="21">
                  <c:v>36</c:v>
                </c:pt>
                <c:pt idx="22">
                  <c:v>36</c:v>
                </c:pt>
                <c:pt idx="23">
                  <c:v>36</c:v>
                </c:pt>
                <c:pt idx="24">
                  <c:v>36</c:v>
                </c:pt>
                <c:pt idx="25">
                  <c:v>36</c:v>
                </c:pt>
                <c:pt idx="26">
                  <c:v>36</c:v>
                </c:pt>
                <c:pt idx="27">
                  <c:v>27</c:v>
                </c:pt>
                <c:pt idx="28">
                  <c:v>27</c:v>
                </c:pt>
                <c:pt idx="29">
                  <c:v>27</c:v>
                </c:pt>
                <c:pt idx="30">
                  <c:v>27</c:v>
                </c:pt>
                <c:pt idx="31">
                  <c:v>27</c:v>
                </c:pt>
                <c:pt idx="32">
                  <c:v>27</c:v>
                </c:pt>
                <c:pt idx="33">
                  <c:v>27</c:v>
                </c:pt>
                <c:pt idx="34">
                  <c:v>27</c:v>
                </c:pt>
                <c:pt idx="35">
                  <c:v>27</c:v>
                </c:pt>
                <c:pt idx="36">
                  <c:v>27</c:v>
                </c:pt>
                <c:pt idx="37">
                  <c:v>36</c:v>
                </c:pt>
                <c:pt idx="38">
                  <c:v>36</c:v>
                </c:pt>
                <c:pt idx="39">
                  <c:v>36</c:v>
                </c:pt>
                <c:pt idx="40">
                  <c:v>36</c:v>
                </c:pt>
                <c:pt idx="41">
                  <c:v>36</c:v>
                </c:pt>
                <c:pt idx="42">
                  <c:v>36</c:v>
                </c:pt>
                <c:pt idx="43">
                  <c:v>36</c:v>
                </c:pt>
                <c:pt idx="44">
                  <c:v>36</c:v>
                </c:pt>
                <c:pt idx="45">
                  <c:v>36</c:v>
                </c:pt>
                <c:pt idx="46">
                  <c:v>36</c:v>
                </c:pt>
                <c:pt idx="47">
                  <c:v>45</c:v>
                </c:pt>
                <c:pt idx="48">
                  <c:v>45</c:v>
                </c:pt>
                <c:pt idx="49">
                  <c:v>45</c:v>
                </c:pt>
                <c:pt idx="50">
                  <c:v>45</c:v>
                </c:pt>
                <c:pt idx="51">
                  <c:v>45</c:v>
                </c:pt>
                <c:pt idx="52">
                  <c:v>45</c:v>
                </c:pt>
                <c:pt idx="53">
                  <c:v>45</c:v>
                </c:pt>
                <c:pt idx="54">
                  <c:v>45</c:v>
                </c:pt>
                <c:pt idx="55">
                  <c:v>45</c:v>
                </c:pt>
                <c:pt idx="56">
                  <c:v>45</c:v>
                </c:pt>
                <c:pt idx="57">
                  <c:v>16</c:v>
                </c:pt>
                <c:pt idx="58">
                  <c:v>16</c:v>
                </c:pt>
                <c:pt idx="59">
                  <c:v>16</c:v>
                </c:pt>
                <c:pt idx="60">
                  <c:v>16</c:v>
                </c:pt>
                <c:pt idx="61">
                  <c:v>16</c:v>
                </c:pt>
                <c:pt idx="62">
                  <c:v>20</c:v>
                </c:pt>
                <c:pt idx="63">
                  <c:v>20</c:v>
                </c:pt>
                <c:pt idx="64">
                  <c:v>20</c:v>
                </c:pt>
                <c:pt idx="65">
                  <c:v>20</c:v>
                </c:pt>
                <c:pt idx="66">
                  <c:v>20</c:v>
                </c:pt>
              </c:numCache>
            </c:numRef>
          </c:xVal>
          <c:yVal>
            <c:numRef>
              <c:f>('Curvas massa_P_II'!$AC$7:$AC$33,'Curvas massa_P_II'!$AI$37:$AI$66,'Curvas massa_P_II'!$AO$151:$AO$160)</c:f>
              <c:numCache>
                <c:formatCode>General</c:formatCode>
                <c:ptCount val="67"/>
                <c:pt idx="0">
                  <c:v>795</c:v>
                </c:pt>
                <c:pt idx="1">
                  <c:v>841</c:v>
                </c:pt>
                <c:pt idx="2">
                  <c:v>466</c:v>
                </c:pt>
                <c:pt idx="3">
                  <c:v>434</c:v>
                </c:pt>
                <c:pt idx="4">
                  <c:v>558</c:v>
                </c:pt>
                <c:pt idx="5">
                  <c:v>402</c:v>
                </c:pt>
                <c:pt idx="6">
                  <c:v>554</c:v>
                </c:pt>
                <c:pt idx="7">
                  <c:v>593</c:v>
                </c:pt>
                <c:pt idx="8">
                  <c:v>621</c:v>
                </c:pt>
                <c:pt idx="9">
                  <c:v>618</c:v>
                </c:pt>
                <c:pt idx="10">
                  <c:v>568</c:v>
                </c:pt>
                <c:pt idx="11">
                  <c:v>660</c:v>
                </c:pt>
                <c:pt idx="12">
                  <c:v>636</c:v>
                </c:pt>
                <c:pt idx="13">
                  <c:v>760</c:v>
                </c:pt>
                <c:pt idx="14">
                  <c:v>728</c:v>
                </c:pt>
                <c:pt idx="15">
                  <c:v>823</c:v>
                </c:pt>
                <c:pt idx="16">
                  <c:v>714</c:v>
                </c:pt>
                <c:pt idx="17">
                  <c:v>823</c:v>
                </c:pt>
                <c:pt idx="18">
                  <c:v>742</c:v>
                </c:pt>
                <c:pt idx="19">
                  <c:v>827</c:v>
                </c:pt>
                <c:pt idx="20">
                  <c:v>752</c:v>
                </c:pt>
                <c:pt idx="21">
                  <c:v>880</c:v>
                </c:pt>
                <c:pt idx="22">
                  <c:v>891</c:v>
                </c:pt>
                <c:pt idx="23">
                  <c:v>876</c:v>
                </c:pt>
                <c:pt idx="24">
                  <c:v>919</c:v>
                </c:pt>
                <c:pt idx="25">
                  <c:v>855</c:v>
                </c:pt>
                <c:pt idx="26">
                  <c:v>852</c:v>
                </c:pt>
                <c:pt idx="27">
                  <c:v>731</c:v>
                </c:pt>
                <c:pt idx="28">
                  <c:v>529</c:v>
                </c:pt>
                <c:pt idx="29">
                  <c:v>710</c:v>
                </c:pt>
                <c:pt idx="30">
                  <c:v>671</c:v>
                </c:pt>
                <c:pt idx="31">
                  <c:v>678</c:v>
                </c:pt>
                <c:pt idx="32">
                  <c:v>813</c:v>
                </c:pt>
                <c:pt idx="33">
                  <c:v>721</c:v>
                </c:pt>
                <c:pt idx="34">
                  <c:v>671</c:v>
                </c:pt>
                <c:pt idx="35">
                  <c:v>710</c:v>
                </c:pt>
                <c:pt idx="36">
                  <c:v>745</c:v>
                </c:pt>
                <c:pt idx="37">
                  <c:v>908</c:v>
                </c:pt>
                <c:pt idx="38">
                  <c:v>845</c:v>
                </c:pt>
                <c:pt idx="39">
                  <c:v>894</c:v>
                </c:pt>
                <c:pt idx="40">
                  <c:v>816</c:v>
                </c:pt>
                <c:pt idx="41">
                  <c:v>873</c:v>
                </c:pt>
                <c:pt idx="42">
                  <c:v>745</c:v>
                </c:pt>
                <c:pt idx="43">
                  <c:v>873</c:v>
                </c:pt>
                <c:pt idx="44">
                  <c:v>767</c:v>
                </c:pt>
                <c:pt idx="45">
                  <c:v>756</c:v>
                </c:pt>
                <c:pt idx="46">
                  <c:v>898</c:v>
                </c:pt>
                <c:pt idx="47">
                  <c:v>887</c:v>
                </c:pt>
                <c:pt idx="48">
                  <c:v>901</c:v>
                </c:pt>
                <c:pt idx="49">
                  <c:v>965</c:v>
                </c:pt>
                <c:pt idx="50">
                  <c:v>919</c:v>
                </c:pt>
                <c:pt idx="51">
                  <c:v>976</c:v>
                </c:pt>
                <c:pt idx="52">
                  <c:v>958</c:v>
                </c:pt>
                <c:pt idx="53">
                  <c:v>947</c:v>
                </c:pt>
                <c:pt idx="54">
                  <c:v>944</c:v>
                </c:pt>
                <c:pt idx="55">
                  <c:v>968</c:v>
                </c:pt>
                <c:pt idx="56">
                  <c:v>944</c:v>
                </c:pt>
                <c:pt idx="57">
                  <c:v>607</c:v>
                </c:pt>
                <c:pt idx="58">
                  <c:v>551</c:v>
                </c:pt>
                <c:pt idx="59">
                  <c:v>476</c:v>
                </c:pt>
                <c:pt idx="60">
                  <c:v>536</c:v>
                </c:pt>
                <c:pt idx="61">
                  <c:v>575</c:v>
                </c:pt>
                <c:pt idx="62">
                  <c:v>625</c:v>
                </c:pt>
                <c:pt idx="63">
                  <c:v>650</c:v>
                </c:pt>
                <c:pt idx="64">
                  <c:v>639</c:v>
                </c:pt>
                <c:pt idx="65">
                  <c:v>572</c:v>
                </c:pt>
                <c:pt idx="66">
                  <c:v>632</c:v>
                </c:pt>
              </c:numCache>
            </c:numRef>
          </c:yVal>
          <c:smooth val="0"/>
        </c:ser>
        <c:ser>
          <c:idx val="1"/>
          <c:order val="1"/>
          <c:tx>
            <c:v>Thermo</c:v>
          </c:tx>
          <c:spPr>
            <a:ln w="88900" cap="rnd">
              <a:solidFill>
                <a:schemeClr val="bg1">
                  <a:lumMod val="85000"/>
                  <a:alpha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'Curvas massa_P_II'!$AL$11:$AL$15</c:f>
              <c:numCache>
                <c:formatCode>General</c:formatCode>
                <c:ptCount val="5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</c:numCache>
            </c:numRef>
          </c:xVal>
          <c:yVal>
            <c:numRef>
              <c:f>'Curvas massa_P_II'!$AM$11:$AM$15</c:f>
              <c:numCache>
                <c:formatCode>General</c:formatCode>
                <c:ptCount val="5"/>
                <c:pt idx="0">
                  <c:v>500</c:v>
                </c:pt>
                <c:pt idx="1">
                  <c:v>675</c:v>
                </c:pt>
                <c:pt idx="2">
                  <c:v>760</c:v>
                </c:pt>
                <c:pt idx="3">
                  <c:v>840</c:v>
                </c:pt>
                <c:pt idx="4">
                  <c:v>900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7986624"/>
        <c:axId val="137987200"/>
      </c:scatterChart>
      <c:valAx>
        <c:axId val="137986624"/>
        <c:scaling>
          <c:orientation val="minMax"/>
          <c:max val="7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Mass (ug)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7987200"/>
        <c:crosses val="autoZero"/>
        <c:crossBetween val="midCat"/>
      </c:valAx>
      <c:valAx>
        <c:axId val="137987200"/>
        <c:scaling>
          <c:orientation val="minMax"/>
          <c:max val="120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Pressure</a:t>
                </a:r>
              </a:p>
            </c:rich>
          </c:tx>
          <c:layout>
            <c:manualLayout>
              <c:xMode val="edge"/>
              <c:yMode val="edge"/>
              <c:x val="1.38888888888889E-2"/>
              <c:y val="0.27587197433654098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79866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004784978800701"/>
          <c:y val="5.0925925925925902E-2"/>
          <c:w val="0.75996062992126001"/>
          <c:h val="0.78054024496937902"/>
        </c:manualLayout>
      </c:layout>
      <c:scatterChart>
        <c:scatterStyle val="lineMarker"/>
        <c:varyColors val="0"/>
        <c:ser>
          <c:idx val="2"/>
          <c:order val="1"/>
          <c:tx>
            <c:v>d13C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'Curvas massa_P_II'!$AQ$151:$AQ$160</c:f>
              <c:numCache>
                <c:formatCode>General</c:formatCode>
                <c:ptCount val="10"/>
                <c:pt idx="0">
                  <c:v>2123</c:v>
                </c:pt>
                <c:pt idx="1">
                  <c:v>1687</c:v>
                </c:pt>
                <c:pt idx="2">
                  <c:v>1283</c:v>
                </c:pt>
                <c:pt idx="3">
                  <c:v>1588</c:v>
                </c:pt>
                <c:pt idx="4">
                  <c:v>1755</c:v>
                </c:pt>
                <c:pt idx="5">
                  <c:v>2192</c:v>
                </c:pt>
                <c:pt idx="6">
                  <c:v>2259</c:v>
                </c:pt>
                <c:pt idx="7">
                  <c:v>2137</c:v>
                </c:pt>
                <c:pt idx="8">
                  <c:v>1756</c:v>
                </c:pt>
                <c:pt idx="9">
                  <c:v>2078</c:v>
                </c:pt>
              </c:numCache>
            </c:numRef>
          </c:xVal>
          <c:yVal>
            <c:numRef>
              <c:f>'Curvas massa_P_II'!$G$151:$G$160</c:f>
              <c:numCache>
                <c:formatCode>General</c:formatCode>
                <c:ptCount val="10"/>
                <c:pt idx="0">
                  <c:v>1.9039999999999999</c:v>
                </c:pt>
                <c:pt idx="1">
                  <c:v>1.853</c:v>
                </c:pt>
                <c:pt idx="2">
                  <c:v>1.968</c:v>
                </c:pt>
                <c:pt idx="3">
                  <c:v>1.9019999999999999</c:v>
                </c:pt>
                <c:pt idx="4">
                  <c:v>1.9610000000000001</c:v>
                </c:pt>
                <c:pt idx="5">
                  <c:v>1.97</c:v>
                </c:pt>
                <c:pt idx="6">
                  <c:v>1.6160000000000001</c:v>
                </c:pt>
                <c:pt idx="7">
                  <c:v>1.915</c:v>
                </c:pt>
                <c:pt idx="8">
                  <c:v>2.0339999999999998</c:v>
                </c:pt>
                <c:pt idx="9">
                  <c:v>1.968</c:v>
                </c:pt>
              </c:numCache>
            </c:numRef>
          </c:yVal>
          <c:smooth val="0"/>
        </c:ser>
        <c:ser>
          <c:idx val="3"/>
          <c:order val="3"/>
          <c:tx>
            <c:v>NBS19 C</c:v>
          </c:tx>
          <c:spPr>
            <a:ln w="12700" cap="rnd">
              <a:solidFill>
                <a:schemeClr val="accent4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'Curvas massa_P_II'!$AL$20:$AL$21</c:f>
              <c:numCache>
                <c:formatCode>General</c:formatCode>
                <c:ptCount val="2"/>
                <c:pt idx="0">
                  <c:v>0</c:v>
                </c:pt>
                <c:pt idx="1">
                  <c:v>8000</c:v>
                </c:pt>
              </c:numCache>
            </c:numRef>
          </c:xVal>
          <c:yVal>
            <c:numRef>
              <c:f>'Curvas massa_P_II'!$AN$20:$AN$21</c:f>
              <c:numCache>
                <c:formatCode>General</c:formatCode>
                <c:ptCount val="2"/>
                <c:pt idx="0">
                  <c:v>1.95</c:v>
                </c:pt>
                <c:pt idx="1">
                  <c:v>1.95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7988928"/>
        <c:axId val="137989504"/>
      </c:scatterChart>
      <c:scatterChart>
        <c:scatterStyle val="lineMarker"/>
        <c:varyColors val="0"/>
        <c:ser>
          <c:idx val="0"/>
          <c:order val="0"/>
          <c:tx>
            <c:v>d18O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'Curvas massa_P_II'!$AQ$151:$AQ$160</c:f>
              <c:numCache>
                <c:formatCode>General</c:formatCode>
                <c:ptCount val="10"/>
                <c:pt idx="0">
                  <c:v>2123</c:v>
                </c:pt>
                <c:pt idx="1">
                  <c:v>1687</c:v>
                </c:pt>
                <c:pt idx="2">
                  <c:v>1283</c:v>
                </c:pt>
                <c:pt idx="3">
                  <c:v>1588</c:v>
                </c:pt>
                <c:pt idx="4">
                  <c:v>1755</c:v>
                </c:pt>
                <c:pt idx="5">
                  <c:v>2192</c:v>
                </c:pt>
                <c:pt idx="6">
                  <c:v>2259</c:v>
                </c:pt>
                <c:pt idx="7">
                  <c:v>2137</c:v>
                </c:pt>
                <c:pt idx="8">
                  <c:v>1756</c:v>
                </c:pt>
                <c:pt idx="9">
                  <c:v>2078</c:v>
                </c:pt>
              </c:numCache>
            </c:numRef>
          </c:xVal>
          <c:yVal>
            <c:numRef>
              <c:f>'Curvas massa_P_II'!$J$151:$J$160</c:f>
              <c:numCache>
                <c:formatCode>General</c:formatCode>
                <c:ptCount val="10"/>
                <c:pt idx="0">
                  <c:v>-1.8440000000000001</c:v>
                </c:pt>
                <c:pt idx="1">
                  <c:v>-2.2429999999999999</c:v>
                </c:pt>
                <c:pt idx="2">
                  <c:v>-2.0859999999999999</c:v>
                </c:pt>
                <c:pt idx="3">
                  <c:v>-2.3580000000000001</c:v>
                </c:pt>
                <c:pt idx="4">
                  <c:v>-2.2559999999999998</c:v>
                </c:pt>
                <c:pt idx="5">
                  <c:v>-2.278</c:v>
                </c:pt>
                <c:pt idx="6">
                  <c:v>-2.6850000000000001</c:v>
                </c:pt>
                <c:pt idx="7">
                  <c:v>-2.2919999999999998</c:v>
                </c:pt>
                <c:pt idx="8">
                  <c:v>-2.4329999999999998</c:v>
                </c:pt>
                <c:pt idx="9">
                  <c:v>-2.2810000000000001</c:v>
                </c:pt>
              </c:numCache>
            </c:numRef>
          </c:yVal>
          <c:smooth val="0"/>
        </c:ser>
        <c:ser>
          <c:idx val="1"/>
          <c:order val="2"/>
          <c:tx>
            <c:v>NBS19 O</c:v>
          </c:tx>
          <c:spPr>
            <a:ln w="12700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'Curvas massa_P_II'!$AL$20:$AL$21</c:f>
              <c:numCache>
                <c:formatCode>General</c:formatCode>
                <c:ptCount val="2"/>
                <c:pt idx="0">
                  <c:v>0</c:v>
                </c:pt>
                <c:pt idx="1">
                  <c:v>8000</c:v>
                </c:pt>
              </c:numCache>
            </c:numRef>
          </c:xVal>
          <c:yVal>
            <c:numRef>
              <c:f>'Curvas massa_P_II'!$AM$20:$AM$21</c:f>
              <c:numCache>
                <c:formatCode>General</c:formatCode>
                <c:ptCount val="2"/>
                <c:pt idx="0">
                  <c:v>-2.2000000000000002</c:v>
                </c:pt>
                <c:pt idx="1">
                  <c:v>-2.2000000000000002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7990656"/>
        <c:axId val="137990080"/>
      </c:scatterChart>
      <c:valAx>
        <c:axId val="137988928"/>
        <c:scaling>
          <c:orientation val="minMax"/>
          <c:max val="80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Initial Int</a:t>
                </a:r>
                <a:r>
                  <a:rPr lang="pt-BR" baseline="0"/>
                  <a:t> (mV)</a:t>
                </a:r>
                <a:endParaRPr lang="pt-BR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7989504"/>
        <c:crosses val="autoZero"/>
        <c:crossBetween val="midCat"/>
      </c:valAx>
      <c:valAx>
        <c:axId val="137989504"/>
        <c:scaling>
          <c:orientation val="minMax"/>
          <c:max val="3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d13C (%o)</a:t>
                </a:r>
              </a:p>
            </c:rich>
          </c:tx>
          <c:layout>
            <c:manualLayout>
              <c:xMode val="edge"/>
              <c:yMode val="edge"/>
              <c:x val="2.1581263880476501E-2"/>
              <c:y val="0.37772382618839301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7988928"/>
        <c:crosses val="autoZero"/>
        <c:crossBetween val="midCat"/>
      </c:valAx>
      <c:valAx>
        <c:axId val="137990080"/>
        <c:scaling>
          <c:orientation val="minMax"/>
          <c:max val="0"/>
          <c:min val="-8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d18O (%o)</a:t>
                </a:r>
              </a:p>
            </c:rich>
          </c:tx>
          <c:layout>
            <c:manualLayout>
              <c:xMode val="edge"/>
              <c:yMode val="edge"/>
              <c:x val="0.94196789824348903"/>
              <c:y val="0.37171660834062398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7990656"/>
        <c:crosses val="max"/>
        <c:crossBetween val="midCat"/>
      </c:valAx>
      <c:valAx>
        <c:axId val="13799065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379900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5081714785651801"/>
          <c:y val="0.16892016816482"/>
          <c:w val="0.793293963254593"/>
          <c:h val="0.66254616403038102"/>
        </c:manualLayout>
      </c:layout>
      <c:scatterChart>
        <c:scatterStyle val="lineMarker"/>
        <c:varyColors val="0"/>
        <c:ser>
          <c:idx val="1"/>
          <c:order val="0"/>
          <c:tx>
            <c:v>Thermo</c:v>
          </c:tx>
          <c:spPr>
            <a:ln w="95250" cap="rnd">
              <a:solidFill>
                <a:schemeClr val="bg1">
                  <a:lumMod val="85000"/>
                  <a:alpha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'Curvas massa_P_II'!$AO$11:$AO$17</c:f>
              <c:numCache>
                <c:formatCode>General</c:formatCode>
                <c:ptCount val="7"/>
                <c:pt idx="0">
                  <c:v>200</c:v>
                </c:pt>
                <c:pt idx="1">
                  <c:v>400</c:v>
                </c:pt>
                <c:pt idx="2">
                  <c:v>500</c:v>
                </c:pt>
                <c:pt idx="3">
                  <c:v>600</c:v>
                </c:pt>
                <c:pt idx="4">
                  <c:v>700</c:v>
                </c:pt>
                <c:pt idx="5">
                  <c:v>800</c:v>
                </c:pt>
                <c:pt idx="6">
                  <c:v>950</c:v>
                </c:pt>
              </c:numCache>
            </c:numRef>
          </c:xVal>
          <c:yVal>
            <c:numRef>
              <c:f>'Curvas massa_P_II'!$AP$11:$AP$17</c:f>
              <c:numCache>
                <c:formatCode>General</c:formatCode>
                <c:ptCount val="7"/>
                <c:pt idx="0">
                  <c:v>440</c:v>
                </c:pt>
                <c:pt idx="1">
                  <c:v>1600</c:v>
                </c:pt>
                <c:pt idx="2">
                  <c:v>2400</c:v>
                </c:pt>
                <c:pt idx="3">
                  <c:v>3400</c:v>
                </c:pt>
                <c:pt idx="4">
                  <c:v>4500</c:v>
                </c:pt>
                <c:pt idx="5">
                  <c:v>5800</c:v>
                </c:pt>
                <c:pt idx="6">
                  <c:v>8000</c:v>
                </c:pt>
              </c:numCache>
            </c:numRef>
          </c:yVal>
          <c:smooth val="1"/>
        </c:ser>
        <c:ser>
          <c:idx val="0"/>
          <c:order val="1"/>
          <c:tx>
            <c:v>Initial Int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0.18058543891767001"/>
                  <c:y val="-8.4079313094712699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1" i="0" u="none" strike="noStrike" kern="120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numRef>
              <c:f>('Curvas massa_P_II'!$AC$7:$AC$33,'Curvas massa_P_II'!$AI$37:$AI$66,'Curvas massa_P_II'!$AK$70:$AK$107,'Curvas massa_P_II'!$AQ$113:$AQ$146,'Curvas massa_P_II'!$AO$151:$AO$160)</c:f>
              <c:numCache>
                <c:formatCode>General</c:formatCode>
                <c:ptCount val="139"/>
                <c:pt idx="0">
                  <c:v>795</c:v>
                </c:pt>
                <c:pt idx="1">
                  <c:v>841</c:v>
                </c:pt>
                <c:pt idx="2">
                  <c:v>466</c:v>
                </c:pt>
                <c:pt idx="3">
                  <c:v>434</c:v>
                </c:pt>
                <c:pt idx="4">
                  <c:v>558</c:v>
                </c:pt>
                <c:pt idx="5">
                  <c:v>402</c:v>
                </c:pt>
                <c:pt idx="6">
                  <c:v>554</c:v>
                </c:pt>
                <c:pt idx="7">
                  <c:v>593</c:v>
                </c:pt>
                <c:pt idx="8">
                  <c:v>621</c:v>
                </c:pt>
                <c:pt idx="9">
                  <c:v>618</c:v>
                </c:pt>
                <c:pt idx="10">
                  <c:v>568</c:v>
                </c:pt>
                <c:pt idx="11">
                  <c:v>660</c:v>
                </c:pt>
                <c:pt idx="12">
                  <c:v>636</c:v>
                </c:pt>
                <c:pt idx="13">
                  <c:v>760</c:v>
                </c:pt>
                <c:pt idx="14">
                  <c:v>728</c:v>
                </c:pt>
                <c:pt idx="15">
                  <c:v>823</c:v>
                </c:pt>
                <c:pt idx="16">
                  <c:v>714</c:v>
                </c:pt>
                <c:pt idx="17">
                  <c:v>823</c:v>
                </c:pt>
                <c:pt idx="18">
                  <c:v>742</c:v>
                </c:pt>
                <c:pt idx="19">
                  <c:v>827</c:v>
                </c:pt>
                <c:pt idx="20">
                  <c:v>752</c:v>
                </c:pt>
                <c:pt idx="21">
                  <c:v>880</c:v>
                </c:pt>
                <c:pt idx="22">
                  <c:v>891</c:v>
                </c:pt>
                <c:pt idx="23">
                  <c:v>876</c:v>
                </c:pt>
                <c:pt idx="24">
                  <c:v>919</c:v>
                </c:pt>
                <c:pt idx="25">
                  <c:v>855</c:v>
                </c:pt>
                <c:pt idx="26">
                  <c:v>852</c:v>
                </c:pt>
                <c:pt idx="27">
                  <c:v>731</c:v>
                </c:pt>
                <c:pt idx="28">
                  <c:v>529</c:v>
                </c:pt>
                <c:pt idx="29">
                  <c:v>710</c:v>
                </c:pt>
                <c:pt idx="30">
                  <c:v>671</c:v>
                </c:pt>
                <c:pt idx="31">
                  <c:v>678</c:v>
                </c:pt>
                <c:pt idx="32">
                  <c:v>813</c:v>
                </c:pt>
                <c:pt idx="33">
                  <c:v>721</c:v>
                </c:pt>
                <c:pt idx="34">
                  <c:v>671</c:v>
                </c:pt>
                <c:pt idx="35">
                  <c:v>710</c:v>
                </c:pt>
                <c:pt idx="36">
                  <c:v>745</c:v>
                </c:pt>
                <c:pt idx="37">
                  <c:v>908</c:v>
                </c:pt>
                <c:pt idx="38">
                  <c:v>845</c:v>
                </c:pt>
                <c:pt idx="39">
                  <c:v>894</c:v>
                </c:pt>
                <c:pt idx="40">
                  <c:v>816</c:v>
                </c:pt>
                <c:pt idx="41">
                  <c:v>873</c:v>
                </c:pt>
                <c:pt idx="42">
                  <c:v>745</c:v>
                </c:pt>
                <c:pt idx="43">
                  <c:v>873</c:v>
                </c:pt>
                <c:pt idx="44">
                  <c:v>767</c:v>
                </c:pt>
                <c:pt idx="45">
                  <c:v>756</c:v>
                </c:pt>
                <c:pt idx="46">
                  <c:v>898</c:v>
                </c:pt>
                <c:pt idx="47">
                  <c:v>887</c:v>
                </c:pt>
                <c:pt idx="48">
                  <c:v>901</c:v>
                </c:pt>
                <c:pt idx="49">
                  <c:v>965</c:v>
                </c:pt>
                <c:pt idx="50">
                  <c:v>919</c:v>
                </c:pt>
                <c:pt idx="51">
                  <c:v>976</c:v>
                </c:pt>
                <c:pt idx="52">
                  <c:v>958</c:v>
                </c:pt>
                <c:pt idx="53">
                  <c:v>947</c:v>
                </c:pt>
                <c:pt idx="54">
                  <c:v>944</c:v>
                </c:pt>
                <c:pt idx="55">
                  <c:v>968</c:v>
                </c:pt>
                <c:pt idx="56">
                  <c:v>944</c:v>
                </c:pt>
                <c:pt idx="57">
                  <c:v>848</c:v>
                </c:pt>
                <c:pt idx="58">
                  <c:v>816</c:v>
                </c:pt>
                <c:pt idx="59">
                  <c:v>845</c:v>
                </c:pt>
                <c:pt idx="60">
                  <c:v>760</c:v>
                </c:pt>
                <c:pt idx="61">
                  <c:v>830</c:v>
                </c:pt>
                <c:pt idx="62">
                  <c:v>837</c:v>
                </c:pt>
                <c:pt idx="63">
                  <c:v>806</c:v>
                </c:pt>
                <c:pt idx="64">
                  <c:v>813</c:v>
                </c:pt>
                <c:pt idx="65">
                  <c:v>806</c:v>
                </c:pt>
                <c:pt idx="66">
                  <c:v>745</c:v>
                </c:pt>
                <c:pt idx="67">
                  <c:v>756</c:v>
                </c:pt>
                <c:pt idx="68">
                  <c:v>834</c:v>
                </c:pt>
                <c:pt idx="69">
                  <c:v>901</c:v>
                </c:pt>
                <c:pt idx="70">
                  <c:v>887</c:v>
                </c:pt>
                <c:pt idx="71">
                  <c:v>852</c:v>
                </c:pt>
                <c:pt idx="72">
                  <c:v>852</c:v>
                </c:pt>
                <c:pt idx="73">
                  <c:v>855</c:v>
                </c:pt>
                <c:pt idx="74">
                  <c:v>823</c:v>
                </c:pt>
                <c:pt idx="75">
                  <c:v>922</c:v>
                </c:pt>
                <c:pt idx="76">
                  <c:v>841</c:v>
                </c:pt>
                <c:pt idx="77">
                  <c:v>848</c:v>
                </c:pt>
                <c:pt idx="78">
                  <c:v>933</c:v>
                </c:pt>
                <c:pt idx="79">
                  <c:v>841</c:v>
                </c:pt>
                <c:pt idx="80">
                  <c:v>894</c:v>
                </c:pt>
                <c:pt idx="81">
                  <c:v>961</c:v>
                </c:pt>
                <c:pt idx="82">
                  <c:v>961</c:v>
                </c:pt>
                <c:pt idx="83">
                  <c:v>884</c:v>
                </c:pt>
                <c:pt idx="84">
                  <c:v>951</c:v>
                </c:pt>
                <c:pt idx="85">
                  <c:v>919</c:v>
                </c:pt>
                <c:pt idx="86">
                  <c:v>930</c:v>
                </c:pt>
                <c:pt idx="87">
                  <c:v>802</c:v>
                </c:pt>
                <c:pt idx="88">
                  <c:v>951</c:v>
                </c:pt>
                <c:pt idx="89">
                  <c:v>940</c:v>
                </c:pt>
                <c:pt idx="90">
                  <c:v>922</c:v>
                </c:pt>
                <c:pt idx="91">
                  <c:v>735</c:v>
                </c:pt>
                <c:pt idx="92">
                  <c:v>752</c:v>
                </c:pt>
                <c:pt idx="93">
                  <c:v>706</c:v>
                </c:pt>
                <c:pt idx="94">
                  <c:v>685</c:v>
                </c:pt>
                <c:pt idx="95">
                  <c:v>735</c:v>
                </c:pt>
                <c:pt idx="96">
                  <c:v>763</c:v>
                </c:pt>
                <c:pt idx="97">
                  <c:v>728</c:v>
                </c:pt>
                <c:pt idx="98">
                  <c:v>784</c:v>
                </c:pt>
                <c:pt idx="99">
                  <c:v>802</c:v>
                </c:pt>
                <c:pt idx="100">
                  <c:v>816</c:v>
                </c:pt>
                <c:pt idx="101">
                  <c:v>968</c:v>
                </c:pt>
                <c:pt idx="103">
                  <c:v>912</c:v>
                </c:pt>
                <c:pt idx="104">
                  <c:v>894</c:v>
                </c:pt>
                <c:pt idx="105">
                  <c:v>905</c:v>
                </c:pt>
                <c:pt idx="106">
                  <c:v>944</c:v>
                </c:pt>
                <c:pt idx="107">
                  <c:v>884</c:v>
                </c:pt>
                <c:pt idx="108">
                  <c:v>809</c:v>
                </c:pt>
                <c:pt idx="109">
                  <c:v>852</c:v>
                </c:pt>
                <c:pt idx="110">
                  <c:v>876</c:v>
                </c:pt>
                <c:pt idx="111">
                  <c:v>752</c:v>
                </c:pt>
                <c:pt idx="112">
                  <c:v>834</c:v>
                </c:pt>
                <c:pt idx="113">
                  <c:v>873</c:v>
                </c:pt>
                <c:pt idx="114">
                  <c:v>859</c:v>
                </c:pt>
                <c:pt idx="115">
                  <c:v>749</c:v>
                </c:pt>
                <c:pt idx="116">
                  <c:v>873</c:v>
                </c:pt>
                <c:pt idx="117">
                  <c:v>827</c:v>
                </c:pt>
                <c:pt idx="118">
                  <c:v>813</c:v>
                </c:pt>
                <c:pt idx="119">
                  <c:v>791</c:v>
                </c:pt>
                <c:pt idx="120">
                  <c:v>745</c:v>
                </c:pt>
                <c:pt idx="121">
                  <c:v>905</c:v>
                </c:pt>
                <c:pt idx="122">
                  <c:v>837</c:v>
                </c:pt>
                <c:pt idx="123">
                  <c:v>866</c:v>
                </c:pt>
                <c:pt idx="124">
                  <c:v>862</c:v>
                </c:pt>
                <c:pt idx="125">
                  <c:v>905</c:v>
                </c:pt>
                <c:pt idx="126">
                  <c:v>866</c:v>
                </c:pt>
                <c:pt idx="127">
                  <c:v>834</c:v>
                </c:pt>
                <c:pt idx="128">
                  <c:v>791</c:v>
                </c:pt>
                <c:pt idx="129">
                  <c:v>607</c:v>
                </c:pt>
                <c:pt idx="130">
                  <c:v>551</c:v>
                </c:pt>
                <c:pt idx="131">
                  <c:v>476</c:v>
                </c:pt>
                <c:pt idx="132">
                  <c:v>536</c:v>
                </c:pt>
                <c:pt idx="133">
                  <c:v>575</c:v>
                </c:pt>
                <c:pt idx="134">
                  <c:v>625</c:v>
                </c:pt>
                <c:pt idx="135">
                  <c:v>650</c:v>
                </c:pt>
                <c:pt idx="136">
                  <c:v>639</c:v>
                </c:pt>
                <c:pt idx="137">
                  <c:v>572</c:v>
                </c:pt>
                <c:pt idx="138">
                  <c:v>632</c:v>
                </c:pt>
              </c:numCache>
            </c:numRef>
          </c:xVal>
          <c:yVal>
            <c:numRef>
              <c:f>('Curvas massa_P_II'!$AD$7:$AD$33,'Curvas massa_P_II'!$AK$37:$AK$66,'Curvas massa_P_II'!$AM$70:$AM$107,'Curvas massa_P_II'!$AR$113:$AR$146,'Curvas massa_P_II'!$AQ$151:$AQ$160)</c:f>
              <c:numCache>
                <c:formatCode>General</c:formatCode>
                <c:ptCount val="139"/>
                <c:pt idx="0">
                  <c:v>3536</c:v>
                </c:pt>
                <c:pt idx="1">
                  <c:v>4302</c:v>
                </c:pt>
                <c:pt idx="2">
                  <c:v>1138</c:v>
                </c:pt>
                <c:pt idx="3">
                  <c:v>929</c:v>
                </c:pt>
                <c:pt idx="4">
                  <c:v>1564</c:v>
                </c:pt>
                <c:pt idx="5">
                  <c:v>896</c:v>
                </c:pt>
                <c:pt idx="6">
                  <c:v>1580</c:v>
                </c:pt>
                <c:pt idx="7">
                  <c:v>1821</c:v>
                </c:pt>
                <c:pt idx="8">
                  <c:v>1962</c:v>
                </c:pt>
                <c:pt idx="9">
                  <c:v>2070</c:v>
                </c:pt>
                <c:pt idx="10">
                  <c:v>1576</c:v>
                </c:pt>
                <c:pt idx="11">
                  <c:v>2249</c:v>
                </c:pt>
                <c:pt idx="12">
                  <c:v>1873</c:v>
                </c:pt>
                <c:pt idx="13">
                  <c:v>2967</c:v>
                </c:pt>
                <c:pt idx="14">
                  <c:v>2588</c:v>
                </c:pt>
                <c:pt idx="15">
                  <c:v>3470</c:v>
                </c:pt>
                <c:pt idx="16">
                  <c:v>2395</c:v>
                </c:pt>
                <c:pt idx="17">
                  <c:v>3492</c:v>
                </c:pt>
                <c:pt idx="18">
                  <c:v>2649</c:v>
                </c:pt>
                <c:pt idx="19">
                  <c:v>3509</c:v>
                </c:pt>
                <c:pt idx="20">
                  <c:v>2735</c:v>
                </c:pt>
                <c:pt idx="21">
                  <c:v>3965</c:v>
                </c:pt>
                <c:pt idx="22">
                  <c:v>4012</c:v>
                </c:pt>
                <c:pt idx="23">
                  <c:v>4099</c:v>
                </c:pt>
                <c:pt idx="24">
                  <c:v>4548</c:v>
                </c:pt>
                <c:pt idx="25">
                  <c:v>3813</c:v>
                </c:pt>
                <c:pt idx="26">
                  <c:v>3677</c:v>
                </c:pt>
                <c:pt idx="27">
                  <c:v>3008</c:v>
                </c:pt>
                <c:pt idx="28">
                  <c:v>1408</c:v>
                </c:pt>
                <c:pt idx="29">
                  <c:v>2777</c:v>
                </c:pt>
                <c:pt idx="30">
                  <c:v>2438</c:v>
                </c:pt>
                <c:pt idx="31">
                  <c:v>2354</c:v>
                </c:pt>
                <c:pt idx="32">
                  <c:v>3878</c:v>
                </c:pt>
                <c:pt idx="33">
                  <c:v>2482</c:v>
                </c:pt>
                <c:pt idx="34">
                  <c:v>2312</c:v>
                </c:pt>
                <c:pt idx="35">
                  <c:v>2521</c:v>
                </c:pt>
                <c:pt idx="36">
                  <c:v>2964</c:v>
                </c:pt>
                <c:pt idx="37">
                  <c:v>5338</c:v>
                </c:pt>
                <c:pt idx="38">
                  <c:v>4035</c:v>
                </c:pt>
                <c:pt idx="39">
                  <c:v>4700</c:v>
                </c:pt>
                <c:pt idx="40">
                  <c:v>3735</c:v>
                </c:pt>
                <c:pt idx="41">
                  <c:v>4962</c:v>
                </c:pt>
                <c:pt idx="42">
                  <c:v>3039</c:v>
                </c:pt>
                <c:pt idx="43">
                  <c:v>4485</c:v>
                </c:pt>
                <c:pt idx="44">
                  <c:v>3269</c:v>
                </c:pt>
                <c:pt idx="45">
                  <c:v>3258</c:v>
                </c:pt>
                <c:pt idx="46">
                  <c:v>5402</c:v>
                </c:pt>
                <c:pt idx="47">
                  <c:v>4968</c:v>
                </c:pt>
                <c:pt idx="48">
                  <c:v>5306</c:v>
                </c:pt>
                <c:pt idx="49">
                  <c:v>6327</c:v>
                </c:pt>
                <c:pt idx="50">
                  <c:v>5331</c:v>
                </c:pt>
                <c:pt idx="51">
                  <c:v>6036</c:v>
                </c:pt>
                <c:pt idx="52">
                  <c:v>6087</c:v>
                </c:pt>
                <c:pt idx="53">
                  <c:v>5487</c:v>
                </c:pt>
                <c:pt idx="54">
                  <c:v>5278</c:v>
                </c:pt>
                <c:pt idx="55">
                  <c:v>5949</c:v>
                </c:pt>
                <c:pt idx="56">
                  <c:v>5227</c:v>
                </c:pt>
                <c:pt idx="57">
                  <c:v>5288</c:v>
                </c:pt>
                <c:pt idx="58">
                  <c:v>4185</c:v>
                </c:pt>
                <c:pt idx="59">
                  <c:v>4819</c:v>
                </c:pt>
                <c:pt idx="60">
                  <c:v>3798</c:v>
                </c:pt>
                <c:pt idx="61">
                  <c:v>5318</c:v>
                </c:pt>
                <c:pt idx="62">
                  <c:v>4843</c:v>
                </c:pt>
                <c:pt idx="63">
                  <c:v>4041</c:v>
                </c:pt>
                <c:pt idx="64">
                  <c:v>4041</c:v>
                </c:pt>
                <c:pt idx="65">
                  <c:v>4030</c:v>
                </c:pt>
                <c:pt idx="66">
                  <c:v>3124</c:v>
                </c:pt>
                <c:pt idx="67">
                  <c:v>3117</c:v>
                </c:pt>
                <c:pt idx="68">
                  <c:v>4191</c:v>
                </c:pt>
                <c:pt idx="69">
                  <c:v>5869</c:v>
                </c:pt>
                <c:pt idx="70">
                  <c:v>5413</c:v>
                </c:pt>
                <c:pt idx="71">
                  <c:v>4910</c:v>
                </c:pt>
                <c:pt idx="72">
                  <c:v>5233</c:v>
                </c:pt>
                <c:pt idx="73">
                  <c:v>5338</c:v>
                </c:pt>
                <c:pt idx="74">
                  <c:v>4704</c:v>
                </c:pt>
                <c:pt idx="75">
                  <c:v>6705</c:v>
                </c:pt>
                <c:pt idx="76">
                  <c:v>5079</c:v>
                </c:pt>
                <c:pt idx="77">
                  <c:v>4824</c:v>
                </c:pt>
                <c:pt idx="78">
                  <c:v>6399</c:v>
                </c:pt>
                <c:pt idx="79">
                  <c:v>4700</c:v>
                </c:pt>
                <c:pt idx="80">
                  <c:v>5616</c:v>
                </c:pt>
                <c:pt idx="81">
                  <c:v>7323</c:v>
                </c:pt>
                <c:pt idx="82">
                  <c:v>6884</c:v>
                </c:pt>
                <c:pt idx="83">
                  <c:v>5572</c:v>
                </c:pt>
                <c:pt idx="84">
                  <c:v>6917</c:v>
                </c:pt>
                <c:pt idx="85">
                  <c:v>6480</c:v>
                </c:pt>
                <c:pt idx="86">
                  <c:v>6314</c:v>
                </c:pt>
                <c:pt idx="87">
                  <c:v>3831</c:v>
                </c:pt>
                <c:pt idx="88">
                  <c:v>6474</c:v>
                </c:pt>
                <c:pt idx="89">
                  <c:v>6345</c:v>
                </c:pt>
                <c:pt idx="90">
                  <c:v>5639</c:v>
                </c:pt>
                <c:pt idx="91">
                  <c:v>3172</c:v>
                </c:pt>
                <c:pt idx="92">
                  <c:v>3219</c:v>
                </c:pt>
                <c:pt idx="93">
                  <c:v>2823</c:v>
                </c:pt>
                <c:pt idx="94">
                  <c:v>2729</c:v>
                </c:pt>
                <c:pt idx="95">
                  <c:v>3708</c:v>
                </c:pt>
                <c:pt idx="96">
                  <c:v>4166</c:v>
                </c:pt>
                <c:pt idx="97">
                  <c:v>3358</c:v>
                </c:pt>
                <c:pt idx="98">
                  <c:v>4364</c:v>
                </c:pt>
                <c:pt idx="99">
                  <c:v>4098</c:v>
                </c:pt>
                <c:pt idx="100">
                  <c:v>4238</c:v>
                </c:pt>
                <c:pt idx="101">
                  <c:v>7750</c:v>
                </c:pt>
                <c:pt idx="103">
                  <c:v>5145</c:v>
                </c:pt>
                <c:pt idx="104">
                  <c:v>5033</c:v>
                </c:pt>
                <c:pt idx="105">
                  <c:v>5077</c:v>
                </c:pt>
                <c:pt idx="106">
                  <c:v>5355</c:v>
                </c:pt>
                <c:pt idx="107">
                  <c:v>4647</c:v>
                </c:pt>
                <c:pt idx="108">
                  <c:v>3561</c:v>
                </c:pt>
                <c:pt idx="109">
                  <c:v>3770</c:v>
                </c:pt>
                <c:pt idx="110">
                  <c:v>4508</c:v>
                </c:pt>
                <c:pt idx="111">
                  <c:v>3089</c:v>
                </c:pt>
                <c:pt idx="112">
                  <c:v>4146</c:v>
                </c:pt>
                <c:pt idx="113">
                  <c:v>4515</c:v>
                </c:pt>
                <c:pt idx="114">
                  <c:v>4345</c:v>
                </c:pt>
                <c:pt idx="115">
                  <c:v>3012</c:v>
                </c:pt>
                <c:pt idx="116">
                  <c:v>4495</c:v>
                </c:pt>
                <c:pt idx="117">
                  <c:v>3785</c:v>
                </c:pt>
                <c:pt idx="118">
                  <c:v>3597</c:v>
                </c:pt>
                <c:pt idx="119">
                  <c:v>3476</c:v>
                </c:pt>
                <c:pt idx="120">
                  <c:v>2934</c:v>
                </c:pt>
                <c:pt idx="121">
                  <c:v>5007</c:v>
                </c:pt>
                <c:pt idx="122">
                  <c:v>3959</c:v>
                </c:pt>
                <c:pt idx="123">
                  <c:v>4431</c:v>
                </c:pt>
                <c:pt idx="124">
                  <c:v>4278</c:v>
                </c:pt>
                <c:pt idx="125">
                  <c:v>4776</c:v>
                </c:pt>
                <c:pt idx="126">
                  <c:v>4317</c:v>
                </c:pt>
                <c:pt idx="127">
                  <c:v>3916</c:v>
                </c:pt>
                <c:pt idx="128">
                  <c:v>3332</c:v>
                </c:pt>
                <c:pt idx="129">
                  <c:v>2123</c:v>
                </c:pt>
                <c:pt idx="130">
                  <c:v>1687</c:v>
                </c:pt>
                <c:pt idx="131">
                  <c:v>1283</c:v>
                </c:pt>
                <c:pt idx="132">
                  <c:v>1588</c:v>
                </c:pt>
                <c:pt idx="133">
                  <c:v>1755</c:v>
                </c:pt>
                <c:pt idx="134">
                  <c:v>2192</c:v>
                </c:pt>
                <c:pt idx="135">
                  <c:v>2259</c:v>
                </c:pt>
                <c:pt idx="136">
                  <c:v>2137</c:v>
                </c:pt>
                <c:pt idx="137">
                  <c:v>1756</c:v>
                </c:pt>
                <c:pt idx="138">
                  <c:v>2078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223616"/>
        <c:axId val="138224192"/>
      </c:scatterChart>
      <c:valAx>
        <c:axId val="138223616"/>
        <c:scaling>
          <c:orientation val="minMax"/>
          <c:max val="12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Pressure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8224192"/>
        <c:crosses val="autoZero"/>
        <c:crossBetween val="midCat"/>
      </c:valAx>
      <c:valAx>
        <c:axId val="138224192"/>
        <c:scaling>
          <c:orientation val="minMax"/>
          <c:max val="1000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Intensity</a:t>
                </a:r>
              </a:p>
            </c:rich>
          </c:tx>
          <c:layout>
            <c:manualLayout>
              <c:xMode val="edge"/>
              <c:yMode val="edge"/>
              <c:x val="1.38888888888889E-2"/>
              <c:y val="0.27587197433654098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82236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6.3861968688079099E-2"/>
          <c:y val="2.3598820058997001E-2"/>
          <c:w val="0.87227588315916005"/>
          <c:h val="0.12291145022801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2 gotas</c:v>
          </c:tx>
          <c:spPr>
            <a:ln w="31750">
              <a:noFill/>
            </a:ln>
          </c:spPr>
          <c:marker>
            <c:symbol val="square"/>
            <c:size val="6"/>
            <c:spPr>
              <a:noFill/>
              <a:ln w="25400">
                <a:solidFill>
                  <a:schemeClr val="accent6"/>
                </a:solidFill>
              </a:ln>
            </c:spPr>
          </c:marker>
          <c:xVal>
            <c:numRef>
              <c:f>(Gotas!$AT$161:$AT$168,Gotas!$AT$171:$AT$172)</c:f>
              <c:numCache>
                <c:formatCode>General</c:formatCode>
                <c:ptCount val="10"/>
                <c:pt idx="0">
                  <c:v>18</c:v>
                </c:pt>
                <c:pt idx="1">
                  <c:v>18</c:v>
                </c:pt>
                <c:pt idx="2">
                  <c:v>18</c:v>
                </c:pt>
                <c:pt idx="3">
                  <c:v>18</c:v>
                </c:pt>
                <c:pt idx="4">
                  <c:v>18</c:v>
                </c:pt>
                <c:pt idx="5">
                  <c:v>27</c:v>
                </c:pt>
                <c:pt idx="6">
                  <c:v>27</c:v>
                </c:pt>
                <c:pt idx="7">
                  <c:v>27</c:v>
                </c:pt>
                <c:pt idx="8">
                  <c:v>36</c:v>
                </c:pt>
                <c:pt idx="9">
                  <c:v>36</c:v>
                </c:pt>
              </c:numCache>
            </c:numRef>
          </c:xVal>
          <c:yVal>
            <c:numRef>
              <c:f>(Gotas!$AP$161:$AP$168,Gotas!$AP$171:$AP$172)</c:f>
              <c:numCache>
                <c:formatCode>General</c:formatCode>
                <c:ptCount val="10"/>
                <c:pt idx="0">
                  <c:v>1443</c:v>
                </c:pt>
                <c:pt idx="1">
                  <c:v>2059</c:v>
                </c:pt>
                <c:pt idx="2">
                  <c:v>1751</c:v>
                </c:pt>
                <c:pt idx="3">
                  <c:v>2008</c:v>
                </c:pt>
                <c:pt idx="4">
                  <c:v>1621</c:v>
                </c:pt>
                <c:pt idx="5">
                  <c:v>3984</c:v>
                </c:pt>
                <c:pt idx="6">
                  <c:v>2630</c:v>
                </c:pt>
                <c:pt idx="7">
                  <c:v>801</c:v>
                </c:pt>
                <c:pt idx="8">
                  <c:v>4140</c:v>
                </c:pt>
                <c:pt idx="9">
                  <c:v>5234</c:v>
                </c:pt>
              </c:numCache>
            </c:numRef>
          </c:yVal>
          <c:smooth val="0"/>
        </c:ser>
        <c:ser>
          <c:idx val="1"/>
          <c:order val="1"/>
          <c:tx>
            <c:v>3 gotas</c:v>
          </c:tx>
          <c:spPr>
            <a:ln w="31750">
              <a:noFill/>
            </a:ln>
          </c:spPr>
          <c:marker>
            <c:symbol val="square"/>
            <c:size val="6"/>
            <c:spPr>
              <a:noFill/>
              <a:ln w="25400">
                <a:solidFill>
                  <a:schemeClr val="accent5"/>
                </a:solidFill>
              </a:ln>
            </c:spPr>
          </c:marker>
          <c:xVal>
            <c:numRef>
              <c:f>(Gotas!$AG$7:$AG$33,Gotas!$AJ$37:$AJ$66,Gotas!$AL$70:$AL$107,Gotas!$AR$113:$AR$146,Gotas!$AT$151:$AT$160)</c:f>
              <c:numCache>
                <c:formatCode>General</c:formatCode>
                <c:ptCount val="139"/>
                <c:pt idx="0">
                  <c:v>27</c:v>
                </c:pt>
                <c:pt idx="1">
                  <c:v>27</c:v>
                </c:pt>
                <c:pt idx="2">
                  <c:v>9</c:v>
                </c:pt>
                <c:pt idx="3">
                  <c:v>9</c:v>
                </c:pt>
                <c:pt idx="4">
                  <c:v>9</c:v>
                </c:pt>
                <c:pt idx="5">
                  <c:v>9</c:v>
                </c:pt>
                <c:pt idx="6">
                  <c:v>18</c:v>
                </c:pt>
                <c:pt idx="7">
                  <c:v>18</c:v>
                </c:pt>
                <c:pt idx="8">
                  <c:v>18</c:v>
                </c:pt>
                <c:pt idx="9">
                  <c:v>18</c:v>
                </c:pt>
                <c:pt idx="10">
                  <c:v>18</c:v>
                </c:pt>
                <c:pt idx="11">
                  <c:v>18</c:v>
                </c:pt>
                <c:pt idx="12">
                  <c:v>18</c:v>
                </c:pt>
                <c:pt idx="13">
                  <c:v>27</c:v>
                </c:pt>
                <c:pt idx="14">
                  <c:v>27</c:v>
                </c:pt>
                <c:pt idx="15">
                  <c:v>27</c:v>
                </c:pt>
                <c:pt idx="16">
                  <c:v>27</c:v>
                </c:pt>
                <c:pt idx="17">
                  <c:v>27</c:v>
                </c:pt>
                <c:pt idx="18">
                  <c:v>27</c:v>
                </c:pt>
                <c:pt idx="19">
                  <c:v>27</c:v>
                </c:pt>
                <c:pt idx="20">
                  <c:v>27</c:v>
                </c:pt>
                <c:pt idx="21">
                  <c:v>36</c:v>
                </c:pt>
                <c:pt idx="22">
                  <c:v>36</c:v>
                </c:pt>
                <c:pt idx="23">
                  <c:v>36</c:v>
                </c:pt>
                <c:pt idx="24">
                  <c:v>36</c:v>
                </c:pt>
                <c:pt idx="25">
                  <c:v>36</c:v>
                </c:pt>
                <c:pt idx="26">
                  <c:v>36</c:v>
                </c:pt>
                <c:pt idx="27">
                  <c:v>27</c:v>
                </c:pt>
                <c:pt idx="28">
                  <c:v>27</c:v>
                </c:pt>
                <c:pt idx="29">
                  <c:v>27</c:v>
                </c:pt>
                <c:pt idx="30">
                  <c:v>27</c:v>
                </c:pt>
                <c:pt idx="31">
                  <c:v>27</c:v>
                </c:pt>
                <c:pt idx="32">
                  <c:v>27</c:v>
                </c:pt>
                <c:pt idx="33">
                  <c:v>27</c:v>
                </c:pt>
                <c:pt idx="34">
                  <c:v>27</c:v>
                </c:pt>
                <c:pt idx="35">
                  <c:v>27</c:v>
                </c:pt>
                <c:pt idx="36">
                  <c:v>27</c:v>
                </c:pt>
                <c:pt idx="37">
                  <c:v>36</c:v>
                </c:pt>
                <c:pt idx="38">
                  <c:v>36</c:v>
                </c:pt>
                <c:pt idx="39">
                  <c:v>36</c:v>
                </c:pt>
                <c:pt idx="40">
                  <c:v>36</c:v>
                </c:pt>
                <c:pt idx="41">
                  <c:v>36</c:v>
                </c:pt>
                <c:pt idx="42">
                  <c:v>36</c:v>
                </c:pt>
                <c:pt idx="43">
                  <c:v>36</c:v>
                </c:pt>
                <c:pt idx="44">
                  <c:v>36</c:v>
                </c:pt>
                <c:pt idx="45">
                  <c:v>36</c:v>
                </c:pt>
                <c:pt idx="46">
                  <c:v>36</c:v>
                </c:pt>
                <c:pt idx="47">
                  <c:v>45</c:v>
                </c:pt>
                <c:pt idx="48">
                  <c:v>45</c:v>
                </c:pt>
                <c:pt idx="49">
                  <c:v>45</c:v>
                </c:pt>
                <c:pt idx="50">
                  <c:v>45</c:v>
                </c:pt>
                <c:pt idx="51">
                  <c:v>45</c:v>
                </c:pt>
                <c:pt idx="52">
                  <c:v>45</c:v>
                </c:pt>
                <c:pt idx="53">
                  <c:v>45</c:v>
                </c:pt>
                <c:pt idx="54">
                  <c:v>45</c:v>
                </c:pt>
                <c:pt idx="55">
                  <c:v>45</c:v>
                </c:pt>
                <c:pt idx="56">
                  <c:v>45</c:v>
                </c:pt>
                <c:pt idx="57">
                  <c:v>36</c:v>
                </c:pt>
                <c:pt idx="58">
                  <c:v>36</c:v>
                </c:pt>
                <c:pt idx="59">
                  <c:v>36</c:v>
                </c:pt>
                <c:pt idx="60">
                  <c:v>36</c:v>
                </c:pt>
                <c:pt idx="61">
                  <c:v>36</c:v>
                </c:pt>
                <c:pt idx="62">
                  <c:v>36</c:v>
                </c:pt>
                <c:pt idx="63">
                  <c:v>36</c:v>
                </c:pt>
                <c:pt idx="64">
                  <c:v>36</c:v>
                </c:pt>
                <c:pt idx="65">
                  <c:v>36</c:v>
                </c:pt>
                <c:pt idx="66">
                  <c:v>36</c:v>
                </c:pt>
                <c:pt idx="67">
                  <c:v>36</c:v>
                </c:pt>
                <c:pt idx="68">
                  <c:v>36</c:v>
                </c:pt>
                <c:pt idx="69">
                  <c:v>45</c:v>
                </c:pt>
                <c:pt idx="70">
                  <c:v>45</c:v>
                </c:pt>
                <c:pt idx="71">
                  <c:v>45</c:v>
                </c:pt>
                <c:pt idx="72">
                  <c:v>45</c:v>
                </c:pt>
                <c:pt idx="73">
                  <c:v>45</c:v>
                </c:pt>
                <c:pt idx="74">
                  <c:v>45</c:v>
                </c:pt>
                <c:pt idx="75">
                  <c:v>45</c:v>
                </c:pt>
                <c:pt idx="76">
                  <c:v>45</c:v>
                </c:pt>
                <c:pt idx="77">
                  <c:v>45</c:v>
                </c:pt>
                <c:pt idx="78">
                  <c:v>45</c:v>
                </c:pt>
                <c:pt idx="79">
                  <c:v>45</c:v>
                </c:pt>
                <c:pt idx="80">
                  <c:v>54</c:v>
                </c:pt>
                <c:pt idx="81">
                  <c:v>54</c:v>
                </c:pt>
                <c:pt idx="82">
                  <c:v>54</c:v>
                </c:pt>
                <c:pt idx="83">
                  <c:v>54</c:v>
                </c:pt>
                <c:pt idx="84">
                  <c:v>54</c:v>
                </c:pt>
                <c:pt idx="85">
                  <c:v>54</c:v>
                </c:pt>
                <c:pt idx="86">
                  <c:v>54</c:v>
                </c:pt>
                <c:pt idx="87">
                  <c:v>54</c:v>
                </c:pt>
                <c:pt idx="88">
                  <c:v>54</c:v>
                </c:pt>
                <c:pt idx="89">
                  <c:v>54</c:v>
                </c:pt>
                <c:pt idx="90">
                  <c:v>54</c:v>
                </c:pt>
                <c:pt idx="91">
                  <c:v>27</c:v>
                </c:pt>
                <c:pt idx="92">
                  <c:v>27</c:v>
                </c:pt>
                <c:pt idx="93">
                  <c:v>27</c:v>
                </c:pt>
                <c:pt idx="94">
                  <c:v>27</c:v>
                </c:pt>
                <c:pt idx="95">
                  <c:v>36</c:v>
                </c:pt>
                <c:pt idx="96">
                  <c:v>36</c:v>
                </c:pt>
                <c:pt idx="97">
                  <c:v>36</c:v>
                </c:pt>
                <c:pt idx="98">
                  <c:v>36</c:v>
                </c:pt>
                <c:pt idx="99">
                  <c:v>36</c:v>
                </c:pt>
                <c:pt idx="100">
                  <c:v>36</c:v>
                </c:pt>
                <c:pt idx="101">
                  <c:v>54</c:v>
                </c:pt>
                <c:pt idx="103">
                  <c:v>36</c:v>
                </c:pt>
                <c:pt idx="104">
                  <c:v>36</c:v>
                </c:pt>
                <c:pt idx="105">
                  <c:v>36</c:v>
                </c:pt>
                <c:pt idx="106">
                  <c:v>36</c:v>
                </c:pt>
                <c:pt idx="107">
                  <c:v>36</c:v>
                </c:pt>
                <c:pt idx="108">
                  <c:v>36</c:v>
                </c:pt>
                <c:pt idx="109">
                  <c:v>36</c:v>
                </c:pt>
                <c:pt idx="110">
                  <c:v>36</c:v>
                </c:pt>
                <c:pt idx="111">
                  <c:v>36</c:v>
                </c:pt>
                <c:pt idx="112">
                  <c:v>36</c:v>
                </c:pt>
                <c:pt idx="113">
                  <c:v>36</c:v>
                </c:pt>
                <c:pt idx="114">
                  <c:v>36</c:v>
                </c:pt>
                <c:pt idx="115">
                  <c:v>36</c:v>
                </c:pt>
                <c:pt idx="116">
                  <c:v>36</c:v>
                </c:pt>
                <c:pt idx="117">
                  <c:v>36</c:v>
                </c:pt>
                <c:pt idx="118">
                  <c:v>36</c:v>
                </c:pt>
                <c:pt idx="119">
                  <c:v>36</c:v>
                </c:pt>
                <c:pt idx="120">
                  <c:v>36</c:v>
                </c:pt>
                <c:pt idx="121">
                  <c:v>36</c:v>
                </c:pt>
                <c:pt idx="122">
                  <c:v>36</c:v>
                </c:pt>
                <c:pt idx="123">
                  <c:v>36</c:v>
                </c:pt>
                <c:pt idx="124">
                  <c:v>36</c:v>
                </c:pt>
                <c:pt idx="125">
                  <c:v>36</c:v>
                </c:pt>
                <c:pt idx="126">
                  <c:v>36</c:v>
                </c:pt>
                <c:pt idx="127">
                  <c:v>36</c:v>
                </c:pt>
                <c:pt idx="128">
                  <c:v>36</c:v>
                </c:pt>
                <c:pt idx="129">
                  <c:v>16</c:v>
                </c:pt>
                <c:pt idx="130">
                  <c:v>16</c:v>
                </c:pt>
                <c:pt idx="131">
                  <c:v>16</c:v>
                </c:pt>
                <c:pt idx="132">
                  <c:v>16</c:v>
                </c:pt>
                <c:pt idx="133">
                  <c:v>16</c:v>
                </c:pt>
                <c:pt idx="134">
                  <c:v>20</c:v>
                </c:pt>
                <c:pt idx="135">
                  <c:v>20</c:v>
                </c:pt>
                <c:pt idx="136">
                  <c:v>20</c:v>
                </c:pt>
                <c:pt idx="137">
                  <c:v>20</c:v>
                </c:pt>
                <c:pt idx="138">
                  <c:v>20</c:v>
                </c:pt>
              </c:numCache>
            </c:numRef>
          </c:xVal>
          <c:yVal>
            <c:numRef>
              <c:f>(Gotas!$AD$7:$AD$33,Gotas!$AK$37:$AK$66,Gotas!$AI$70:$AI$107,Gotas!$AN$113:$AN$146,Gotas!$AP$151:$AP$160)</c:f>
              <c:numCache>
                <c:formatCode>General</c:formatCode>
                <c:ptCount val="139"/>
                <c:pt idx="0">
                  <c:v>3536</c:v>
                </c:pt>
                <c:pt idx="1">
                  <c:v>4302</c:v>
                </c:pt>
                <c:pt idx="2">
                  <c:v>1138</c:v>
                </c:pt>
                <c:pt idx="3">
                  <c:v>929</c:v>
                </c:pt>
                <c:pt idx="4">
                  <c:v>1564</c:v>
                </c:pt>
                <c:pt idx="5">
                  <c:v>896</c:v>
                </c:pt>
                <c:pt idx="6">
                  <c:v>1580</c:v>
                </c:pt>
                <c:pt idx="7">
                  <c:v>1821</c:v>
                </c:pt>
                <c:pt idx="8">
                  <c:v>1962</c:v>
                </c:pt>
                <c:pt idx="9">
                  <c:v>2070</c:v>
                </c:pt>
                <c:pt idx="10">
                  <c:v>1576</c:v>
                </c:pt>
                <c:pt idx="11">
                  <c:v>2249</c:v>
                </c:pt>
                <c:pt idx="12">
                  <c:v>1873</c:v>
                </c:pt>
                <c:pt idx="13">
                  <c:v>2967</c:v>
                </c:pt>
                <c:pt idx="14">
                  <c:v>2588</c:v>
                </c:pt>
                <c:pt idx="15">
                  <c:v>3470</c:v>
                </c:pt>
                <c:pt idx="16">
                  <c:v>2395</c:v>
                </c:pt>
                <c:pt idx="17">
                  <c:v>3492</c:v>
                </c:pt>
                <c:pt idx="18">
                  <c:v>2649</c:v>
                </c:pt>
                <c:pt idx="19">
                  <c:v>3509</c:v>
                </c:pt>
                <c:pt idx="20">
                  <c:v>2735</c:v>
                </c:pt>
                <c:pt idx="21">
                  <c:v>3965</c:v>
                </c:pt>
                <c:pt idx="22">
                  <c:v>4012</c:v>
                </c:pt>
                <c:pt idx="23">
                  <c:v>4099</c:v>
                </c:pt>
                <c:pt idx="24">
                  <c:v>4548</c:v>
                </c:pt>
                <c:pt idx="25">
                  <c:v>3813</c:v>
                </c:pt>
                <c:pt idx="26">
                  <c:v>3677</c:v>
                </c:pt>
                <c:pt idx="27">
                  <c:v>3008</c:v>
                </c:pt>
                <c:pt idx="28">
                  <c:v>1408</c:v>
                </c:pt>
                <c:pt idx="29">
                  <c:v>2777</c:v>
                </c:pt>
                <c:pt idx="30">
                  <c:v>2438</c:v>
                </c:pt>
                <c:pt idx="31">
                  <c:v>2354</c:v>
                </c:pt>
                <c:pt idx="32">
                  <c:v>3878</c:v>
                </c:pt>
                <c:pt idx="33">
                  <c:v>2482</c:v>
                </c:pt>
                <c:pt idx="34">
                  <c:v>2312</c:v>
                </c:pt>
                <c:pt idx="35">
                  <c:v>2521</c:v>
                </c:pt>
                <c:pt idx="36">
                  <c:v>2964</c:v>
                </c:pt>
                <c:pt idx="37">
                  <c:v>5338</c:v>
                </c:pt>
                <c:pt idx="38">
                  <c:v>4035</c:v>
                </c:pt>
                <c:pt idx="39">
                  <c:v>4700</c:v>
                </c:pt>
                <c:pt idx="40">
                  <c:v>3735</c:v>
                </c:pt>
                <c:pt idx="41">
                  <c:v>4962</c:v>
                </c:pt>
                <c:pt idx="42">
                  <c:v>3039</c:v>
                </c:pt>
                <c:pt idx="43">
                  <c:v>4485</c:v>
                </c:pt>
                <c:pt idx="44">
                  <c:v>3269</c:v>
                </c:pt>
                <c:pt idx="45">
                  <c:v>3258</c:v>
                </c:pt>
                <c:pt idx="46">
                  <c:v>5402</c:v>
                </c:pt>
                <c:pt idx="47">
                  <c:v>4968</c:v>
                </c:pt>
                <c:pt idx="48">
                  <c:v>5306</c:v>
                </c:pt>
                <c:pt idx="49">
                  <c:v>6327</c:v>
                </c:pt>
                <c:pt idx="50">
                  <c:v>5331</c:v>
                </c:pt>
                <c:pt idx="51">
                  <c:v>6036</c:v>
                </c:pt>
                <c:pt idx="52">
                  <c:v>6087</c:v>
                </c:pt>
                <c:pt idx="53">
                  <c:v>5487</c:v>
                </c:pt>
                <c:pt idx="54">
                  <c:v>5278</c:v>
                </c:pt>
                <c:pt idx="55">
                  <c:v>5949</c:v>
                </c:pt>
                <c:pt idx="56">
                  <c:v>5227</c:v>
                </c:pt>
                <c:pt idx="57">
                  <c:v>5288</c:v>
                </c:pt>
                <c:pt idx="58">
                  <c:v>4185</c:v>
                </c:pt>
                <c:pt idx="59">
                  <c:v>4819</c:v>
                </c:pt>
                <c:pt idx="60">
                  <c:v>3798</c:v>
                </c:pt>
                <c:pt idx="61">
                  <c:v>5318</c:v>
                </c:pt>
                <c:pt idx="62">
                  <c:v>4843</c:v>
                </c:pt>
                <c:pt idx="63">
                  <c:v>4041</c:v>
                </c:pt>
                <c:pt idx="64">
                  <c:v>4041</c:v>
                </c:pt>
                <c:pt idx="65">
                  <c:v>4030</c:v>
                </c:pt>
                <c:pt idx="66">
                  <c:v>3124</c:v>
                </c:pt>
                <c:pt idx="67">
                  <c:v>3117</c:v>
                </c:pt>
                <c:pt idx="68">
                  <c:v>4191</c:v>
                </c:pt>
                <c:pt idx="69">
                  <c:v>5869</c:v>
                </c:pt>
                <c:pt idx="70">
                  <c:v>5413</c:v>
                </c:pt>
                <c:pt idx="71">
                  <c:v>4910</c:v>
                </c:pt>
                <c:pt idx="72">
                  <c:v>5233</c:v>
                </c:pt>
                <c:pt idx="73">
                  <c:v>5338</c:v>
                </c:pt>
                <c:pt idx="74">
                  <c:v>4704</c:v>
                </c:pt>
                <c:pt idx="75">
                  <c:v>6705</c:v>
                </c:pt>
                <c:pt idx="76">
                  <c:v>5079</c:v>
                </c:pt>
                <c:pt idx="77">
                  <c:v>4824</c:v>
                </c:pt>
                <c:pt idx="78">
                  <c:v>6399</c:v>
                </c:pt>
                <c:pt idx="79">
                  <c:v>4700</c:v>
                </c:pt>
                <c:pt idx="80">
                  <c:v>5616</c:v>
                </c:pt>
                <c:pt idx="81">
                  <c:v>7323</c:v>
                </c:pt>
                <c:pt idx="82">
                  <c:v>6884</c:v>
                </c:pt>
                <c:pt idx="83">
                  <c:v>5572</c:v>
                </c:pt>
                <c:pt idx="84">
                  <c:v>6917</c:v>
                </c:pt>
                <c:pt idx="85">
                  <c:v>6480</c:v>
                </c:pt>
                <c:pt idx="86">
                  <c:v>6314</c:v>
                </c:pt>
                <c:pt idx="87">
                  <c:v>3831</c:v>
                </c:pt>
                <c:pt idx="88">
                  <c:v>6474</c:v>
                </c:pt>
                <c:pt idx="89">
                  <c:v>6345</c:v>
                </c:pt>
                <c:pt idx="90">
                  <c:v>5639</c:v>
                </c:pt>
                <c:pt idx="91">
                  <c:v>3172</c:v>
                </c:pt>
                <c:pt idx="92">
                  <c:v>3219</c:v>
                </c:pt>
                <c:pt idx="93">
                  <c:v>2823</c:v>
                </c:pt>
                <c:pt idx="94">
                  <c:v>2729</c:v>
                </c:pt>
                <c:pt idx="95">
                  <c:v>3708</c:v>
                </c:pt>
                <c:pt idx="96">
                  <c:v>4166</c:v>
                </c:pt>
                <c:pt idx="97">
                  <c:v>3358</c:v>
                </c:pt>
                <c:pt idx="98">
                  <c:v>4364</c:v>
                </c:pt>
                <c:pt idx="99">
                  <c:v>4098</c:v>
                </c:pt>
                <c:pt idx="100">
                  <c:v>4238</c:v>
                </c:pt>
                <c:pt idx="101">
                  <c:v>7750</c:v>
                </c:pt>
                <c:pt idx="103">
                  <c:v>5145</c:v>
                </c:pt>
                <c:pt idx="104">
                  <c:v>5033</c:v>
                </c:pt>
                <c:pt idx="105">
                  <c:v>5077</c:v>
                </c:pt>
                <c:pt idx="106">
                  <c:v>5355</c:v>
                </c:pt>
                <c:pt idx="107">
                  <c:v>4647</c:v>
                </c:pt>
                <c:pt idx="108">
                  <c:v>3561</c:v>
                </c:pt>
                <c:pt idx="109">
                  <c:v>3770</c:v>
                </c:pt>
                <c:pt idx="110">
                  <c:v>4508</c:v>
                </c:pt>
                <c:pt idx="111">
                  <c:v>3089</c:v>
                </c:pt>
                <c:pt idx="112">
                  <c:v>4146</c:v>
                </c:pt>
                <c:pt idx="113">
                  <c:v>4515</c:v>
                </c:pt>
                <c:pt idx="114">
                  <c:v>4345</c:v>
                </c:pt>
                <c:pt idx="115">
                  <c:v>3012</c:v>
                </c:pt>
                <c:pt idx="116">
                  <c:v>4495</c:v>
                </c:pt>
                <c:pt idx="117">
                  <c:v>3785</c:v>
                </c:pt>
                <c:pt idx="118">
                  <c:v>3597</c:v>
                </c:pt>
                <c:pt idx="119">
                  <c:v>3476</c:v>
                </c:pt>
                <c:pt idx="120">
                  <c:v>2934</c:v>
                </c:pt>
                <c:pt idx="121">
                  <c:v>5007</c:v>
                </c:pt>
                <c:pt idx="122">
                  <c:v>3959</c:v>
                </c:pt>
                <c:pt idx="123">
                  <c:v>4431</c:v>
                </c:pt>
                <c:pt idx="124">
                  <c:v>4278</c:v>
                </c:pt>
                <c:pt idx="125">
                  <c:v>4776</c:v>
                </c:pt>
                <c:pt idx="126">
                  <c:v>4317</c:v>
                </c:pt>
                <c:pt idx="127">
                  <c:v>3916</c:v>
                </c:pt>
                <c:pt idx="128">
                  <c:v>3332</c:v>
                </c:pt>
                <c:pt idx="129">
                  <c:v>2123</c:v>
                </c:pt>
                <c:pt idx="130">
                  <c:v>1687</c:v>
                </c:pt>
                <c:pt idx="131">
                  <c:v>1283</c:v>
                </c:pt>
                <c:pt idx="132">
                  <c:v>1588</c:v>
                </c:pt>
                <c:pt idx="133">
                  <c:v>1755</c:v>
                </c:pt>
                <c:pt idx="134">
                  <c:v>2192</c:v>
                </c:pt>
                <c:pt idx="135">
                  <c:v>2259</c:v>
                </c:pt>
                <c:pt idx="136">
                  <c:v>2137</c:v>
                </c:pt>
                <c:pt idx="137">
                  <c:v>1756</c:v>
                </c:pt>
                <c:pt idx="138">
                  <c:v>2078</c:v>
                </c:pt>
              </c:numCache>
            </c:numRef>
          </c:yVal>
          <c:smooth val="0"/>
        </c:ser>
        <c:ser>
          <c:idx val="2"/>
          <c:order val="2"/>
          <c:tx>
            <c:v>4 gotas</c:v>
          </c:tx>
          <c:spPr>
            <a:ln w="31750">
              <a:noFill/>
            </a:ln>
          </c:spPr>
          <c:marker>
            <c:symbol val="square"/>
            <c:size val="6"/>
            <c:spPr>
              <a:noFill/>
              <a:ln w="25400">
                <a:solidFill>
                  <a:schemeClr val="accent2"/>
                </a:solidFill>
              </a:ln>
            </c:spPr>
          </c:marker>
          <c:xVal>
            <c:numRef>
              <c:f>(Gotas!$AT$169:$AT$170,Gotas!$AT$173:$AT$177)</c:f>
              <c:numCache>
                <c:formatCode>General</c:formatCode>
                <c:ptCount val="7"/>
                <c:pt idx="0">
                  <c:v>27</c:v>
                </c:pt>
                <c:pt idx="1">
                  <c:v>27</c:v>
                </c:pt>
                <c:pt idx="2">
                  <c:v>36</c:v>
                </c:pt>
                <c:pt idx="3">
                  <c:v>36</c:v>
                </c:pt>
                <c:pt idx="4">
                  <c:v>36</c:v>
                </c:pt>
                <c:pt idx="5">
                  <c:v>36</c:v>
                </c:pt>
                <c:pt idx="6">
                  <c:v>36</c:v>
                </c:pt>
              </c:numCache>
            </c:numRef>
          </c:xVal>
          <c:yVal>
            <c:numRef>
              <c:f>(Gotas!$AP$169:$AP$170,Gotas!$AP$173:$AP$177)</c:f>
              <c:numCache>
                <c:formatCode>General</c:formatCode>
                <c:ptCount val="7"/>
                <c:pt idx="0">
                  <c:v>4301</c:v>
                </c:pt>
                <c:pt idx="1">
                  <c:v>2986</c:v>
                </c:pt>
                <c:pt idx="2">
                  <c:v>4201</c:v>
                </c:pt>
                <c:pt idx="3">
                  <c:v>4970</c:v>
                </c:pt>
                <c:pt idx="4">
                  <c:v>3837</c:v>
                </c:pt>
                <c:pt idx="5">
                  <c:v>4991</c:v>
                </c:pt>
                <c:pt idx="6">
                  <c:v>5697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227072"/>
        <c:axId val="138227648"/>
      </c:scatterChart>
      <c:valAx>
        <c:axId val="1382270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8227648"/>
        <c:crosses val="autoZero"/>
        <c:crossBetween val="midCat"/>
      </c:valAx>
      <c:valAx>
        <c:axId val="138227648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138227072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1" l="0.75" r="0.75" t="1" header="0.5" footer="0.5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2 gotas</c:v>
          </c:tx>
          <c:spPr>
            <a:ln w="31750">
              <a:noFill/>
            </a:ln>
          </c:spPr>
          <c:marker>
            <c:symbol val="square"/>
            <c:size val="6"/>
            <c:spPr>
              <a:noFill/>
              <a:ln w="25400">
                <a:solidFill>
                  <a:schemeClr val="accent6"/>
                </a:solidFill>
              </a:ln>
            </c:spPr>
          </c:marker>
          <c:xVal>
            <c:numRef>
              <c:f>(Gotas!$AT$161:$AT$168,Gotas!$AT$171:$AT$172)</c:f>
              <c:numCache>
                <c:formatCode>General</c:formatCode>
                <c:ptCount val="10"/>
                <c:pt idx="0">
                  <c:v>18</c:v>
                </c:pt>
                <c:pt idx="1">
                  <c:v>18</c:v>
                </c:pt>
                <c:pt idx="2">
                  <c:v>18</c:v>
                </c:pt>
                <c:pt idx="3">
                  <c:v>18</c:v>
                </c:pt>
                <c:pt idx="4">
                  <c:v>18</c:v>
                </c:pt>
                <c:pt idx="5">
                  <c:v>27</c:v>
                </c:pt>
                <c:pt idx="6">
                  <c:v>27</c:v>
                </c:pt>
                <c:pt idx="7">
                  <c:v>27</c:v>
                </c:pt>
                <c:pt idx="8">
                  <c:v>36</c:v>
                </c:pt>
                <c:pt idx="9">
                  <c:v>36</c:v>
                </c:pt>
              </c:numCache>
            </c:numRef>
          </c:xVal>
          <c:yVal>
            <c:numRef>
              <c:f>(Gotas!$AP$161:$AP$168,Gotas!$AP$171:$AP$172)</c:f>
              <c:numCache>
                <c:formatCode>General</c:formatCode>
                <c:ptCount val="10"/>
                <c:pt idx="0">
                  <c:v>1443</c:v>
                </c:pt>
                <c:pt idx="1">
                  <c:v>2059</c:v>
                </c:pt>
                <c:pt idx="2">
                  <c:v>1751</c:v>
                </c:pt>
                <c:pt idx="3">
                  <c:v>2008</c:v>
                </c:pt>
                <c:pt idx="4">
                  <c:v>1621</c:v>
                </c:pt>
                <c:pt idx="5">
                  <c:v>3984</c:v>
                </c:pt>
                <c:pt idx="6">
                  <c:v>2630</c:v>
                </c:pt>
                <c:pt idx="7">
                  <c:v>801</c:v>
                </c:pt>
                <c:pt idx="8">
                  <c:v>4140</c:v>
                </c:pt>
                <c:pt idx="9">
                  <c:v>5234</c:v>
                </c:pt>
              </c:numCache>
            </c:numRef>
          </c:yVal>
          <c:smooth val="0"/>
        </c:ser>
        <c:ser>
          <c:idx val="2"/>
          <c:order val="1"/>
          <c:tx>
            <c:v>4 gotas</c:v>
          </c:tx>
          <c:spPr>
            <a:ln w="31750">
              <a:noFill/>
            </a:ln>
          </c:spPr>
          <c:marker>
            <c:symbol val="square"/>
            <c:size val="6"/>
            <c:spPr>
              <a:noFill/>
              <a:ln w="25400">
                <a:solidFill>
                  <a:schemeClr val="accent2"/>
                </a:solidFill>
              </a:ln>
            </c:spPr>
          </c:marker>
          <c:xVal>
            <c:numRef>
              <c:f>(Gotas!$AT$169:$AT$170,Gotas!$AT$173:$AT$177)</c:f>
              <c:numCache>
                <c:formatCode>General</c:formatCode>
                <c:ptCount val="7"/>
                <c:pt idx="0">
                  <c:v>27</c:v>
                </c:pt>
                <c:pt idx="1">
                  <c:v>27</c:v>
                </c:pt>
                <c:pt idx="2">
                  <c:v>36</c:v>
                </c:pt>
                <c:pt idx="3">
                  <c:v>36</c:v>
                </c:pt>
                <c:pt idx="4">
                  <c:v>36</c:v>
                </c:pt>
                <c:pt idx="5">
                  <c:v>36</c:v>
                </c:pt>
                <c:pt idx="6">
                  <c:v>36</c:v>
                </c:pt>
              </c:numCache>
            </c:numRef>
          </c:xVal>
          <c:yVal>
            <c:numRef>
              <c:f>(Gotas!$AP$169:$AP$170,Gotas!$AP$173:$AP$177)</c:f>
              <c:numCache>
                <c:formatCode>General</c:formatCode>
                <c:ptCount val="7"/>
                <c:pt idx="0">
                  <c:v>4301</c:v>
                </c:pt>
                <c:pt idx="1">
                  <c:v>2986</c:v>
                </c:pt>
                <c:pt idx="2">
                  <c:v>4201</c:v>
                </c:pt>
                <c:pt idx="3">
                  <c:v>4970</c:v>
                </c:pt>
                <c:pt idx="4">
                  <c:v>3837</c:v>
                </c:pt>
                <c:pt idx="5">
                  <c:v>4991</c:v>
                </c:pt>
                <c:pt idx="6">
                  <c:v>5697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229952"/>
        <c:axId val="138230528"/>
      </c:scatterChart>
      <c:valAx>
        <c:axId val="138229952"/>
        <c:scaling>
          <c:orientation val="minMax"/>
          <c:max val="60"/>
        </c:scaling>
        <c:delete val="0"/>
        <c:axPos val="b"/>
        <c:numFmt formatCode="General" sourceLinked="1"/>
        <c:majorTickMark val="out"/>
        <c:minorTickMark val="none"/>
        <c:tickLblPos val="nextTo"/>
        <c:crossAx val="138230528"/>
        <c:crosses val="autoZero"/>
        <c:crossBetween val="midCat"/>
      </c:valAx>
      <c:valAx>
        <c:axId val="138230528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138229952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1" l="0.75" r="0.75" t="1" header="0.5" footer="0.5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3 gotas</c:v>
          </c:tx>
          <c:spPr>
            <a:ln w="31750">
              <a:noFill/>
            </a:ln>
          </c:spPr>
          <c:marker>
            <c:symbol val="square"/>
            <c:size val="6"/>
            <c:spPr>
              <a:noFill/>
              <a:ln w="25400">
                <a:solidFill>
                  <a:schemeClr val="accent5"/>
                </a:solidFill>
              </a:ln>
            </c:spPr>
          </c:marker>
          <c:xVal>
            <c:numRef>
              <c:f>(Gotas!$AG$7:$AG$33,Gotas!$AJ$37:$AJ$66,Gotas!$AL$70:$AL$107,Gotas!$AR$113:$AR$146,Gotas!$AT$151:$AT$160)</c:f>
              <c:numCache>
                <c:formatCode>General</c:formatCode>
                <c:ptCount val="139"/>
                <c:pt idx="0">
                  <c:v>27</c:v>
                </c:pt>
                <c:pt idx="1">
                  <c:v>27</c:v>
                </c:pt>
                <c:pt idx="2">
                  <c:v>9</c:v>
                </c:pt>
                <c:pt idx="3">
                  <c:v>9</c:v>
                </c:pt>
                <c:pt idx="4">
                  <c:v>9</c:v>
                </c:pt>
                <c:pt idx="5">
                  <c:v>9</c:v>
                </c:pt>
                <c:pt idx="6">
                  <c:v>18</c:v>
                </c:pt>
                <c:pt idx="7">
                  <c:v>18</c:v>
                </c:pt>
                <c:pt idx="8">
                  <c:v>18</c:v>
                </c:pt>
                <c:pt idx="9">
                  <c:v>18</c:v>
                </c:pt>
                <c:pt idx="10">
                  <c:v>18</c:v>
                </c:pt>
                <c:pt idx="11">
                  <c:v>18</c:v>
                </c:pt>
                <c:pt idx="12">
                  <c:v>18</c:v>
                </c:pt>
                <c:pt idx="13">
                  <c:v>27</c:v>
                </c:pt>
                <c:pt idx="14">
                  <c:v>27</c:v>
                </c:pt>
                <c:pt idx="15">
                  <c:v>27</c:v>
                </c:pt>
                <c:pt idx="16">
                  <c:v>27</c:v>
                </c:pt>
                <c:pt idx="17">
                  <c:v>27</c:v>
                </c:pt>
                <c:pt idx="18">
                  <c:v>27</c:v>
                </c:pt>
                <c:pt idx="19">
                  <c:v>27</c:v>
                </c:pt>
                <c:pt idx="20">
                  <c:v>27</c:v>
                </c:pt>
                <c:pt idx="21">
                  <c:v>36</c:v>
                </c:pt>
                <c:pt idx="22">
                  <c:v>36</c:v>
                </c:pt>
                <c:pt idx="23">
                  <c:v>36</c:v>
                </c:pt>
                <c:pt idx="24">
                  <c:v>36</c:v>
                </c:pt>
                <c:pt idx="25">
                  <c:v>36</c:v>
                </c:pt>
                <c:pt idx="26">
                  <c:v>36</c:v>
                </c:pt>
                <c:pt idx="27">
                  <c:v>27</c:v>
                </c:pt>
                <c:pt idx="28">
                  <c:v>27</c:v>
                </c:pt>
                <c:pt idx="29">
                  <c:v>27</c:v>
                </c:pt>
                <c:pt idx="30">
                  <c:v>27</c:v>
                </c:pt>
                <c:pt idx="31">
                  <c:v>27</c:v>
                </c:pt>
                <c:pt idx="32">
                  <c:v>27</c:v>
                </c:pt>
                <c:pt idx="33">
                  <c:v>27</c:v>
                </c:pt>
                <c:pt idx="34">
                  <c:v>27</c:v>
                </c:pt>
                <c:pt idx="35">
                  <c:v>27</c:v>
                </c:pt>
                <c:pt idx="36">
                  <c:v>27</c:v>
                </c:pt>
                <c:pt idx="37">
                  <c:v>36</c:v>
                </c:pt>
                <c:pt idx="38">
                  <c:v>36</c:v>
                </c:pt>
                <c:pt idx="39">
                  <c:v>36</c:v>
                </c:pt>
                <c:pt idx="40">
                  <c:v>36</c:v>
                </c:pt>
                <c:pt idx="41">
                  <c:v>36</c:v>
                </c:pt>
                <c:pt idx="42">
                  <c:v>36</c:v>
                </c:pt>
                <c:pt idx="43">
                  <c:v>36</c:v>
                </c:pt>
                <c:pt idx="44">
                  <c:v>36</c:v>
                </c:pt>
                <c:pt idx="45">
                  <c:v>36</c:v>
                </c:pt>
                <c:pt idx="46">
                  <c:v>36</c:v>
                </c:pt>
                <c:pt idx="47">
                  <c:v>45</c:v>
                </c:pt>
                <c:pt idx="48">
                  <c:v>45</c:v>
                </c:pt>
                <c:pt idx="49">
                  <c:v>45</c:v>
                </c:pt>
                <c:pt idx="50">
                  <c:v>45</c:v>
                </c:pt>
                <c:pt idx="51">
                  <c:v>45</c:v>
                </c:pt>
                <c:pt idx="52">
                  <c:v>45</c:v>
                </c:pt>
                <c:pt idx="53">
                  <c:v>45</c:v>
                </c:pt>
                <c:pt idx="54">
                  <c:v>45</c:v>
                </c:pt>
                <c:pt idx="55">
                  <c:v>45</c:v>
                </c:pt>
                <c:pt idx="56">
                  <c:v>45</c:v>
                </c:pt>
                <c:pt idx="57">
                  <c:v>36</c:v>
                </c:pt>
                <c:pt idx="58">
                  <c:v>36</c:v>
                </c:pt>
                <c:pt idx="59">
                  <c:v>36</c:v>
                </c:pt>
                <c:pt idx="60">
                  <c:v>36</c:v>
                </c:pt>
                <c:pt idx="61">
                  <c:v>36</c:v>
                </c:pt>
                <c:pt idx="62">
                  <c:v>36</c:v>
                </c:pt>
                <c:pt idx="63">
                  <c:v>36</c:v>
                </c:pt>
                <c:pt idx="64">
                  <c:v>36</c:v>
                </c:pt>
                <c:pt idx="65">
                  <c:v>36</c:v>
                </c:pt>
                <c:pt idx="66">
                  <c:v>36</c:v>
                </c:pt>
                <c:pt idx="67">
                  <c:v>36</c:v>
                </c:pt>
                <c:pt idx="68">
                  <c:v>36</c:v>
                </c:pt>
                <c:pt idx="69">
                  <c:v>45</c:v>
                </c:pt>
                <c:pt idx="70">
                  <c:v>45</c:v>
                </c:pt>
                <c:pt idx="71">
                  <c:v>45</c:v>
                </c:pt>
                <c:pt idx="72">
                  <c:v>45</c:v>
                </c:pt>
                <c:pt idx="73">
                  <c:v>45</c:v>
                </c:pt>
                <c:pt idx="74">
                  <c:v>45</c:v>
                </c:pt>
                <c:pt idx="75">
                  <c:v>45</c:v>
                </c:pt>
                <c:pt idx="76">
                  <c:v>45</c:v>
                </c:pt>
                <c:pt idx="77">
                  <c:v>45</c:v>
                </c:pt>
                <c:pt idx="78">
                  <c:v>45</c:v>
                </c:pt>
                <c:pt idx="79">
                  <c:v>45</c:v>
                </c:pt>
                <c:pt idx="80">
                  <c:v>54</c:v>
                </c:pt>
                <c:pt idx="81">
                  <c:v>54</c:v>
                </c:pt>
                <c:pt idx="82">
                  <c:v>54</c:v>
                </c:pt>
                <c:pt idx="83">
                  <c:v>54</c:v>
                </c:pt>
                <c:pt idx="84">
                  <c:v>54</c:v>
                </c:pt>
                <c:pt idx="85">
                  <c:v>54</c:v>
                </c:pt>
                <c:pt idx="86">
                  <c:v>54</c:v>
                </c:pt>
                <c:pt idx="87">
                  <c:v>54</c:v>
                </c:pt>
                <c:pt idx="88">
                  <c:v>54</c:v>
                </c:pt>
                <c:pt idx="89">
                  <c:v>54</c:v>
                </c:pt>
                <c:pt idx="90">
                  <c:v>54</c:v>
                </c:pt>
                <c:pt idx="91">
                  <c:v>27</c:v>
                </c:pt>
                <c:pt idx="92">
                  <c:v>27</c:v>
                </c:pt>
                <c:pt idx="93">
                  <c:v>27</c:v>
                </c:pt>
                <c:pt idx="94">
                  <c:v>27</c:v>
                </c:pt>
                <c:pt idx="95">
                  <c:v>36</c:v>
                </c:pt>
                <c:pt idx="96">
                  <c:v>36</c:v>
                </c:pt>
                <c:pt idx="97">
                  <c:v>36</c:v>
                </c:pt>
                <c:pt idx="98">
                  <c:v>36</c:v>
                </c:pt>
                <c:pt idx="99">
                  <c:v>36</c:v>
                </c:pt>
                <c:pt idx="100">
                  <c:v>36</c:v>
                </c:pt>
                <c:pt idx="101">
                  <c:v>54</c:v>
                </c:pt>
                <c:pt idx="103">
                  <c:v>36</c:v>
                </c:pt>
                <c:pt idx="104">
                  <c:v>36</c:v>
                </c:pt>
                <c:pt idx="105">
                  <c:v>36</c:v>
                </c:pt>
                <c:pt idx="106">
                  <c:v>36</c:v>
                </c:pt>
                <c:pt idx="107">
                  <c:v>36</c:v>
                </c:pt>
                <c:pt idx="108">
                  <c:v>36</c:v>
                </c:pt>
                <c:pt idx="109">
                  <c:v>36</c:v>
                </c:pt>
                <c:pt idx="110">
                  <c:v>36</c:v>
                </c:pt>
                <c:pt idx="111">
                  <c:v>36</c:v>
                </c:pt>
                <c:pt idx="112">
                  <c:v>36</c:v>
                </c:pt>
                <c:pt idx="113">
                  <c:v>36</c:v>
                </c:pt>
                <c:pt idx="114">
                  <c:v>36</c:v>
                </c:pt>
                <c:pt idx="115">
                  <c:v>36</c:v>
                </c:pt>
                <c:pt idx="116">
                  <c:v>36</c:v>
                </c:pt>
                <c:pt idx="117">
                  <c:v>36</c:v>
                </c:pt>
                <c:pt idx="118">
                  <c:v>36</c:v>
                </c:pt>
                <c:pt idx="119">
                  <c:v>36</c:v>
                </c:pt>
                <c:pt idx="120">
                  <c:v>36</c:v>
                </c:pt>
                <c:pt idx="121">
                  <c:v>36</c:v>
                </c:pt>
                <c:pt idx="122">
                  <c:v>36</c:v>
                </c:pt>
                <c:pt idx="123">
                  <c:v>36</c:v>
                </c:pt>
                <c:pt idx="124">
                  <c:v>36</c:v>
                </c:pt>
                <c:pt idx="125">
                  <c:v>36</c:v>
                </c:pt>
                <c:pt idx="126">
                  <c:v>36</c:v>
                </c:pt>
                <c:pt idx="127">
                  <c:v>36</c:v>
                </c:pt>
                <c:pt idx="128">
                  <c:v>36</c:v>
                </c:pt>
                <c:pt idx="129">
                  <c:v>16</c:v>
                </c:pt>
                <c:pt idx="130">
                  <c:v>16</c:v>
                </c:pt>
                <c:pt idx="131">
                  <c:v>16</c:v>
                </c:pt>
                <c:pt idx="132">
                  <c:v>16</c:v>
                </c:pt>
                <c:pt idx="133">
                  <c:v>16</c:v>
                </c:pt>
                <c:pt idx="134">
                  <c:v>20</c:v>
                </c:pt>
                <c:pt idx="135">
                  <c:v>20</c:v>
                </c:pt>
                <c:pt idx="136">
                  <c:v>20</c:v>
                </c:pt>
                <c:pt idx="137">
                  <c:v>20</c:v>
                </c:pt>
                <c:pt idx="138">
                  <c:v>20</c:v>
                </c:pt>
              </c:numCache>
            </c:numRef>
          </c:xVal>
          <c:yVal>
            <c:numRef>
              <c:f>(Gotas!$AD$7:$AD$33,Gotas!$AK$37:$AK$66,Gotas!$AI$70:$AI$107,Gotas!$AN$113:$AN$146,Gotas!$AP$151:$AP$160)</c:f>
              <c:numCache>
                <c:formatCode>General</c:formatCode>
                <c:ptCount val="139"/>
                <c:pt idx="0">
                  <c:v>3536</c:v>
                </c:pt>
                <c:pt idx="1">
                  <c:v>4302</c:v>
                </c:pt>
                <c:pt idx="2">
                  <c:v>1138</c:v>
                </c:pt>
                <c:pt idx="3">
                  <c:v>929</c:v>
                </c:pt>
                <c:pt idx="4">
                  <c:v>1564</c:v>
                </c:pt>
                <c:pt idx="5">
                  <c:v>896</c:v>
                </c:pt>
                <c:pt idx="6">
                  <c:v>1580</c:v>
                </c:pt>
                <c:pt idx="7">
                  <c:v>1821</c:v>
                </c:pt>
                <c:pt idx="8">
                  <c:v>1962</c:v>
                </c:pt>
                <c:pt idx="9">
                  <c:v>2070</c:v>
                </c:pt>
                <c:pt idx="10">
                  <c:v>1576</c:v>
                </c:pt>
                <c:pt idx="11">
                  <c:v>2249</c:v>
                </c:pt>
                <c:pt idx="12">
                  <c:v>1873</c:v>
                </c:pt>
                <c:pt idx="13">
                  <c:v>2967</c:v>
                </c:pt>
                <c:pt idx="14">
                  <c:v>2588</c:v>
                </c:pt>
                <c:pt idx="15">
                  <c:v>3470</c:v>
                </c:pt>
                <c:pt idx="16">
                  <c:v>2395</c:v>
                </c:pt>
                <c:pt idx="17">
                  <c:v>3492</c:v>
                </c:pt>
                <c:pt idx="18">
                  <c:v>2649</c:v>
                </c:pt>
                <c:pt idx="19">
                  <c:v>3509</c:v>
                </c:pt>
                <c:pt idx="20">
                  <c:v>2735</c:v>
                </c:pt>
                <c:pt idx="21">
                  <c:v>3965</c:v>
                </c:pt>
                <c:pt idx="22">
                  <c:v>4012</c:v>
                </c:pt>
                <c:pt idx="23">
                  <c:v>4099</c:v>
                </c:pt>
                <c:pt idx="24">
                  <c:v>4548</c:v>
                </c:pt>
                <c:pt idx="25">
                  <c:v>3813</c:v>
                </c:pt>
                <c:pt idx="26">
                  <c:v>3677</c:v>
                </c:pt>
                <c:pt idx="27">
                  <c:v>3008</c:v>
                </c:pt>
                <c:pt idx="28">
                  <c:v>1408</c:v>
                </c:pt>
                <c:pt idx="29">
                  <c:v>2777</c:v>
                </c:pt>
                <c:pt idx="30">
                  <c:v>2438</c:v>
                </c:pt>
                <c:pt idx="31">
                  <c:v>2354</c:v>
                </c:pt>
                <c:pt idx="32">
                  <c:v>3878</c:v>
                </c:pt>
                <c:pt idx="33">
                  <c:v>2482</c:v>
                </c:pt>
                <c:pt idx="34">
                  <c:v>2312</c:v>
                </c:pt>
                <c:pt idx="35">
                  <c:v>2521</c:v>
                </c:pt>
                <c:pt idx="36">
                  <c:v>2964</c:v>
                </c:pt>
                <c:pt idx="37">
                  <c:v>5338</c:v>
                </c:pt>
                <c:pt idx="38">
                  <c:v>4035</c:v>
                </c:pt>
                <c:pt idx="39">
                  <c:v>4700</c:v>
                </c:pt>
                <c:pt idx="40">
                  <c:v>3735</c:v>
                </c:pt>
                <c:pt idx="41">
                  <c:v>4962</c:v>
                </c:pt>
                <c:pt idx="42">
                  <c:v>3039</c:v>
                </c:pt>
                <c:pt idx="43">
                  <c:v>4485</c:v>
                </c:pt>
                <c:pt idx="44">
                  <c:v>3269</c:v>
                </c:pt>
                <c:pt idx="45">
                  <c:v>3258</c:v>
                </c:pt>
                <c:pt idx="46">
                  <c:v>5402</c:v>
                </c:pt>
                <c:pt idx="47">
                  <c:v>4968</c:v>
                </c:pt>
                <c:pt idx="48">
                  <c:v>5306</c:v>
                </c:pt>
                <c:pt idx="49">
                  <c:v>6327</c:v>
                </c:pt>
                <c:pt idx="50">
                  <c:v>5331</c:v>
                </c:pt>
                <c:pt idx="51">
                  <c:v>6036</c:v>
                </c:pt>
                <c:pt idx="52">
                  <c:v>6087</c:v>
                </c:pt>
                <c:pt idx="53">
                  <c:v>5487</c:v>
                </c:pt>
                <c:pt idx="54">
                  <c:v>5278</c:v>
                </c:pt>
                <c:pt idx="55">
                  <c:v>5949</c:v>
                </c:pt>
                <c:pt idx="56">
                  <c:v>5227</c:v>
                </c:pt>
                <c:pt idx="57">
                  <c:v>5288</c:v>
                </c:pt>
                <c:pt idx="58">
                  <c:v>4185</c:v>
                </c:pt>
                <c:pt idx="59">
                  <c:v>4819</c:v>
                </c:pt>
                <c:pt idx="60">
                  <c:v>3798</c:v>
                </c:pt>
                <c:pt idx="61">
                  <c:v>5318</c:v>
                </c:pt>
                <c:pt idx="62">
                  <c:v>4843</c:v>
                </c:pt>
                <c:pt idx="63">
                  <c:v>4041</c:v>
                </c:pt>
                <c:pt idx="64">
                  <c:v>4041</c:v>
                </c:pt>
                <c:pt idx="65">
                  <c:v>4030</c:v>
                </c:pt>
                <c:pt idx="66">
                  <c:v>3124</c:v>
                </c:pt>
                <c:pt idx="67">
                  <c:v>3117</c:v>
                </c:pt>
                <c:pt idx="68">
                  <c:v>4191</c:v>
                </c:pt>
                <c:pt idx="69">
                  <c:v>5869</c:v>
                </c:pt>
                <c:pt idx="70">
                  <c:v>5413</c:v>
                </c:pt>
                <c:pt idx="71">
                  <c:v>4910</c:v>
                </c:pt>
                <c:pt idx="72">
                  <c:v>5233</c:v>
                </c:pt>
                <c:pt idx="73">
                  <c:v>5338</c:v>
                </c:pt>
                <c:pt idx="74">
                  <c:v>4704</c:v>
                </c:pt>
                <c:pt idx="75">
                  <c:v>6705</c:v>
                </c:pt>
                <c:pt idx="76">
                  <c:v>5079</c:v>
                </c:pt>
                <c:pt idx="77">
                  <c:v>4824</c:v>
                </c:pt>
                <c:pt idx="78">
                  <c:v>6399</c:v>
                </c:pt>
                <c:pt idx="79">
                  <c:v>4700</c:v>
                </c:pt>
                <c:pt idx="80">
                  <c:v>5616</c:v>
                </c:pt>
                <c:pt idx="81">
                  <c:v>7323</c:v>
                </c:pt>
                <c:pt idx="82">
                  <c:v>6884</c:v>
                </c:pt>
                <c:pt idx="83">
                  <c:v>5572</c:v>
                </c:pt>
                <c:pt idx="84">
                  <c:v>6917</c:v>
                </c:pt>
                <c:pt idx="85">
                  <c:v>6480</c:v>
                </c:pt>
                <c:pt idx="86">
                  <c:v>6314</c:v>
                </c:pt>
                <c:pt idx="87">
                  <c:v>3831</c:v>
                </c:pt>
                <c:pt idx="88">
                  <c:v>6474</c:v>
                </c:pt>
                <c:pt idx="89">
                  <c:v>6345</c:v>
                </c:pt>
                <c:pt idx="90">
                  <c:v>5639</c:v>
                </c:pt>
                <c:pt idx="91">
                  <c:v>3172</c:v>
                </c:pt>
                <c:pt idx="92">
                  <c:v>3219</c:v>
                </c:pt>
                <c:pt idx="93">
                  <c:v>2823</c:v>
                </c:pt>
                <c:pt idx="94">
                  <c:v>2729</c:v>
                </c:pt>
                <c:pt idx="95">
                  <c:v>3708</c:v>
                </c:pt>
                <c:pt idx="96">
                  <c:v>4166</c:v>
                </c:pt>
                <c:pt idx="97">
                  <c:v>3358</c:v>
                </c:pt>
                <c:pt idx="98">
                  <c:v>4364</c:v>
                </c:pt>
                <c:pt idx="99">
                  <c:v>4098</c:v>
                </c:pt>
                <c:pt idx="100">
                  <c:v>4238</c:v>
                </c:pt>
                <c:pt idx="101">
                  <c:v>7750</c:v>
                </c:pt>
                <c:pt idx="103">
                  <c:v>5145</c:v>
                </c:pt>
                <c:pt idx="104">
                  <c:v>5033</c:v>
                </c:pt>
                <c:pt idx="105">
                  <c:v>5077</c:v>
                </c:pt>
                <c:pt idx="106">
                  <c:v>5355</c:v>
                </c:pt>
                <c:pt idx="107">
                  <c:v>4647</c:v>
                </c:pt>
                <c:pt idx="108">
                  <c:v>3561</c:v>
                </c:pt>
                <c:pt idx="109">
                  <c:v>3770</c:v>
                </c:pt>
                <c:pt idx="110">
                  <c:v>4508</c:v>
                </c:pt>
                <c:pt idx="111">
                  <c:v>3089</c:v>
                </c:pt>
                <c:pt idx="112">
                  <c:v>4146</c:v>
                </c:pt>
                <c:pt idx="113">
                  <c:v>4515</c:v>
                </c:pt>
                <c:pt idx="114">
                  <c:v>4345</c:v>
                </c:pt>
                <c:pt idx="115">
                  <c:v>3012</c:v>
                </c:pt>
                <c:pt idx="116">
                  <c:v>4495</c:v>
                </c:pt>
                <c:pt idx="117">
                  <c:v>3785</c:v>
                </c:pt>
                <c:pt idx="118">
                  <c:v>3597</c:v>
                </c:pt>
                <c:pt idx="119">
                  <c:v>3476</c:v>
                </c:pt>
                <c:pt idx="120">
                  <c:v>2934</c:v>
                </c:pt>
                <c:pt idx="121">
                  <c:v>5007</c:v>
                </c:pt>
                <c:pt idx="122">
                  <c:v>3959</c:v>
                </c:pt>
                <c:pt idx="123">
                  <c:v>4431</c:v>
                </c:pt>
                <c:pt idx="124">
                  <c:v>4278</c:v>
                </c:pt>
                <c:pt idx="125">
                  <c:v>4776</c:v>
                </c:pt>
                <c:pt idx="126">
                  <c:v>4317</c:v>
                </c:pt>
                <c:pt idx="127">
                  <c:v>3916</c:v>
                </c:pt>
                <c:pt idx="128">
                  <c:v>3332</c:v>
                </c:pt>
                <c:pt idx="129">
                  <c:v>2123</c:v>
                </c:pt>
                <c:pt idx="130">
                  <c:v>1687</c:v>
                </c:pt>
                <c:pt idx="131">
                  <c:v>1283</c:v>
                </c:pt>
                <c:pt idx="132">
                  <c:v>1588</c:v>
                </c:pt>
                <c:pt idx="133">
                  <c:v>1755</c:v>
                </c:pt>
                <c:pt idx="134">
                  <c:v>2192</c:v>
                </c:pt>
                <c:pt idx="135">
                  <c:v>2259</c:v>
                </c:pt>
                <c:pt idx="136">
                  <c:v>2137</c:v>
                </c:pt>
                <c:pt idx="137">
                  <c:v>1756</c:v>
                </c:pt>
                <c:pt idx="138">
                  <c:v>2078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7690432"/>
        <c:axId val="127691008"/>
      </c:scatterChart>
      <c:valAx>
        <c:axId val="1276904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27691008"/>
        <c:crosses val="autoZero"/>
        <c:crossBetween val="midCat"/>
      </c:valAx>
      <c:valAx>
        <c:axId val="127691008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127690432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1" l="0.75" r="0.75" t="1" header="0.5" footer="0.5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1750">
              <a:noFill/>
            </a:ln>
          </c:spPr>
          <c:xVal>
            <c:numRef>
              <c:f>(Massa!$AG$7:$AG$33,Massa!$AJ$37:$AJ$66,Massa!$AL$70:$AL$107,Massa!$AR$113:$AR$146,Massa!$AT$151:$AT$160)</c:f>
              <c:numCache>
                <c:formatCode>General</c:formatCode>
                <c:ptCount val="139"/>
                <c:pt idx="0">
                  <c:v>27</c:v>
                </c:pt>
                <c:pt idx="1">
                  <c:v>27</c:v>
                </c:pt>
                <c:pt idx="2">
                  <c:v>9</c:v>
                </c:pt>
                <c:pt idx="3">
                  <c:v>9</c:v>
                </c:pt>
                <c:pt idx="4">
                  <c:v>9</c:v>
                </c:pt>
                <c:pt idx="5">
                  <c:v>9</c:v>
                </c:pt>
                <c:pt idx="6">
                  <c:v>18</c:v>
                </c:pt>
                <c:pt idx="7">
                  <c:v>18</c:v>
                </c:pt>
                <c:pt idx="8">
                  <c:v>18</c:v>
                </c:pt>
                <c:pt idx="9">
                  <c:v>18</c:v>
                </c:pt>
                <c:pt idx="10">
                  <c:v>18</c:v>
                </c:pt>
                <c:pt idx="11">
                  <c:v>18</c:v>
                </c:pt>
                <c:pt idx="12">
                  <c:v>18</c:v>
                </c:pt>
                <c:pt idx="13">
                  <c:v>27</c:v>
                </c:pt>
                <c:pt idx="14">
                  <c:v>27</c:v>
                </c:pt>
                <c:pt idx="15">
                  <c:v>27</c:v>
                </c:pt>
                <c:pt idx="16">
                  <c:v>27</c:v>
                </c:pt>
                <c:pt idx="17">
                  <c:v>27</c:v>
                </c:pt>
                <c:pt idx="18">
                  <c:v>27</c:v>
                </c:pt>
                <c:pt idx="19">
                  <c:v>27</c:v>
                </c:pt>
                <c:pt idx="20">
                  <c:v>27</c:v>
                </c:pt>
                <c:pt idx="21">
                  <c:v>36</c:v>
                </c:pt>
                <c:pt idx="22">
                  <c:v>36</c:v>
                </c:pt>
                <c:pt idx="23">
                  <c:v>36</c:v>
                </c:pt>
                <c:pt idx="24">
                  <c:v>36</c:v>
                </c:pt>
                <c:pt idx="25">
                  <c:v>36</c:v>
                </c:pt>
                <c:pt idx="26">
                  <c:v>36</c:v>
                </c:pt>
                <c:pt idx="27">
                  <c:v>27</c:v>
                </c:pt>
                <c:pt idx="28">
                  <c:v>27</c:v>
                </c:pt>
                <c:pt idx="29">
                  <c:v>27</c:v>
                </c:pt>
                <c:pt idx="30">
                  <c:v>27</c:v>
                </c:pt>
                <c:pt idx="31">
                  <c:v>27</c:v>
                </c:pt>
                <c:pt idx="32">
                  <c:v>27</c:v>
                </c:pt>
                <c:pt idx="33">
                  <c:v>27</c:v>
                </c:pt>
                <c:pt idx="34">
                  <c:v>27</c:v>
                </c:pt>
                <c:pt idx="35">
                  <c:v>27</c:v>
                </c:pt>
                <c:pt idx="36">
                  <c:v>27</c:v>
                </c:pt>
                <c:pt idx="37">
                  <c:v>36</c:v>
                </c:pt>
                <c:pt idx="38">
                  <c:v>36</c:v>
                </c:pt>
                <c:pt idx="39">
                  <c:v>36</c:v>
                </c:pt>
                <c:pt idx="40">
                  <c:v>36</c:v>
                </c:pt>
                <c:pt idx="41">
                  <c:v>36</c:v>
                </c:pt>
                <c:pt idx="42">
                  <c:v>36</c:v>
                </c:pt>
                <c:pt idx="43">
                  <c:v>36</c:v>
                </c:pt>
                <c:pt idx="44">
                  <c:v>36</c:v>
                </c:pt>
                <c:pt idx="45">
                  <c:v>36</c:v>
                </c:pt>
                <c:pt idx="46">
                  <c:v>36</c:v>
                </c:pt>
                <c:pt idx="47">
                  <c:v>45</c:v>
                </c:pt>
                <c:pt idx="48">
                  <c:v>45</c:v>
                </c:pt>
                <c:pt idx="49">
                  <c:v>45</c:v>
                </c:pt>
                <c:pt idx="50">
                  <c:v>45</c:v>
                </c:pt>
                <c:pt idx="51">
                  <c:v>45</c:v>
                </c:pt>
                <c:pt idx="52">
                  <c:v>45</c:v>
                </c:pt>
                <c:pt idx="53">
                  <c:v>45</c:v>
                </c:pt>
                <c:pt idx="54">
                  <c:v>45</c:v>
                </c:pt>
                <c:pt idx="55">
                  <c:v>45</c:v>
                </c:pt>
                <c:pt idx="56">
                  <c:v>45</c:v>
                </c:pt>
                <c:pt idx="57">
                  <c:v>36</c:v>
                </c:pt>
                <c:pt idx="58">
                  <c:v>36</c:v>
                </c:pt>
                <c:pt idx="59">
                  <c:v>36</c:v>
                </c:pt>
                <c:pt idx="60">
                  <c:v>36</c:v>
                </c:pt>
                <c:pt idx="61">
                  <c:v>36</c:v>
                </c:pt>
                <c:pt idx="62">
                  <c:v>36</c:v>
                </c:pt>
                <c:pt idx="63">
                  <c:v>36</c:v>
                </c:pt>
                <c:pt idx="64">
                  <c:v>36</c:v>
                </c:pt>
                <c:pt idx="65">
                  <c:v>36</c:v>
                </c:pt>
                <c:pt idx="66">
                  <c:v>36</c:v>
                </c:pt>
                <c:pt idx="67">
                  <c:v>36</c:v>
                </c:pt>
                <c:pt idx="68">
                  <c:v>36</c:v>
                </c:pt>
                <c:pt idx="69">
                  <c:v>45</c:v>
                </c:pt>
                <c:pt idx="70">
                  <c:v>45</c:v>
                </c:pt>
                <c:pt idx="71">
                  <c:v>45</c:v>
                </c:pt>
                <c:pt idx="72">
                  <c:v>45</c:v>
                </c:pt>
                <c:pt idx="73">
                  <c:v>45</c:v>
                </c:pt>
                <c:pt idx="74">
                  <c:v>45</c:v>
                </c:pt>
                <c:pt idx="75">
                  <c:v>45</c:v>
                </c:pt>
                <c:pt idx="76">
                  <c:v>45</c:v>
                </c:pt>
                <c:pt idx="77">
                  <c:v>45</c:v>
                </c:pt>
                <c:pt idx="78">
                  <c:v>45</c:v>
                </c:pt>
                <c:pt idx="79">
                  <c:v>45</c:v>
                </c:pt>
                <c:pt idx="80">
                  <c:v>54</c:v>
                </c:pt>
                <c:pt idx="81">
                  <c:v>54</c:v>
                </c:pt>
                <c:pt idx="82">
                  <c:v>54</c:v>
                </c:pt>
                <c:pt idx="83">
                  <c:v>54</c:v>
                </c:pt>
                <c:pt idx="84">
                  <c:v>54</c:v>
                </c:pt>
                <c:pt idx="85">
                  <c:v>54</c:v>
                </c:pt>
                <c:pt idx="86">
                  <c:v>54</c:v>
                </c:pt>
                <c:pt idx="87">
                  <c:v>54</c:v>
                </c:pt>
                <c:pt idx="88">
                  <c:v>54</c:v>
                </c:pt>
                <c:pt idx="89">
                  <c:v>54</c:v>
                </c:pt>
                <c:pt idx="90">
                  <c:v>54</c:v>
                </c:pt>
                <c:pt idx="91">
                  <c:v>27</c:v>
                </c:pt>
                <c:pt idx="92">
                  <c:v>27</c:v>
                </c:pt>
                <c:pt idx="93">
                  <c:v>27</c:v>
                </c:pt>
                <c:pt idx="94">
                  <c:v>27</c:v>
                </c:pt>
                <c:pt idx="95">
                  <c:v>36</c:v>
                </c:pt>
                <c:pt idx="96">
                  <c:v>36</c:v>
                </c:pt>
                <c:pt idx="97">
                  <c:v>36</c:v>
                </c:pt>
                <c:pt idx="98">
                  <c:v>36</c:v>
                </c:pt>
                <c:pt idx="99">
                  <c:v>36</c:v>
                </c:pt>
                <c:pt idx="100">
                  <c:v>36</c:v>
                </c:pt>
                <c:pt idx="101">
                  <c:v>54</c:v>
                </c:pt>
                <c:pt idx="103">
                  <c:v>36</c:v>
                </c:pt>
                <c:pt idx="104">
                  <c:v>36</c:v>
                </c:pt>
                <c:pt idx="105">
                  <c:v>36</c:v>
                </c:pt>
                <c:pt idx="106">
                  <c:v>36</c:v>
                </c:pt>
                <c:pt idx="107">
                  <c:v>36</c:v>
                </c:pt>
                <c:pt idx="108">
                  <c:v>36</c:v>
                </c:pt>
                <c:pt idx="109">
                  <c:v>36</c:v>
                </c:pt>
                <c:pt idx="110">
                  <c:v>36</c:v>
                </c:pt>
                <c:pt idx="111">
                  <c:v>36</c:v>
                </c:pt>
                <c:pt idx="112">
                  <c:v>36</c:v>
                </c:pt>
                <c:pt idx="113">
                  <c:v>36</c:v>
                </c:pt>
                <c:pt idx="114">
                  <c:v>36</c:v>
                </c:pt>
                <c:pt idx="115">
                  <c:v>36</c:v>
                </c:pt>
                <c:pt idx="116">
                  <c:v>36</c:v>
                </c:pt>
                <c:pt idx="117">
                  <c:v>36</c:v>
                </c:pt>
                <c:pt idx="118">
                  <c:v>36</c:v>
                </c:pt>
                <c:pt idx="119">
                  <c:v>36</c:v>
                </c:pt>
                <c:pt idx="120">
                  <c:v>36</c:v>
                </c:pt>
                <c:pt idx="121">
                  <c:v>36</c:v>
                </c:pt>
                <c:pt idx="122">
                  <c:v>36</c:v>
                </c:pt>
                <c:pt idx="123">
                  <c:v>36</c:v>
                </c:pt>
                <c:pt idx="124">
                  <c:v>36</c:v>
                </c:pt>
                <c:pt idx="125">
                  <c:v>36</c:v>
                </c:pt>
                <c:pt idx="126">
                  <c:v>36</c:v>
                </c:pt>
                <c:pt idx="127">
                  <c:v>36</c:v>
                </c:pt>
                <c:pt idx="128">
                  <c:v>36</c:v>
                </c:pt>
                <c:pt idx="129">
                  <c:v>16</c:v>
                </c:pt>
                <c:pt idx="130">
                  <c:v>16</c:v>
                </c:pt>
                <c:pt idx="131">
                  <c:v>16</c:v>
                </c:pt>
                <c:pt idx="132">
                  <c:v>16</c:v>
                </c:pt>
                <c:pt idx="133">
                  <c:v>16</c:v>
                </c:pt>
                <c:pt idx="134">
                  <c:v>20</c:v>
                </c:pt>
                <c:pt idx="135">
                  <c:v>20</c:v>
                </c:pt>
                <c:pt idx="136">
                  <c:v>20</c:v>
                </c:pt>
                <c:pt idx="137">
                  <c:v>20</c:v>
                </c:pt>
                <c:pt idx="138">
                  <c:v>20</c:v>
                </c:pt>
              </c:numCache>
            </c:numRef>
          </c:xVal>
          <c:yVal>
            <c:numRef>
              <c:f>(Massa!$AD$7:$AD$33,Massa!$AK$37:$AK$66,Massa!$AI$70:$AI$107,Massa!$AN$113:$AN$146,Massa!$AP$151:$AP$160)</c:f>
              <c:numCache>
                <c:formatCode>General</c:formatCode>
                <c:ptCount val="139"/>
                <c:pt idx="0">
                  <c:v>3536</c:v>
                </c:pt>
                <c:pt idx="1">
                  <c:v>4302</c:v>
                </c:pt>
                <c:pt idx="2">
                  <c:v>1138</c:v>
                </c:pt>
                <c:pt idx="3">
                  <c:v>929</c:v>
                </c:pt>
                <c:pt idx="4">
                  <c:v>1564</c:v>
                </c:pt>
                <c:pt idx="5">
                  <c:v>896</c:v>
                </c:pt>
                <c:pt idx="6">
                  <c:v>1580</c:v>
                </c:pt>
                <c:pt idx="7">
                  <c:v>1821</c:v>
                </c:pt>
                <c:pt idx="8">
                  <c:v>1962</c:v>
                </c:pt>
                <c:pt idx="9">
                  <c:v>2070</c:v>
                </c:pt>
                <c:pt idx="10">
                  <c:v>1576</c:v>
                </c:pt>
                <c:pt idx="11">
                  <c:v>2249</c:v>
                </c:pt>
                <c:pt idx="12">
                  <c:v>1873</c:v>
                </c:pt>
                <c:pt idx="13">
                  <c:v>2967</c:v>
                </c:pt>
                <c:pt idx="14">
                  <c:v>2588</c:v>
                </c:pt>
                <c:pt idx="15">
                  <c:v>3470</c:v>
                </c:pt>
                <c:pt idx="16">
                  <c:v>2395</c:v>
                </c:pt>
                <c:pt idx="17">
                  <c:v>3492</c:v>
                </c:pt>
                <c:pt idx="18">
                  <c:v>2649</c:v>
                </c:pt>
                <c:pt idx="19">
                  <c:v>3509</c:v>
                </c:pt>
                <c:pt idx="20">
                  <c:v>2735</c:v>
                </c:pt>
                <c:pt idx="21">
                  <c:v>3965</c:v>
                </c:pt>
                <c:pt idx="22">
                  <c:v>4012</c:v>
                </c:pt>
                <c:pt idx="23">
                  <c:v>4099</c:v>
                </c:pt>
                <c:pt idx="24">
                  <c:v>4548</c:v>
                </c:pt>
                <c:pt idx="25">
                  <c:v>3813</c:v>
                </c:pt>
                <c:pt idx="26">
                  <c:v>3677</c:v>
                </c:pt>
                <c:pt idx="27">
                  <c:v>3008</c:v>
                </c:pt>
                <c:pt idx="28">
                  <c:v>1408</c:v>
                </c:pt>
                <c:pt idx="29">
                  <c:v>2777</c:v>
                </c:pt>
                <c:pt idx="30">
                  <c:v>2438</c:v>
                </c:pt>
                <c:pt idx="31">
                  <c:v>2354</c:v>
                </c:pt>
                <c:pt idx="32">
                  <c:v>3878</c:v>
                </c:pt>
                <c:pt idx="33">
                  <c:v>2482</c:v>
                </c:pt>
                <c:pt idx="34">
                  <c:v>2312</c:v>
                </c:pt>
                <c:pt idx="35">
                  <c:v>2521</c:v>
                </c:pt>
                <c:pt idx="36">
                  <c:v>2964</c:v>
                </c:pt>
                <c:pt idx="37">
                  <c:v>5338</c:v>
                </c:pt>
                <c:pt idx="38">
                  <c:v>4035</c:v>
                </c:pt>
                <c:pt idx="39">
                  <c:v>4700</c:v>
                </c:pt>
                <c:pt idx="40">
                  <c:v>3735</c:v>
                </c:pt>
                <c:pt idx="41">
                  <c:v>4962</c:v>
                </c:pt>
                <c:pt idx="42">
                  <c:v>3039</c:v>
                </c:pt>
                <c:pt idx="43">
                  <c:v>4485</c:v>
                </c:pt>
                <c:pt idx="44">
                  <c:v>3269</c:v>
                </c:pt>
                <c:pt idx="45">
                  <c:v>3258</c:v>
                </c:pt>
                <c:pt idx="46">
                  <c:v>5402</c:v>
                </c:pt>
                <c:pt idx="47">
                  <c:v>4968</c:v>
                </c:pt>
                <c:pt idx="48">
                  <c:v>5306</c:v>
                </c:pt>
                <c:pt idx="49">
                  <c:v>6327</c:v>
                </c:pt>
                <c:pt idx="50">
                  <c:v>5331</c:v>
                </c:pt>
                <c:pt idx="51">
                  <c:v>6036</c:v>
                </c:pt>
                <c:pt idx="52">
                  <c:v>6087</c:v>
                </c:pt>
                <c:pt idx="53">
                  <c:v>5487</c:v>
                </c:pt>
                <c:pt idx="54">
                  <c:v>5278</c:v>
                </c:pt>
                <c:pt idx="55">
                  <c:v>5949</c:v>
                </c:pt>
                <c:pt idx="56">
                  <c:v>5227</c:v>
                </c:pt>
                <c:pt idx="57">
                  <c:v>5288</c:v>
                </c:pt>
                <c:pt idx="58">
                  <c:v>4185</c:v>
                </c:pt>
                <c:pt idx="59">
                  <c:v>4819</c:v>
                </c:pt>
                <c:pt idx="60">
                  <c:v>3798</c:v>
                </c:pt>
                <c:pt idx="61">
                  <c:v>5318</c:v>
                </c:pt>
                <c:pt idx="62">
                  <c:v>4843</c:v>
                </c:pt>
                <c:pt idx="63">
                  <c:v>4041</c:v>
                </c:pt>
                <c:pt idx="64">
                  <c:v>4041</c:v>
                </c:pt>
                <c:pt idx="65">
                  <c:v>4030</c:v>
                </c:pt>
                <c:pt idx="66">
                  <c:v>3124</c:v>
                </c:pt>
                <c:pt idx="67">
                  <c:v>3117</c:v>
                </c:pt>
                <c:pt idx="68">
                  <c:v>4191</c:v>
                </c:pt>
                <c:pt idx="69">
                  <c:v>5869</c:v>
                </c:pt>
                <c:pt idx="70">
                  <c:v>5413</c:v>
                </c:pt>
                <c:pt idx="71">
                  <c:v>4910</c:v>
                </c:pt>
                <c:pt idx="72">
                  <c:v>5233</c:v>
                </c:pt>
                <c:pt idx="73">
                  <c:v>5338</c:v>
                </c:pt>
                <c:pt idx="74">
                  <c:v>4704</c:v>
                </c:pt>
                <c:pt idx="75">
                  <c:v>6705</c:v>
                </c:pt>
                <c:pt idx="76">
                  <c:v>5079</c:v>
                </c:pt>
                <c:pt idx="77">
                  <c:v>4824</c:v>
                </c:pt>
                <c:pt idx="78">
                  <c:v>6399</c:v>
                </c:pt>
                <c:pt idx="79">
                  <c:v>4700</c:v>
                </c:pt>
                <c:pt idx="80">
                  <c:v>5616</c:v>
                </c:pt>
                <c:pt idx="81">
                  <c:v>7323</c:v>
                </c:pt>
                <c:pt idx="82">
                  <c:v>6884</c:v>
                </c:pt>
                <c:pt idx="83">
                  <c:v>5572</c:v>
                </c:pt>
                <c:pt idx="84">
                  <c:v>6917</c:v>
                </c:pt>
                <c:pt idx="85">
                  <c:v>6480</c:v>
                </c:pt>
                <c:pt idx="86">
                  <c:v>6314</c:v>
                </c:pt>
                <c:pt idx="87">
                  <c:v>3831</c:v>
                </c:pt>
                <c:pt idx="88">
                  <c:v>6474</c:v>
                </c:pt>
                <c:pt idx="89">
                  <c:v>6345</c:v>
                </c:pt>
                <c:pt idx="90">
                  <c:v>5639</c:v>
                </c:pt>
                <c:pt idx="91">
                  <c:v>3172</c:v>
                </c:pt>
                <c:pt idx="92">
                  <c:v>3219</c:v>
                </c:pt>
                <c:pt idx="93">
                  <c:v>2823</c:v>
                </c:pt>
                <c:pt idx="94">
                  <c:v>2729</c:v>
                </c:pt>
                <c:pt idx="95">
                  <c:v>3708</c:v>
                </c:pt>
                <c:pt idx="96">
                  <c:v>4166</c:v>
                </c:pt>
                <c:pt idx="97">
                  <c:v>3358</c:v>
                </c:pt>
                <c:pt idx="98">
                  <c:v>4364</c:v>
                </c:pt>
                <c:pt idx="99">
                  <c:v>4098</c:v>
                </c:pt>
                <c:pt idx="100">
                  <c:v>4238</c:v>
                </c:pt>
                <c:pt idx="101">
                  <c:v>7750</c:v>
                </c:pt>
                <c:pt idx="103">
                  <c:v>5145</c:v>
                </c:pt>
                <c:pt idx="104">
                  <c:v>5033</c:v>
                </c:pt>
                <c:pt idx="105">
                  <c:v>5077</c:v>
                </c:pt>
                <c:pt idx="106">
                  <c:v>5355</c:v>
                </c:pt>
                <c:pt idx="107">
                  <c:v>4647</c:v>
                </c:pt>
                <c:pt idx="108">
                  <c:v>3561</c:v>
                </c:pt>
                <c:pt idx="109">
                  <c:v>3770</c:v>
                </c:pt>
                <c:pt idx="110">
                  <c:v>4508</c:v>
                </c:pt>
                <c:pt idx="111">
                  <c:v>3089</c:v>
                </c:pt>
                <c:pt idx="112">
                  <c:v>4146</c:v>
                </c:pt>
                <c:pt idx="113">
                  <c:v>4515</c:v>
                </c:pt>
                <c:pt idx="114">
                  <c:v>4345</c:v>
                </c:pt>
                <c:pt idx="115">
                  <c:v>3012</c:v>
                </c:pt>
                <c:pt idx="116">
                  <c:v>4495</c:v>
                </c:pt>
                <c:pt idx="117">
                  <c:v>3785</c:v>
                </c:pt>
                <c:pt idx="118">
                  <c:v>3597</c:v>
                </c:pt>
                <c:pt idx="119">
                  <c:v>3476</c:v>
                </c:pt>
                <c:pt idx="120">
                  <c:v>2934</c:v>
                </c:pt>
                <c:pt idx="121">
                  <c:v>5007</c:v>
                </c:pt>
                <c:pt idx="122">
                  <c:v>3959</c:v>
                </c:pt>
                <c:pt idx="123">
                  <c:v>4431</c:v>
                </c:pt>
                <c:pt idx="124">
                  <c:v>4278</c:v>
                </c:pt>
                <c:pt idx="125">
                  <c:v>4776</c:v>
                </c:pt>
                <c:pt idx="126">
                  <c:v>4317</c:v>
                </c:pt>
                <c:pt idx="127">
                  <c:v>3916</c:v>
                </c:pt>
                <c:pt idx="128">
                  <c:v>3332</c:v>
                </c:pt>
                <c:pt idx="129">
                  <c:v>2123</c:v>
                </c:pt>
                <c:pt idx="130">
                  <c:v>1687</c:v>
                </c:pt>
                <c:pt idx="131">
                  <c:v>1283</c:v>
                </c:pt>
                <c:pt idx="132">
                  <c:v>1588</c:v>
                </c:pt>
                <c:pt idx="133">
                  <c:v>1755</c:v>
                </c:pt>
                <c:pt idx="134">
                  <c:v>2192</c:v>
                </c:pt>
                <c:pt idx="135">
                  <c:v>2259</c:v>
                </c:pt>
                <c:pt idx="136">
                  <c:v>2137</c:v>
                </c:pt>
                <c:pt idx="137">
                  <c:v>1756</c:v>
                </c:pt>
                <c:pt idx="138">
                  <c:v>2078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7694464"/>
        <c:axId val="127695040"/>
      </c:scatterChart>
      <c:valAx>
        <c:axId val="1276944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27695040"/>
        <c:crosses val="autoZero"/>
        <c:crossBetween val="midCat"/>
      </c:valAx>
      <c:valAx>
        <c:axId val="12769504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127694464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4.xml"/><Relationship Id="rId13" Type="http://schemas.openxmlformats.org/officeDocument/2006/relationships/chart" Target="../charts/chart19.xml"/><Relationship Id="rId3" Type="http://schemas.openxmlformats.org/officeDocument/2006/relationships/chart" Target="../charts/chart9.xml"/><Relationship Id="rId7" Type="http://schemas.openxmlformats.org/officeDocument/2006/relationships/chart" Target="../charts/chart13.xml"/><Relationship Id="rId12" Type="http://schemas.openxmlformats.org/officeDocument/2006/relationships/chart" Target="../charts/chart18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6" Type="http://schemas.openxmlformats.org/officeDocument/2006/relationships/chart" Target="../charts/chart12.xml"/><Relationship Id="rId11" Type="http://schemas.openxmlformats.org/officeDocument/2006/relationships/chart" Target="../charts/chart17.xml"/><Relationship Id="rId5" Type="http://schemas.openxmlformats.org/officeDocument/2006/relationships/chart" Target="../charts/chart11.xml"/><Relationship Id="rId15" Type="http://schemas.openxmlformats.org/officeDocument/2006/relationships/chart" Target="../charts/chart21.xml"/><Relationship Id="rId10" Type="http://schemas.openxmlformats.org/officeDocument/2006/relationships/chart" Target="../charts/chart16.xml"/><Relationship Id="rId4" Type="http://schemas.openxmlformats.org/officeDocument/2006/relationships/chart" Target="../charts/chart10.xml"/><Relationship Id="rId9" Type="http://schemas.openxmlformats.org/officeDocument/2006/relationships/chart" Target="../charts/chart15.xml"/><Relationship Id="rId14" Type="http://schemas.openxmlformats.org/officeDocument/2006/relationships/chart" Target="../charts/chart20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4.xml"/><Relationship Id="rId2" Type="http://schemas.openxmlformats.org/officeDocument/2006/relationships/chart" Target="../charts/chart23.xml"/><Relationship Id="rId1" Type="http://schemas.openxmlformats.org/officeDocument/2006/relationships/chart" Target="../charts/chart2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119062</xdr:colOff>
      <xdr:row>0</xdr:row>
      <xdr:rowOff>138112</xdr:rowOff>
    </xdr:from>
    <xdr:to>
      <xdr:col>13</xdr:col>
      <xdr:colOff>400050</xdr:colOff>
      <xdr:row>17</xdr:row>
      <xdr:rowOff>128587</xdr:rowOff>
    </xdr:to>
    <xdr:graphicFrame macro="">
      <xdr:nvGraphicFramePr>
        <xdr:cNvPr id="2" name="Gráfico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161925</xdr:colOff>
      <xdr:row>0</xdr:row>
      <xdr:rowOff>9525</xdr:rowOff>
    </xdr:from>
    <xdr:to>
      <xdr:col>23</xdr:col>
      <xdr:colOff>19050</xdr:colOff>
      <xdr:row>16</xdr:row>
      <xdr:rowOff>9525</xdr:rowOff>
    </xdr:to>
    <xdr:graphicFrame macro="">
      <xdr:nvGraphicFramePr>
        <xdr:cNvPr id="3" name="Gráfico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28</xdr:col>
      <xdr:colOff>133350</xdr:colOff>
      <xdr:row>0</xdr:row>
      <xdr:rowOff>61912</xdr:rowOff>
    </xdr:from>
    <xdr:to>
      <xdr:col>35</xdr:col>
      <xdr:colOff>438150</xdr:colOff>
      <xdr:row>15</xdr:row>
      <xdr:rowOff>133350</xdr:rowOff>
    </xdr:to>
    <xdr:graphicFrame macro="">
      <xdr:nvGraphicFramePr>
        <xdr:cNvPr id="4" name="Gráfico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27</xdr:col>
      <xdr:colOff>195262</xdr:colOff>
      <xdr:row>17</xdr:row>
      <xdr:rowOff>61912</xdr:rowOff>
    </xdr:from>
    <xdr:to>
      <xdr:col>34</xdr:col>
      <xdr:colOff>500062</xdr:colOff>
      <xdr:row>34</xdr:row>
      <xdr:rowOff>52387</xdr:rowOff>
    </xdr:to>
    <xdr:graphicFrame macro="">
      <xdr:nvGraphicFramePr>
        <xdr:cNvPr id="5" name="Gráfico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27</xdr:col>
      <xdr:colOff>209550</xdr:colOff>
      <xdr:row>36</xdr:row>
      <xdr:rowOff>66675</xdr:rowOff>
    </xdr:from>
    <xdr:to>
      <xdr:col>34</xdr:col>
      <xdr:colOff>514350</xdr:colOff>
      <xdr:row>53</xdr:row>
      <xdr:rowOff>57150</xdr:rowOff>
    </xdr:to>
    <xdr:graphicFrame macro="">
      <xdr:nvGraphicFramePr>
        <xdr:cNvPr id="6" name="Gráfico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123825</xdr:colOff>
      <xdr:row>18</xdr:row>
      <xdr:rowOff>57150</xdr:rowOff>
    </xdr:from>
    <xdr:to>
      <xdr:col>13</xdr:col>
      <xdr:colOff>404813</xdr:colOff>
      <xdr:row>35</xdr:row>
      <xdr:rowOff>47625</xdr:rowOff>
    </xdr:to>
    <xdr:graphicFrame macro="">
      <xdr:nvGraphicFramePr>
        <xdr:cNvPr id="7" name="Gráfico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123825</xdr:colOff>
      <xdr:row>16</xdr:row>
      <xdr:rowOff>80962</xdr:rowOff>
    </xdr:from>
    <xdr:to>
      <xdr:col>22</xdr:col>
      <xdr:colOff>0</xdr:colOff>
      <xdr:row>33</xdr:row>
      <xdr:rowOff>71437</xdr:rowOff>
    </xdr:to>
    <xdr:graphicFrame macro="">
      <xdr:nvGraphicFramePr>
        <xdr:cNvPr id="2" name="Gráfico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171449</xdr:colOff>
      <xdr:row>0</xdr:row>
      <xdr:rowOff>133350</xdr:rowOff>
    </xdr:from>
    <xdr:to>
      <xdr:col>25</xdr:col>
      <xdr:colOff>504825</xdr:colOff>
      <xdr:row>15</xdr:row>
      <xdr:rowOff>123825</xdr:rowOff>
    </xdr:to>
    <xdr:graphicFrame macro="">
      <xdr:nvGraphicFramePr>
        <xdr:cNvPr id="3" name="Gráfico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609598</xdr:colOff>
      <xdr:row>0</xdr:row>
      <xdr:rowOff>161925</xdr:rowOff>
    </xdr:from>
    <xdr:to>
      <xdr:col>17</xdr:col>
      <xdr:colOff>85725</xdr:colOff>
      <xdr:row>15</xdr:row>
      <xdr:rowOff>152400</xdr:rowOff>
    </xdr:to>
    <xdr:graphicFrame macro="">
      <xdr:nvGraphicFramePr>
        <xdr:cNvPr id="4" name="Gráfico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180977</xdr:colOff>
      <xdr:row>52</xdr:row>
      <xdr:rowOff>14287</xdr:rowOff>
    </xdr:from>
    <xdr:to>
      <xdr:col>25</xdr:col>
      <xdr:colOff>57152</xdr:colOff>
      <xdr:row>69</xdr:row>
      <xdr:rowOff>4762</xdr:rowOff>
    </xdr:to>
    <xdr:graphicFrame macro="">
      <xdr:nvGraphicFramePr>
        <xdr:cNvPr id="5" name="Gráfico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20</xdr:col>
      <xdr:colOff>228601</xdr:colOff>
      <xdr:row>34</xdr:row>
      <xdr:rowOff>66675</xdr:rowOff>
    </xdr:from>
    <xdr:to>
      <xdr:col>28</xdr:col>
      <xdr:colOff>561977</xdr:colOff>
      <xdr:row>51</xdr:row>
      <xdr:rowOff>57150</xdr:rowOff>
    </xdr:to>
    <xdr:graphicFrame macro="">
      <xdr:nvGraphicFramePr>
        <xdr:cNvPr id="6" name="Gráfico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11</xdr:col>
      <xdr:colOff>57150</xdr:colOff>
      <xdr:row>34</xdr:row>
      <xdr:rowOff>95250</xdr:rowOff>
    </xdr:from>
    <xdr:to>
      <xdr:col>20</xdr:col>
      <xdr:colOff>142877</xdr:colOff>
      <xdr:row>51</xdr:row>
      <xdr:rowOff>85725</xdr:rowOff>
    </xdr:to>
    <xdr:graphicFrame macro="">
      <xdr:nvGraphicFramePr>
        <xdr:cNvPr id="7" name="Gráfico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15</xdr:col>
      <xdr:colOff>247652</xdr:colOff>
      <xdr:row>89</xdr:row>
      <xdr:rowOff>185738</xdr:rowOff>
    </xdr:from>
    <xdr:to>
      <xdr:col>24</xdr:col>
      <xdr:colOff>123827</xdr:colOff>
      <xdr:row>107</xdr:row>
      <xdr:rowOff>47626</xdr:rowOff>
    </xdr:to>
    <xdr:graphicFrame macro="">
      <xdr:nvGraphicFramePr>
        <xdr:cNvPr id="8" name="Gráfico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19</xdr:col>
      <xdr:colOff>342901</xdr:colOff>
      <xdr:row>71</xdr:row>
      <xdr:rowOff>95250</xdr:rowOff>
    </xdr:from>
    <xdr:to>
      <xdr:col>28</xdr:col>
      <xdr:colOff>66677</xdr:colOff>
      <xdr:row>89</xdr:row>
      <xdr:rowOff>66675</xdr:rowOff>
    </xdr:to>
    <xdr:graphicFrame macro="">
      <xdr:nvGraphicFramePr>
        <xdr:cNvPr id="9" name="Gráfico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10</xdr:col>
      <xdr:colOff>171450</xdr:colOff>
      <xdr:row>71</xdr:row>
      <xdr:rowOff>123825</xdr:rowOff>
    </xdr:from>
    <xdr:to>
      <xdr:col>19</xdr:col>
      <xdr:colOff>257177</xdr:colOff>
      <xdr:row>89</xdr:row>
      <xdr:rowOff>76200</xdr:rowOff>
    </xdr:to>
    <xdr:graphicFrame macro="">
      <xdr:nvGraphicFramePr>
        <xdr:cNvPr id="10" name="Gráfico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16</xdr:col>
      <xdr:colOff>333377</xdr:colOff>
      <xdr:row>128</xdr:row>
      <xdr:rowOff>119063</xdr:rowOff>
    </xdr:from>
    <xdr:to>
      <xdr:col>25</xdr:col>
      <xdr:colOff>209552</xdr:colOff>
      <xdr:row>144</xdr:row>
      <xdr:rowOff>171451</xdr:rowOff>
    </xdr:to>
    <xdr:graphicFrame macro="">
      <xdr:nvGraphicFramePr>
        <xdr:cNvPr id="11" name="Gráfico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20</xdr:col>
      <xdr:colOff>381001</xdr:colOff>
      <xdr:row>110</xdr:row>
      <xdr:rowOff>171450</xdr:rowOff>
    </xdr:from>
    <xdr:to>
      <xdr:col>29</xdr:col>
      <xdr:colOff>104777</xdr:colOff>
      <xdr:row>127</xdr:row>
      <xdr:rowOff>161925</xdr:rowOff>
    </xdr:to>
    <xdr:graphicFrame macro="">
      <xdr:nvGraphicFramePr>
        <xdr:cNvPr id="12" name="Gráfico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11</xdr:col>
      <xdr:colOff>209550</xdr:colOff>
      <xdr:row>111</xdr:row>
      <xdr:rowOff>9525</xdr:rowOff>
    </xdr:from>
    <xdr:to>
      <xdr:col>20</xdr:col>
      <xdr:colOff>295277</xdr:colOff>
      <xdr:row>128</xdr:row>
      <xdr:rowOff>0</xdr:rowOff>
    </xdr:to>
    <xdr:graphicFrame macro="">
      <xdr:nvGraphicFramePr>
        <xdr:cNvPr id="13" name="Gráfico 1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19</xdr:col>
      <xdr:colOff>228600</xdr:colOff>
      <xdr:row>150</xdr:row>
      <xdr:rowOff>88900</xdr:rowOff>
    </xdr:from>
    <xdr:to>
      <xdr:col>27</xdr:col>
      <xdr:colOff>561976</xdr:colOff>
      <xdr:row>167</xdr:row>
      <xdr:rowOff>79375</xdr:rowOff>
    </xdr:to>
    <xdr:graphicFrame macro="">
      <xdr:nvGraphicFramePr>
        <xdr:cNvPr id="17" name="Gráfico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27</xdr:col>
      <xdr:colOff>669927</xdr:colOff>
      <xdr:row>150</xdr:row>
      <xdr:rowOff>109538</xdr:rowOff>
    </xdr:from>
    <xdr:to>
      <xdr:col>36</xdr:col>
      <xdr:colOff>152400</xdr:colOff>
      <xdr:row>166</xdr:row>
      <xdr:rowOff>161926</xdr:rowOff>
    </xdr:to>
    <xdr:graphicFrame macro="">
      <xdr:nvGraphicFramePr>
        <xdr:cNvPr id="18" name="Gráfico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11</xdr:col>
      <xdr:colOff>127001</xdr:colOff>
      <xdr:row>150</xdr:row>
      <xdr:rowOff>88900</xdr:rowOff>
    </xdr:from>
    <xdr:to>
      <xdr:col>19</xdr:col>
      <xdr:colOff>139701</xdr:colOff>
      <xdr:row>167</xdr:row>
      <xdr:rowOff>79375</xdr:rowOff>
    </xdr:to>
    <xdr:graphicFrame macro="">
      <xdr:nvGraphicFramePr>
        <xdr:cNvPr id="19" name="Gráfico 1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196850</xdr:colOff>
      <xdr:row>177</xdr:row>
      <xdr:rowOff>152400</xdr:rowOff>
    </xdr:from>
    <xdr:to>
      <xdr:col>8</xdr:col>
      <xdr:colOff>508000</xdr:colOff>
      <xdr:row>194</xdr:row>
      <xdr:rowOff>139700</xdr:rowOff>
    </xdr:to>
    <xdr:graphicFrame macro="">
      <xdr:nvGraphicFramePr>
        <xdr:cNvPr id="14" name="Chart 1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558800</xdr:colOff>
      <xdr:row>177</xdr:row>
      <xdr:rowOff>152400</xdr:rowOff>
    </xdr:from>
    <xdr:to>
      <xdr:col>15</xdr:col>
      <xdr:colOff>50800</xdr:colOff>
      <xdr:row>194</xdr:row>
      <xdr:rowOff>139700</xdr:rowOff>
    </xdr:to>
    <xdr:graphicFrame macro="">
      <xdr:nvGraphicFramePr>
        <xdr:cNvPr id="15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114300</xdr:colOff>
      <xdr:row>177</xdr:row>
      <xdr:rowOff>152400</xdr:rowOff>
    </xdr:from>
    <xdr:to>
      <xdr:col>21</xdr:col>
      <xdr:colOff>444500</xdr:colOff>
      <xdr:row>194</xdr:row>
      <xdr:rowOff>139700</xdr:rowOff>
    </xdr:to>
    <xdr:graphicFrame macro="">
      <xdr:nvGraphicFramePr>
        <xdr:cNvPr id="16" name="Chart 1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31750</xdr:colOff>
      <xdr:row>161</xdr:row>
      <xdr:rowOff>76200</xdr:rowOff>
    </xdr:from>
    <xdr:to>
      <xdr:col>8</xdr:col>
      <xdr:colOff>749300</xdr:colOff>
      <xdr:row>176</xdr:row>
      <xdr:rowOff>152400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53"/>
  <sheetViews>
    <sheetView tabSelected="1" topLeftCell="B1" workbookViewId="0">
      <selection activeCell="AS26" sqref="AS26"/>
    </sheetView>
  </sheetViews>
  <sheetFormatPr defaultColWidth="8.85546875" defaultRowHeight="15" x14ac:dyDescent="0.25"/>
  <cols>
    <col min="16" max="16" width="9.42578125" customWidth="1"/>
    <col min="17" max="17" width="10.42578125" customWidth="1"/>
    <col min="25" max="25" width="12.140625" customWidth="1"/>
  </cols>
  <sheetData>
    <row r="1" spans="1:43" x14ac:dyDescent="0.25">
      <c r="O1" s="64" t="s">
        <v>216</v>
      </c>
      <c r="P1" s="64"/>
      <c r="Y1" s="63" t="s">
        <v>0</v>
      </c>
      <c r="Z1" s="63" t="s">
        <v>215</v>
      </c>
      <c r="AA1" s="63"/>
      <c r="AK1" t="s">
        <v>812</v>
      </c>
      <c r="AL1" t="s">
        <v>813</v>
      </c>
      <c r="AO1" t="s">
        <v>827</v>
      </c>
      <c r="AP1" t="s">
        <v>828</v>
      </c>
    </row>
    <row r="2" spans="1:43" x14ac:dyDescent="0.25">
      <c r="A2" t="s">
        <v>1</v>
      </c>
      <c r="B2" t="s">
        <v>2</v>
      </c>
      <c r="C2" s="1" t="s">
        <v>3</v>
      </c>
      <c r="D2" s="1" t="s">
        <v>4</v>
      </c>
      <c r="O2" s="64" t="s">
        <v>4</v>
      </c>
      <c r="P2" s="64" t="s">
        <v>814</v>
      </c>
      <c r="Y2" s="63" t="s">
        <v>1</v>
      </c>
      <c r="Z2" s="63" t="s">
        <v>5</v>
      </c>
      <c r="AA2" s="63"/>
      <c r="AK2" t="s">
        <v>1</v>
      </c>
      <c r="AL2" t="s">
        <v>5</v>
      </c>
      <c r="AO2" t="s">
        <v>1</v>
      </c>
      <c r="AP2" t="s">
        <v>5</v>
      </c>
    </row>
    <row r="3" spans="1:43" x14ac:dyDescent="0.25">
      <c r="A3" s="2">
        <v>25.3</v>
      </c>
      <c r="B3" s="2">
        <v>3083</v>
      </c>
      <c r="C3" s="2">
        <v>27</v>
      </c>
      <c r="D3" s="2">
        <v>30</v>
      </c>
      <c r="E3" s="3">
        <v>42156</v>
      </c>
      <c r="O3" s="64">
        <v>20</v>
      </c>
      <c r="P3" s="64">
        <v>4.7</v>
      </c>
      <c r="Y3" s="66">
        <v>30.4</v>
      </c>
      <c r="Z3" s="66">
        <v>100</v>
      </c>
      <c r="AA3" s="68" t="s">
        <v>826</v>
      </c>
      <c r="AK3" s="4">
        <v>17.5</v>
      </c>
      <c r="AL3" s="4">
        <v>100</v>
      </c>
      <c r="AM3" s="4" t="s">
        <v>826</v>
      </c>
      <c r="AO3">
        <v>6.3</v>
      </c>
      <c r="AP3">
        <v>100</v>
      </c>
      <c r="AQ3" s="4" t="s">
        <v>826</v>
      </c>
    </row>
    <row r="4" spans="1:43" x14ac:dyDescent="0.25">
      <c r="A4" s="2">
        <v>33.299999999999997</v>
      </c>
      <c r="B4" s="2">
        <v>4120</v>
      </c>
      <c r="C4" s="2">
        <v>19</v>
      </c>
      <c r="D4" s="2">
        <v>30</v>
      </c>
      <c r="E4" s="3">
        <v>42156</v>
      </c>
      <c r="O4" s="64">
        <v>25</v>
      </c>
      <c r="P4" s="64">
        <v>5.8</v>
      </c>
      <c r="Y4" s="63">
        <v>216</v>
      </c>
      <c r="Z4" s="63">
        <v>10</v>
      </c>
      <c r="AA4" s="67">
        <f>Y4/Y3</f>
        <v>7.1052631578947372</v>
      </c>
      <c r="AL4">
        <v>10</v>
      </c>
      <c r="AO4">
        <v>8.1</v>
      </c>
      <c r="AP4">
        <v>79</v>
      </c>
      <c r="AQ4" s="69">
        <f>AO4/AO3</f>
        <v>1.2857142857142856</v>
      </c>
    </row>
    <row r="5" spans="1:43" x14ac:dyDescent="0.25">
      <c r="A5" s="2">
        <v>21.3</v>
      </c>
      <c r="B5" s="2">
        <v>2749</v>
      </c>
      <c r="C5" s="2">
        <v>33</v>
      </c>
      <c r="D5" s="2">
        <v>30</v>
      </c>
      <c r="E5" s="3">
        <v>42156</v>
      </c>
      <c r="O5" s="64">
        <v>25</v>
      </c>
      <c r="P5" s="64">
        <v>5.9</v>
      </c>
      <c r="Y5" s="63">
        <v>36.1</v>
      </c>
      <c r="Z5" s="63">
        <v>85</v>
      </c>
      <c r="AA5" s="67">
        <f>Y5/Y3</f>
        <v>1.1875</v>
      </c>
      <c r="AL5">
        <v>85</v>
      </c>
      <c r="AO5">
        <v>10</v>
      </c>
      <c r="AP5">
        <v>66</v>
      </c>
      <c r="AQ5" s="69">
        <f>AO5/AO3</f>
        <v>1.5873015873015874</v>
      </c>
    </row>
    <row r="6" spans="1:43" x14ac:dyDescent="0.25">
      <c r="A6" s="2">
        <v>30.7</v>
      </c>
      <c r="B6" s="2">
        <v>3764</v>
      </c>
      <c r="C6" s="2">
        <v>23</v>
      </c>
      <c r="D6" s="2">
        <v>30</v>
      </c>
      <c r="E6" s="3">
        <v>42156</v>
      </c>
      <c r="O6" s="64">
        <v>30</v>
      </c>
      <c r="P6" s="64">
        <v>7.1</v>
      </c>
      <c r="Y6" s="63">
        <v>38.200000000000003</v>
      </c>
      <c r="Z6" s="63">
        <v>80</v>
      </c>
      <c r="AA6" s="67">
        <f>Y6/Y3</f>
        <v>1.2565789473684212</v>
      </c>
      <c r="AK6">
        <v>22.3</v>
      </c>
      <c r="AL6">
        <v>80</v>
      </c>
      <c r="AM6" s="69">
        <f>AK6/AK3</f>
        <v>1.2742857142857142</v>
      </c>
      <c r="AO6">
        <v>14.2</v>
      </c>
      <c r="AP6">
        <v>49</v>
      </c>
      <c r="AQ6" s="69">
        <f>AO6/AO3</f>
        <v>2.253968253968254</v>
      </c>
    </row>
    <row r="7" spans="1:43" x14ac:dyDescent="0.25">
      <c r="A7" s="2">
        <v>33.6</v>
      </c>
      <c r="B7" s="2">
        <v>4137</v>
      </c>
      <c r="C7" s="2">
        <v>19</v>
      </c>
      <c r="D7" s="2">
        <v>30</v>
      </c>
      <c r="E7" s="3">
        <v>42156</v>
      </c>
      <c r="O7" s="64">
        <v>35</v>
      </c>
      <c r="P7" s="64">
        <v>8.3000000000000007</v>
      </c>
      <c r="Y7" s="63">
        <v>43.5</v>
      </c>
      <c r="Z7" s="63">
        <v>70</v>
      </c>
      <c r="AA7" s="67">
        <f>Y7/Y3</f>
        <v>1.430921052631579</v>
      </c>
      <c r="AL7">
        <v>70</v>
      </c>
      <c r="AM7" s="69"/>
      <c r="AO7">
        <v>18.899999999999999</v>
      </c>
      <c r="AP7">
        <v>39</v>
      </c>
      <c r="AQ7" s="69">
        <f>AO7/AO3</f>
        <v>3</v>
      </c>
    </row>
    <row r="8" spans="1:43" x14ac:dyDescent="0.25">
      <c r="A8" s="2">
        <v>34</v>
      </c>
      <c r="B8" s="2">
        <v>4146</v>
      </c>
      <c r="C8" s="2">
        <v>18</v>
      </c>
      <c r="D8" s="2">
        <v>30</v>
      </c>
      <c r="E8" s="3">
        <v>42156</v>
      </c>
      <c r="O8" s="64">
        <v>35</v>
      </c>
      <c r="P8" s="64">
        <v>8.1999999999999993</v>
      </c>
      <c r="Y8" s="63">
        <v>51.2</v>
      </c>
      <c r="Z8" s="63">
        <v>60</v>
      </c>
      <c r="AA8" s="67">
        <f>Y8/Y3</f>
        <v>1.6842105263157896</v>
      </c>
      <c r="AK8">
        <v>31</v>
      </c>
      <c r="AL8">
        <v>60</v>
      </c>
      <c r="AM8" s="69">
        <f>AK8/AK3</f>
        <v>1.7714285714285714</v>
      </c>
      <c r="AO8">
        <v>33.5</v>
      </c>
      <c r="AP8">
        <v>25</v>
      </c>
      <c r="AQ8" s="69">
        <f>AO8/AO3</f>
        <v>5.3174603174603172</v>
      </c>
    </row>
    <row r="9" spans="1:43" x14ac:dyDescent="0.25">
      <c r="A9" s="2">
        <v>20.8</v>
      </c>
      <c r="B9" s="2">
        <v>2562</v>
      </c>
      <c r="C9" s="2">
        <v>41</v>
      </c>
      <c r="D9" s="2">
        <v>35</v>
      </c>
      <c r="E9" s="3">
        <v>42163</v>
      </c>
      <c r="O9" s="64">
        <v>40</v>
      </c>
      <c r="P9" s="64">
        <v>9.3000000000000007</v>
      </c>
      <c r="Y9" s="63">
        <v>56.5</v>
      </c>
      <c r="Z9" s="63">
        <v>55</v>
      </c>
      <c r="AA9" s="67">
        <f>Y9/Y3</f>
        <v>1.8585526315789473</v>
      </c>
      <c r="AL9">
        <v>55</v>
      </c>
      <c r="AM9" s="69"/>
      <c r="AO9">
        <v>41.2</v>
      </c>
      <c r="AP9">
        <v>20</v>
      </c>
      <c r="AQ9" s="69">
        <f>AO9/AO3</f>
        <v>6.5396825396825404</v>
      </c>
    </row>
    <row r="10" spans="1:43" x14ac:dyDescent="0.25">
      <c r="A10" s="2">
        <v>21.8</v>
      </c>
      <c r="B10" s="2">
        <v>2848</v>
      </c>
      <c r="C10" s="2">
        <v>36</v>
      </c>
      <c r="D10" s="2">
        <v>35</v>
      </c>
      <c r="E10" s="3">
        <v>42163</v>
      </c>
      <c r="O10" s="64">
        <v>40</v>
      </c>
      <c r="P10" s="64">
        <v>9.4</v>
      </c>
      <c r="Y10" s="63">
        <v>80.099999999999994</v>
      </c>
      <c r="Z10" s="63">
        <v>40</v>
      </c>
      <c r="AA10" s="67">
        <f>Y10/Y3</f>
        <v>2.6348684210526314</v>
      </c>
      <c r="AK10">
        <v>48</v>
      </c>
      <c r="AL10">
        <v>40</v>
      </c>
      <c r="AM10" s="69">
        <f>AK10/AK3</f>
        <v>2.7428571428571429</v>
      </c>
    </row>
    <row r="11" spans="1:43" x14ac:dyDescent="0.25">
      <c r="A11" s="2">
        <v>5.5</v>
      </c>
      <c r="B11" s="2">
        <v>626</v>
      </c>
      <c r="C11" s="2">
        <v>100</v>
      </c>
      <c r="D11" s="2">
        <v>35</v>
      </c>
      <c r="E11" s="3">
        <v>42164</v>
      </c>
      <c r="O11" s="64">
        <v>25</v>
      </c>
      <c r="P11" s="64">
        <v>5.9</v>
      </c>
      <c r="Y11" s="63">
        <v>166.5</v>
      </c>
      <c r="Z11" s="63">
        <v>20</v>
      </c>
      <c r="AA11" s="67">
        <f>Y11/Y3</f>
        <v>5.4769736842105265</v>
      </c>
      <c r="AL11">
        <v>20</v>
      </c>
      <c r="AM11" s="69"/>
    </row>
    <row r="12" spans="1:43" x14ac:dyDescent="0.25">
      <c r="A12" s="2">
        <v>11.2</v>
      </c>
      <c r="B12" s="2">
        <v>1365</v>
      </c>
      <c r="C12" s="2">
        <v>50</v>
      </c>
      <c r="D12" s="2">
        <v>35</v>
      </c>
      <c r="E12" s="3">
        <v>42164</v>
      </c>
      <c r="O12" s="64">
        <v>22</v>
      </c>
      <c r="P12" s="64">
        <v>5.0999999999999996</v>
      </c>
      <c r="Y12" s="63">
        <v>216</v>
      </c>
      <c r="Z12" s="63">
        <v>10</v>
      </c>
      <c r="AA12" s="67">
        <f>Y12/Y3</f>
        <v>7.1052631578947372</v>
      </c>
      <c r="AK12">
        <v>142</v>
      </c>
      <c r="AL12">
        <v>15</v>
      </c>
      <c r="AM12" s="69">
        <f>AK12/AK3</f>
        <v>8.1142857142857139</v>
      </c>
    </row>
    <row r="13" spans="1:43" x14ac:dyDescent="0.25">
      <c r="A13" s="2">
        <v>40.6</v>
      </c>
      <c r="B13" s="2">
        <v>5960</v>
      </c>
      <c r="C13" s="2">
        <v>10</v>
      </c>
      <c r="D13" s="2">
        <v>35</v>
      </c>
      <c r="E13" s="3">
        <v>42164</v>
      </c>
      <c r="O13" s="64">
        <v>35</v>
      </c>
      <c r="P13" s="64">
        <v>8.1999999999999993</v>
      </c>
    </row>
    <row r="14" spans="1:43" x14ac:dyDescent="0.25">
      <c r="O14" s="65">
        <v>28</v>
      </c>
      <c r="P14" s="64"/>
    </row>
    <row r="15" spans="1:43" x14ac:dyDescent="0.25">
      <c r="A15" s="5">
        <v>8.8000000000000007</v>
      </c>
      <c r="B15" s="5">
        <v>1650</v>
      </c>
      <c r="C15" s="5"/>
      <c r="D15" s="5"/>
      <c r="E15" s="6">
        <v>42184</v>
      </c>
    </row>
    <row r="16" spans="1:43" x14ac:dyDescent="0.25">
      <c r="A16" s="5">
        <v>8.4</v>
      </c>
      <c r="B16" s="5">
        <v>1548</v>
      </c>
      <c r="C16" s="5"/>
      <c r="D16" s="5"/>
      <c r="E16" s="6">
        <v>42184</v>
      </c>
    </row>
    <row r="17" spans="1:27" x14ac:dyDescent="0.25">
      <c r="A17" s="5">
        <v>5.9</v>
      </c>
      <c r="B17" s="5">
        <v>1028</v>
      </c>
      <c r="C17" s="5"/>
      <c r="D17" s="5"/>
      <c r="E17" s="6">
        <v>42184</v>
      </c>
    </row>
    <row r="18" spans="1:27" x14ac:dyDescent="0.25">
      <c r="A18" s="5">
        <v>11.1</v>
      </c>
      <c r="B18" s="5">
        <v>2006</v>
      </c>
      <c r="C18" s="5"/>
      <c r="D18" s="5"/>
      <c r="E18" s="6">
        <v>42184</v>
      </c>
      <c r="Y18" s="7">
        <v>42228</v>
      </c>
    </row>
    <row r="19" spans="1:27" x14ac:dyDescent="0.25">
      <c r="A19" s="5">
        <v>28.8</v>
      </c>
      <c r="B19" s="5">
        <v>5381</v>
      </c>
      <c r="C19" s="5"/>
      <c r="D19" s="5"/>
      <c r="E19" s="6">
        <v>42185</v>
      </c>
      <c r="Y19" t="s">
        <v>6</v>
      </c>
    </row>
    <row r="20" spans="1:27" x14ac:dyDescent="0.25">
      <c r="A20" s="5">
        <v>16.399999999999999</v>
      </c>
      <c r="B20" s="5">
        <v>3098</v>
      </c>
      <c r="C20" s="5"/>
      <c r="D20" s="5"/>
      <c r="E20" s="6">
        <v>42185</v>
      </c>
      <c r="Y20" t="s">
        <v>7</v>
      </c>
    </row>
    <row r="21" spans="1:27" x14ac:dyDescent="0.25">
      <c r="A21" s="5">
        <v>27.6</v>
      </c>
      <c r="B21" s="5">
        <v>5416</v>
      </c>
      <c r="C21" s="5"/>
      <c r="D21" s="5"/>
      <c r="E21" s="6">
        <v>42185</v>
      </c>
      <c r="Y21" t="s">
        <v>8</v>
      </c>
    </row>
    <row r="22" spans="1:27" x14ac:dyDescent="0.25">
      <c r="A22" s="5">
        <v>29.3</v>
      </c>
      <c r="B22" s="5">
        <v>6243</v>
      </c>
      <c r="C22" s="5"/>
      <c r="D22" s="5"/>
      <c r="E22" s="6">
        <v>42185</v>
      </c>
      <c r="Y22" t="s">
        <v>9</v>
      </c>
      <c r="Z22" t="s">
        <v>10</v>
      </c>
      <c r="AA22" t="s">
        <v>11</v>
      </c>
    </row>
    <row r="23" spans="1:27" x14ac:dyDescent="0.25">
      <c r="A23" s="5">
        <v>6.9</v>
      </c>
      <c r="B23" s="5">
        <v>1171</v>
      </c>
      <c r="C23" s="5"/>
      <c r="D23" s="5"/>
      <c r="E23" s="6">
        <v>42185</v>
      </c>
      <c r="X23" t="s">
        <v>12</v>
      </c>
      <c r="Y23">
        <v>16.8</v>
      </c>
      <c r="Z23" s="8">
        <v>0.43255787037037036</v>
      </c>
      <c r="AA23">
        <v>1</v>
      </c>
    </row>
    <row r="24" spans="1:27" x14ac:dyDescent="0.25">
      <c r="C24" s="1"/>
      <c r="D24" s="1"/>
      <c r="E24" s="9"/>
      <c r="P24" s="57" t="s">
        <v>818</v>
      </c>
      <c r="Q24" s="57"/>
      <c r="R24" s="57"/>
      <c r="S24" s="57"/>
      <c r="T24" s="57"/>
      <c r="U24" s="57"/>
      <c r="Y24">
        <v>15.8</v>
      </c>
      <c r="Z24" s="8">
        <v>0.45386574074074071</v>
      </c>
      <c r="AA24">
        <v>2</v>
      </c>
    </row>
    <row r="25" spans="1:27" x14ac:dyDescent="0.25">
      <c r="A25" s="10"/>
      <c r="B25" s="10"/>
      <c r="C25" s="10"/>
      <c r="D25" s="10"/>
      <c r="P25" s="57" t="s">
        <v>819</v>
      </c>
      <c r="Q25" s="62" t="s">
        <v>823</v>
      </c>
      <c r="R25" s="57" t="s">
        <v>820</v>
      </c>
      <c r="S25" s="57" t="s">
        <v>824</v>
      </c>
      <c r="T25" s="57" t="s">
        <v>821</v>
      </c>
      <c r="U25" s="57" t="s">
        <v>822</v>
      </c>
      <c r="Y25">
        <v>15.4</v>
      </c>
      <c r="Z25" s="8">
        <v>0.47571759259259255</v>
      </c>
      <c r="AA25">
        <v>3</v>
      </c>
    </row>
    <row r="26" spans="1:27" x14ac:dyDescent="0.25">
      <c r="A26" s="10">
        <v>20.6</v>
      </c>
      <c r="B26" s="10">
        <v>4402</v>
      </c>
      <c r="C26" s="10" t="s">
        <v>13</v>
      </c>
      <c r="D26" s="10" t="s">
        <v>14</v>
      </c>
      <c r="E26" s="11">
        <v>42228</v>
      </c>
      <c r="P26" s="57">
        <v>1000</v>
      </c>
      <c r="Q26" s="61">
        <f>(1000+221)/217</f>
        <v>5.6267281105990783</v>
      </c>
      <c r="R26" s="57" t="s">
        <v>816</v>
      </c>
      <c r="S26" s="58">
        <v>1</v>
      </c>
      <c r="T26" s="59">
        <v>5.0999999999999996</v>
      </c>
      <c r="U26" s="60" t="s">
        <v>825</v>
      </c>
      <c r="Y26">
        <v>14.8</v>
      </c>
      <c r="Z26" s="8">
        <v>0.49807870370370372</v>
      </c>
      <c r="AA26">
        <v>4</v>
      </c>
    </row>
    <row r="27" spans="1:27" x14ac:dyDescent="0.25">
      <c r="A27" s="10">
        <v>16.2</v>
      </c>
      <c r="B27" s="10">
        <v>3444</v>
      </c>
      <c r="C27" s="10"/>
      <c r="D27" s="10"/>
      <c r="E27" s="10"/>
      <c r="P27" s="57">
        <v>5000</v>
      </c>
      <c r="Q27" s="61">
        <f>(5000+221)/217</f>
        <v>24.059907834101381</v>
      </c>
      <c r="R27" s="57" t="s">
        <v>817</v>
      </c>
      <c r="S27" s="58">
        <v>0.25</v>
      </c>
      <c r="T27" s="57">
        <f>T26*5</f>
        <v>25.5</v>
      </c>
      <c r="U27" s="57"/>
      <c r="Y27">
        <v>14.3</v>
      </c>
      <c r="Z27" s="8">
        <v>0.52265046296296302</v>
      </c>
      <c r="AA27">
        <v>5</v>
      </c>
    </row>
    <row r="28" spans="1:27" x14ac:dyDescent="0.25">
      <c r="A28" s="10">
        <v>18.3</v>
      </c>
      <c r="B28" s="10">
        <v>3980</v>
      </c>
      <c r="C28" s="10"/>
      <c r="D28" s="10"/>
      <c r="E28" s="10"/>
      <c r="P28" s="57" t="s">
        <v>815</v>
      </c>
      <c r="Q28" s="61">
        <f>(3000+221)/217</f>
        <v>14.84331797235023</v>
      </c>
      <c r="R28" s="57"/>
      <c r="S28" s="57"/>
      <c r="T28" s="57"/>
      <c r="U28" s="57"/>
      <c r="Y28">
        <v>13.6</v>
      </c>
      <c r="Z28" s="8">
        <v>0.54355324074074074</v>
      </c>
      <c r="AA28">
        <v>6</v>
      </c>
    </row>
    <row r="29" spans="1:27" x14ac:dyDescent="0.25">
      <c r="A29" s="10"/>
      <c r="B29" s="10"/>
      <c r="C29" s="10" t="s">
        <v>15</v>
      </c>
      <c r="D29" s="10"/>
      <c r="E29" s="10"/>
      <c r="Y29">
        <v>13</v>
      </c>
      <c r="Z29" s="8">
        <v>0.56841435185185185</v>
      </c>
      <c r="AA29">
        <v>7</v>
      </c>
    </row>
    <row r="30" spans="1:27" x14ac:dyDescent="0.25">
      <c r="A30" s="10">
        <v>20.3</v>
      </c>
      <c r="B30" s="10">
        <v>4424</v>
      </c>
      <c r="C30" s="10"/>
      <c r="D30" s="10"/>
      <c r="E30" s="10"/>
      <c r="Y30">
        <v>12.5</v>
      </c>
      <c r="Z30" s="8">
        <v>0.58937499999999998</v>
      </c>
      <c r="AA30">
        <v>8</v>
      </c>
    </row>
    <row r="31" spans="1:27" x14ac:dyDescent="0.25">
      <c r="A31" s="10">
        <v>19.100000000000001</v>
      </c>
      <c r="B31" s="10">
        <v>3978</v>
      </c>
      <c r="C31" s="10"/>
      <c r="D31" s="10"/>
      <c r="E31" s="10"/>
      <c r="O31">
        <f>(217*7)-221</f>
        <v>1298</v>
      </c>
      <c r="Y31">
        <v>12.1</v>
      </c>
      <c r="Z31" s="8">
        <v>0.61368055555555556</v>
      </c>
      <c r="AA31">
        <v>9</v>
      </c>
    </row>
    <row r="32" spans="1:27" x14ac:dyDescent="0.25">
      <c r="A32" s="10">
        <v>16.399999999999999</v>
      </c>
      <c r="B32" s="10">
        <v>3372</v>
      </c>
      <c r="C32" s="10"/>
      <c r="D32" s="10"/>
      <c r="E32" s="10"/>
      <c r="O32">
        <f>4000/O31</f>
        <v>3.0816640986132513</v>
      </c>
      <c r="Y32">
        <v>11.7</v>
      </c>
      <c r="Z32" s="8">
        <v>0.63475694444444442</v>
      </c>
      <c r="AA32">
        <v>10</v>
      </c>
    </row>
    <row r="33" spans="1:27" x14ac:dyDescent="0.25">
      <c r="A33" s="10">
        <v>16.399999999999999</v>
      </c>
      <c r="B33" s="10">
        <v>3359</v>
      </c>
      <c r="C33" s="10"/>
      <c r="D33" s="10"/>
      <c r="E33" s="10"/>
      <c r="Y33">
        <v>11.1</v>
      </c>
      <c r="Z33" s="8">
        <v>0.65856481481481477</v>
      </c>
      <c r="AA33">
        <v>11</v>
      </c>
    </row>
    <row r="34" spans="1:27" x14ac:dyDescent="0.25">
      <c r="A34" s="10">
        <v>16.399999999999999</v>
      </c>
      <c r="B34" s="10">
        <v>3360</v>
      </c>
      <c r="C34" s="10"/>
      <c r="D34" s="10"/>
      <c r="E34" s="10"/>
      <c r="Y34">
        <v>10.9</v>
      </c>
      <c r="Z34" s="8">
        <v>0.6796875</v>
      </c>
      <c r="AA34">
        <v>12</v>
      </c>
    </row>
    <row r="35" spans="1:27" x14ac:dyDescent="0.25">
      <c r="A35" s="10"/>
      <c r="B35" s="10"/>
      <c r="C35" s="10" t="s">
        <v>16</v>
      </c>
      <c r="D35" s="10"/>
      <c r="E35" s="10"/>
    </row>
    <row r="36" spans="1:27" x14ac:dyDescent="0.25">
      <c r="A36" s="10">
        <v>13.1</v>
      </c>
      <c r="B36" s="10">
        <v>2542</v>
      </c>
      <c r="C36" s="10"/>
      <c r="D36" s="10"/>
      <c r="E36" s="10"/>
      <c r="Y36" t="s">
        <v>17</v>
      </c>
    </row>
    <row r="37" spans="1:27" ht="15.75" thickBot="1" x14ac:dyDescent="0.3">
      <c r="A37" s="12">
        <v>17</v>
      </c>
      <c r="B37" s="12">
        <v>3479</v>
      </c>
      <c r="C37" s="12"/>
      <c r="D37" s="12"/>
      <c r="E37" s="12"/>
      <c r="Y37" t="s">
        <v>9</v>
      </c>
      <c r="Z37" t="s">
        <v>10</v>
      </c>
      <c r="AA37" t="s">
        <v>11</v>
      </c>
    </row>
    <row r="38" spans="1:27" ht="15.75" thickBot="1" x14ac:dyDescent="0.3">
      <c r="A38" s="13">
        <v>22.8</v>
      </c>
      <c r="B38" s="13">
        <v>4848</v>
      </c>
      <c r="C38" s="13" t="s">
        <v>13</v>
      </c>
      <c r="D38" s="13" t="s">
        <v>18</v>
      </c>
      <c r="E38" s="13"/>
      <c r="X38" t="s">
        <v>12</v>
      </c>
      <c r="Y38">
        <v>17</v>
      </c>
      <c r="Z38" s="8">
        <v>0.70629629629629631</v>
      </c>
      <c r="AA38">
        <v>1</v>
      </c>
    </row>
    <row r="39" spans="1:27" ht="15.75" thickBot="1" x14ac:dyDescent="0.3">
      <c r="A39" s="13">
        <v>14</v>
      </c>
      <c r="B39" s="13">
        <v>2802</v>
      </c>
      <c r="C39" s="13" t="s">
        <v>19</v>
      </c>
      <c r="D39" s="13" t="s">
        <v>14</v>
      </c>
      <c r="E39" s="14">
        <v>42235</v>
      </c>
      <c r="Y39">
        <v>15.9</v>
      </c>
      <c r="Z39" s="8">
        <v>0.74430555555555555</v>
      </c>
      <c r="AA39">
        <v>2</v>
      </c>
    </row>
    <row r="40" spans="1:27" x14ac:dyDescent="0.25">
      <c r="A40" s="10">
        <v>27.1</v>
      </c>
      <c r="B40" s="10">
        <v>6315</v>
      </c>
      <c r="C40" s="10" t="s">
        <v>20</v>
      </c>
      <c r="D40" s="10" t="s">
        <v>21</v>
      </c>
      <c r="E40" s="11">
        <v>42237</v>
      </c>
      <c r="Y40">
        <v>15.2</v>
      </c>
      <c r="Z40" s="8">
        <v>0.76734953703703701</v>
      </c>
      <c r="AA40">
        <v>3</v>
      </c>
    </row>
    <row r="41" spans="1:27" ht="15.75" thickBot="1" x14ac:dyDescent="0.3">
      <c r="A41" s="12">
        <v>5.3</v>
      </c>
      <c r="B41" s="12">
        <v>964</v>
      </c>
      <c r="C41" s="12"/>
      <c r="D41" s="12"/>
      <c r="E41" s="12"/>
      <c r="Y41">
        <v>14.7</v>
      </c>
      <c r="Z41" s="8">
        <v>0.78930555555555559</v>
      </c>
      <c r="AA41">
        <v>4</v>
      </c>
    </row>
    <row r="42" spans="1:27" x14ac:dyDescent="0.25">
      <c r="A42" s="15">
        <v>20.5</v>
      </c>
      <c r="B42" s="15">
        <v>4266</v>
      </c>
      <c r="C42" s="15" t="s">
        <v>19</v>
      </c>
      <c r="D42" s="15" t="s">
        <v>14</v>
      </c>
      <c r="E42" s="50">
        <v>42240</v>
      </c>
      <c r="Y42">
        <v>14.1</v>
      </c>
      <c r="Z42" s="8">
        <v>0.81221064814814825</v>
      </c>
      <c r="AA42">
        <v>5</v>
      </c>
    </row>
    <row r="43" spans="1:27" x14ac:dyDescent="0.25">
      <c r="A43" s="15">
        <v>20.2</v>
      </c>
      <c r="B43" s="15">
        <v>4174</v>
      </c>
      <c r="Y43">
        <v>13.5</v>
      </c>
      <c r="Z43" s="8">
        <v>0.83535879629629628</v>
      </c>
      <c r="AA43">
        <v>6</v>
      </c>
    </row>
    <row r="44" spans="1:27" x14ac:dyDescent="0.25">
      <c r="A44" s="15">
        <v>13.1</v>
      </c>
      <c r="B44" s="15">
        <v>2596</v>
      </c>
      <c r="Y44">
        <v>12.8</v>
      </c>
      <c r="Z44" s="8">
        <v>0.85828703703703713</v>
      </c>
      <c r="AA44">
        <v>7</v>
      </c>
    </row>
    <row r="45" spans="1:27" x14ac:dyDescent="0.25">
      <c r="A45" s="15">
        <v>20.6</v>
      </c>
      <c r="B45" s="15">
        <v>4210</v>
      </c>
      <c r="Y45">
        <v>12</v>
      </c>
      <c r="Z45" s="8">
        <v>0.88024305555555549</v>
      </c>
      <c r="AA45">
        <v>8</v>
      </c>
    </row>
    <row r="46" spans="1:27" ht="15.75" thickBot="1" x14ac:dyDescent="0.3">
      <c r="A46" s="16">
        <v>10.6</v>
      </c>
      <c r="B46" s="16">
        <v>2127</v>
      </c>
      <c r="C46" s="17"/>
      <c r="D46" s="17"/>
      <c r="E46" s="17"/>
      <c r="Y46">
        <v>11.4</v>
      </c>
      <c r="Z46" s="8">
        <v>0.90349537037037031</v>
      </c>
      <c r="AA46">
        <v>9</v>
      </c>
    </row>
    <row r="47" spans="1:27" x14ac:dyDescent="0.25">
      <c r="A47" s="15">
        <v>3.9</v>
      </c>
      <c r="B47" s="15">
        <v>667</v>
      </c>
      <c r="C47" s="10" t="s">
        <v>19</v>
      </c>
      <c r="D47" s="10" t="s">
        <v>22</v>
      </c>
      <c r="E47" s="11">
        <v>42244</v>
      </c>
      <c r="Y47">
        <v>10.9</v>
      </c>
      <c r="Z47" s="8">
        <v>0.92710648148148145</v>
      </c>
      <c r="AA47">
        <v>10</v>
      </c>
    </row>
    <row r="48" spans="1:27" x14ac:dyDescent="0.25">
      <c r="A48" s="10">
        <v>2.9</v>
      </c>
      <c r="B48" s="10">
        <v>486</v>
      </c>
      <c r="C48" s="10"/>
      <c r="D48" s="10"/>
      <c r="E48" s="10"/>
      <c r="Y48">
        <v>10.199999999999999</v>
      </c>
      <c r="Z48" s="8">
        <v>0.94842592592592589</v>
      </c>
      <c r="AA48">
        <v>11</v>
      </c>
    </row>
    <row r="49" spans="1:27" x14ac:dyDescent="0.25">
      <c r="A49" s="10">
        <v>6.4</v>
      </c>
      <c r="B49" s="10">
        <v>1132</v>
      </c>
      <c r="Y49">
        <v>9.5</v>
      </c>
      <c r="Z49" s="8">
        <v>0.97100694444444446</v>
      </c>
      <c r="AA49">
        <v>12</v>
      </c>
    </row>
    <row r="50" spans="1:27" ht="15.75" thickBot="1" x14ac:dyDescent="0.3">
      <c r="A50" s="12">
        <v>12.3</v>
      </c>
      <c r="B50" s="12">
        <v>2439</v>
      </c>
      <c r="C50" s="17"/>
      <c r="D50" s="17"/>
      <c r="E50" s="17"/>
    </row>
    <row r="51" spans="1:27" x14ac:dyDescent="0.25">
      <c r="A51" s="15">
        <v>16.899999999999999</v>
      </c>
      <c r="B51" s="15">
        <v>3464</v>
      </c>
      <c r="C51" s="49" t="s">
        <v>19</v>
      </c>
      <c r="D51" s="49" t="s">
        <v>14</v>
      </c>
      <c r="E51" s="50">
        <v>42247</v>
      </c>
    </row>
    <row r="52" spans="1:27" x14ac:dyDescent="0.25">
      <c r="A52" s="15">
        <v>20</v>
      </c>
      <c r="B52" s="15">
        <v>4111</v>
      </c>
    </row>
    <row r="53" spans="1:27" x14ac:dyDescent="0.25">
      <c r="A53" s="15">
        <v>6.9</v>
      </c>
      <c r="B53" s="15">
        <v>1308</v>
      </c>
    </row>
  </sheetData>
  <pageMargins left="0.511811024" right="0.511811024" top="0.78740157499999996" bottom="0.78740157499999996" header="0.31496062000000002" footer="0.31496062000000002"/>
  <pageSetup paperSize="9" orientation="portrait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I160"/>
  <sheetViews>
    <sheetView topLeftCell="A132" workbookViewId="0">
      <selection activeCell="I153" sqref="I153"/>
    </sheetView>
  </sheetViews>
  <sheetFormatPr defaultColWidth="8.85546875" defaultRowHeight="15" x14ac:dyDescent="0.25"/>
  <cols>
    <col min="1" max="1" width="11.85546875" bestFit="1" customWidth="1"/>
    <col min="41" max="41" width="10.42578125" bestFit="1" customWidth="1"/>
  </cols>
  <sheetData>
    <row r="1" spans="1:44" x14ac:dyDescent="0.25">
      <c r="A1" t="s">
        <v>218</v>
      </c>
    </row>
    <row r="2" spans="1:44" x14ac:dyDescent="0.25">
      <c r="A2" t="s">
        <v>501</v>
      </c>
    </row>
    <row r="4" spans="1:44" x14ac:dyDescent="0.25">
      <c r="A4" s="23">
        <v>42215</v>
      </c>
    </row>
    <row r="5" spans="1:44" x14ac:dyDescent="0.25">
      <c r="A5" t="s">
        <v>219</v>
      </c>
      <c r="B5" s="18" t="s">
        <v>29</v>
      </c>
      <c r="C5" s="18" t="s">
        <v>30</v>
      </c>
      <c r="D5" s="18" t="s">
        <v>31</v>
      </c>
      <c r="E5" s="18" t="s">
        <v>32</v>
      </c>
      <c r="F5" s="18" t="s">
        <v>33</v>
      </c>
      <c r="G5" s="18" t="s">
        <v>34</v>
      </c>
      <c r="H5" s="18" t="s">
        <v>35</v>
      </c>
    </row>
    <row r="6" spans="1:44" x14ac:dyDescent="0.25">
      <c r="B6" s="18"/>
      <c r="C6" s="18"/>
      <c r="D6" s="18"/>
      <c r="E6" s="18"/>
      <c r="F6" s="18"/>
      <c r="G6" s="18"/>
      <c r="H6" s="18"/>
      <c r="AC6" t="s">
        <v>44</v>
      </c>
      <c r="AD6" t="s">
        <v>45</v>
      </c>
      <c r="AE6" t="s">
        <v>46</v>
      </c>
      <c r="AF6" t="s">
        <v>47</v>
      </c>
      <c r="AG6" t="s">
        <v>220</v>
      </c>
      <c r="AH6" t="s">
        <v>48</v>
      </c>
      <c r="AL6" s="24" t="s">
        <v>221</v>
      </c>
      <c r="AM6" s="24"/>
      <c r="AN6" s="24"/>
      <c r="AO6" s="25"/>
      <c r="AP6" s="25"/>
    </row>
    <row r="7" spans="1:44" x14ac:dyDescent="0.25">
      <c r="A7" t="s">
        <v>222</v>
      </c>
      <c r="B7" s="18">
        <v>-4.5</v>
      </c>
      <c r="C7" s="18">
        <v>1.8360000000000001</v>
      </c>
      <c r="D7" s="18">
        <v>5.0000000000000001E-3</v>
      </c>
      <c r="E7" s="18">
        <v>-14.05</v>
      </c>
      <c r="F7" s="18">
        <v>-2.3879999999999999</v>
      </c>
      <c r="G7" s="18">
        <v>2.1000000000000001E-2</v>
      </c>
      <c r="H7" s="18" t="s">
        <v>223</v>
      </c>
      <c r="I7" t="s">
        <v>224</v>
      </c>
      <c r="J7" t="s">
        <v>225</v>
      </c>
      <c r="K7" t="s">
        <v>226</v>
      </c>
      <c r="L7" t="s">
        <v>227</v>
      </c>
      <c r="M7" t="s">
        <v>228</v>
      </c>
      <c r="N7" t="s">
        <v>229</v>
      </c>
      <c r="O7" t="s">
        <v>230</v>
      </c>
      <c r="P7" t="s">
        <v>231</v>
      </c>
      <c r="Q7" t="s">
        <v>232</v>
      </c>
      <c r="R7" t="s">
        <v>233</v>
      </c>
      <c r="S7" t="s">
        <v>234</v>
      </c>
      <c r="T7" t="s">
        <v>235</v>
      </c>
      <c r="U7" t="s">
        <v>236</v>
      </c>
      <c r="V7" t="s">
        <v>237</v>
      </c>
      <c r="W7" t="s">
        <v>238</v>
      </c>
      <c r="X7" t="s">
        <v>239</v>
      </c>
      <c r="AC7">
        <v>795</v>
      </c>
      <c r="AD7">
        <v>3536</v>
      </c>
      <c r="AE7">
        <v>3173</v>
      </c>
      <c r="AF7">
        <v>2949</v>
      </c>
      <c r="AG7">
        <v>27</v>
      </c>
      <c r="AH7" s="35">
        <f>AE7-AF7</f>
        <v>224</v>
      </c>
      <c r="AL7" s="26"/>
      <c r="AM7" s="26"/>
      <c r="AN7" s="26"/>
      <c r="AO7" s="26"/>
      <c r="AP7" s="26"/>
    </row>
    <row r="8" spans="1:44" x14ac:dyDescent="0.25">
      <c r="A8" t="s">
        <v>240</v>
      </c>
      <c r="B8" s="18">
        <v>-4.5</v>
      </c>
      <c r="C8" s="18">
        <v>1.8049999999999999</v>
      </c>
      <c r="D8" s="18">
        <v>1.7999999999999999E-2</v>
      </c>
      <c r="E8" s="18">
        <v>-14.05</v>
      </c>
      <c r="F8" s="18">
        <v>-2.427</v>
      </c>
      <c r="G8" s="18">
        <v>2.5000000000000001E-2</v>
      </c>
      <c r="H8" s="18" t="s">
        <v>223</v>
      </c>
      <c r="I8" t="s">
        <v>241</v>
      </c>
      <c r="J8" t="s">
        <v>242</v>
      </c>
      <c r="K8" t="s">
        <v>243</v>
      </c>
      <c r="L8" t="s">
        <v>244</v>
      </c>
      <c r="M8" t="s">
        <v>229</v>
      </c>
      <c r="N8" t="s">
        <v>245</v>
      </c>
      <c r="O8" t="s">
        <v>246</v>
      </c>
      <c r="P8" t="s">
        <v>247</v>
      </c>
      <c r="Q8" t="s">
        <v>248</v>
      </c>
      <c r="R8" t="s">
        <v>249</v>
      </c>
      <c r="S8" t="s">
        <v>250</v>
      </c>
      <c r="T8" t="s">
        <v>251</v>
      </c>
      <c r="U8" t="s">
        <v>252</v>
      </c>
      <c r="V8" t="s">
        <v>253</v>
      </c>
      <c r="AC8">
        <v>841</v>
      </c>
      <c r="AD8">
        <v>4302</v>
      </c>
      <c r="AE8">
        <v>3851</v>
      </c>
      <c r="AF8">
        <v>3580</v>
      </c>
      <c r="AG8">
        <v>27</v>
      </c>
      <c r="AH8" s="35">
        <f t="shared" ref="AH8:AH33" si="0">AE8-AF8</f>
        <v>271</v>
      </c>
      <c r="AL8" s="26"/>
      <c r="AM8" s="26"/>
      <c r="AN8" s="26"/>
      <c r="AO8" s="26"/>
      <c r="AP8" s="26"/>
    </row>
    <row r="9" spans="1:44" x14ac:dyDescent="0.25">
      <c r="A9" t="s">
        <v>254</v>
      </c>
      <c r="B9" s="18">
        <v>-4.5</v>
      </c>
      <c r="C9" s="18">
        <v>1.8220000000000001</v>
      </c>
      <c r="D9" s="18">
        <v>2.3E-2</v>
      </c>
      <c r="E9" s="18">
        <v>-14.05</v>
      </c>
      <c r="F9" s="18">
        <v>-2.238</v>
      </c>
      <c r="G9" s="18">
        <v>2.5000000000000001E-2</v>
      </c>
      <c r="H9" s="18" t="s">
        <v>255</v>
      </c>
      <c r="I9" t="s">
        <v>256</v>
      </c>
      <c r="J9" t="s">
        <v>242</v>
      </c>
      <c r="K9" t="s">
        <v>257</v>
      </c>
      <c r="L9" t="s">
        <v>258</v>
      </c>
      <c r="M9" t="s">
        <v>229</v>
      </c>
      <c r="N9" t="s">
        <v>259</v>
      </c>
      <c r="O9" t="s">
        <v>260</v>
      </c>
      <c r="P9" t="s">
        <v>261</v>
      </c>
      <c r="Q9" t="s">
        <v>233</v>
      </c>
      <c r="R9" t="s">
        <v>234</v>
      </c>
      <c r="S9" t="s">
        <v>262</v>
      </c>
      <c r="T9" t="s">
        <v>263</v>
      </c>
      <c r="U9" t="s">
        <v>264</v>
      </c>
      <c r="V9" t="s">
        <v>265</v>
      </c>
      <c r="W9" t="s">
        <v>266</v>
      </c>
      <c r="AC9">
        <v>466</v>
      </c>
      <c r="AD9">
        <v>1138</v>
      </c>
      <c r="AE9">
        <v>1063</v>
      </c>
      <c r="AF9">
        <v>992</v>
      </c>
      <c r="AG9">
        <v>9</v>
      </c>
      <c r="AH9" s="35">
        <f t="shared" si="0"/>
        <v>71</v>
      </c>
      <c r="AL9" s="24" t="s">
        <v>221</v>
      </c>
      <c r="AM9" s="24"/>
      <c r="AN9" s="24"/>
      <c r="AO9" s="25"/>
      <c r="AP9" s="25"/>
    </row>
    <row r="10" spans="1:44" x14ac:dyDescent="0.25">
      <c r="A10" s="27" t="s">
        <v>267</v>
      </c>
      <c r="B10" s="28">
        <v>1.804</v>
      </c>
      <c r="C10" s="28">
        <v>1.798</v>
      </c>
      <c r="D10" s="28">
        <v>8.9999999999999993E-3</v>
      </c>
      <c r="E10" s="28">
        <v>-3.0859999999999999</v>
      </c>
      <c r="F10" s="28">
        <v>-2.8780000000000001</v>
      </c>
      <c r="G10" s="28">
        <v>6.6000000000000003E-2</v>
      </c>
      <c r="H10" s="28" t="s">
        <v>255</v>
      </c>
      <c r="I10" s="27" t="s">
        <v>268</v>
      </c>
      <c r="J10" s="27" t="s">
        <v>242</v>
      </c>
      <c r="K10" s="27" t="s">
        <v>269</v>
      </c>
      <c r="L10" s="27" t="s">
        <v>270</v>
      </c>
      <c r="M10" s="27" t="s">
        <v>229</v>
      </c>
      <c r="N10" s="27" t="s">
        <v>271</v>
      </c>
      <c r="O10" s="27" t="s">
        <v>272</v>
      </c>
      <c r="P10" s="27" t="s">
        <v>273</v>
      </c>
      <c r="Q10" s="27" t="s">
        <v>234</v>
      </c>
      <c r="R10" s="27" t="s">
        <v>274</v>
      </c>
      <c r="S10" s="27" t="s">
        <v>275</v>
      </c>
      <c r="T10" s="27" t="s">
        <v>276</v>
      </c>
      <c r="U10" s="27" t="s">
        <v>277</v>
      </c>
      <c r="V10" s="27" t="s">
        <v>278</v>
      </c>
      <c r="W10" s="27"/>
      <c r="X10" s="27"/>
      <c r="Y10" s="27"/>
      <c r="Z10" s="27"/>
      <c r="AA10" s="27"/>
      <c r="AB10" s="27"/>
      <c r="AC10" s="27">
        <v>434</v>
      </c>
      <c r="AD10" s="27">
        <v>929</v>
      </c>
      <c r="AE10" s="27">
        <v>872</v>
      </c>
      <c r="AF10" s="27">
        <v>897</v>
      </c>
      <c r="AG10" s="27">
        <v>9</v>
      </c>
      <c r="AH10" s="35">
        <f t="shared" si="0"/>
        <v>-25</v>
      </c>
      <c r="AI10" s="27"/>
      <c r="AJ10" s="27"/>
      <c r="AK10" s="27"/>
      <c r="AL10" s="29" t="s">
        <v>279</v>
      </c>
      <c r="AM10" s="29" t="s">
        <v>44</v>
      </c>
      <c r="AN10" s="29"/>
      <c r="AO10" s="30" t="s">
        <v>44</v>
      </c>
      <c r="AP10" s="30" t="s">
        <v>280</v>
      </c>
      <c r="AQ10" s="27"/>
      <c r="AR10" s="27"/>
    </row>
    <row r="11" spans="1:44" x14ac:dyDescent="0.25">
      <c r="A11" t="s">
        <v>286</v>
      </c>
      <c r="B11" s="18">
        <v>-4.5</v>
      </c>
      <c r="C11" s="18">
        <v>1.865</v>
      </c>
      <c r="D11" s="18">
        <v>1.6E-2</v>
      </c>
      <c r="E11" s="18">
        <v>-14.05</v>
      </c>
      <c r="F11" s="18">
        <v>-2.6259999999999999</v>
      </c>
      <c r="G11" s="18">
        <v>7.3999999999999996E-2</v>
      </c>
      <c r="H11" s="18" t="s">
        <v>255</v>
      </c>
      <c r="I11" t="s">
        <v>287</v>
      </c>
      <c r="J11" t="s">
        <v>242</v>
      </c>
      <c r="K11" t="s">
        <v>288</v>
      </c>
      <c r="L11" t="s">
        <v>289</v>
      </c>
      <c r="M11" t="s">
        <v>229</v>
      </c>
      <c r="N11" t="s">
        <v>290</v>
      </c>
      <c r="O11" t="s">
        <v>291</v>
      </c>
      <c r="P11" t="s">
        <v>292</v>
      </c>
      <c r="Q11" t="s">
        <v>273</v>
      </c>
      <c r="R11" t="s">
        <v>282</v>
      </c>
      <c r="S11" t="s">
        <v>293</v>
      </c>
      <c r="T11" t="s">
        <v>294</v>
      </c>
      <c r="U11" t="s">
        <v>295</v>
      </c>
      <c r="V11" t="s">
        <v>296</v>
      </c>
      <c r="W11" t="s">
        <v>297</v>
      </c>
      <c r="AC11">
        <v>558</v>
      </c>
      <c r="AD11">
        <v>1564</v>
      </c>
      <c r="AE11">
        <v>1364</v>
      </c>
      <c r="AF11">
        <v>1269</v>
      </c>
      <c r="AG11">
        <v>9</v>
      </c>
      <c r="AH11" s="35">
        <f t="shared" si="0"/>
        <v>95</v>
      </c>
      <c r="AL11" s="24">
        <v>10</v>
      </c>
      <c r="AM11" s="24">
        <v>500</v>
      </c>
      <c r="AN11" s="24"/>
      <c r="AO11" s="25">
        <v>200</v>
      </c>
      <c r="AP11" s="25">
        <v>440</v>
      </c>
    </row>
    <row r="12" spans="1:44" x14ac:dyDescent="0.25">
      <c r="A12" t="s">
        <v>299</v>
      </c>
      <c r="B12" s="18">
        <v>-4.5</v>
      </c>
      <c r="C12" s="18">
        <v>1.8340000000000001</v>
      </c>
      <c r="D12" s="18">
        <v>2.4E-2</v>
      </c>
      <c r="E12" s="18">
        <v>-14.05</v>
      </c>
      <c r="F12" s="18">
        <v>-2.9790000000000001</v>
      </c>
      <c r="G12" s="18">
        <v>3.7999999999999999E-2</v>
      </c>
      <c r="H12" s="18" t="s">
        <v>255</v>
      </c>
      <c r="I12" t="s">
        <v>300</v>
      </c>
      <c r="J12" t="s">
        <v>242</v>
      </c>
      <c r="K12" t="s">
        <v>257</v>
      </c>
      <c r="L12" t="s">
        <v>301</v>
      </c>
      <c r="M12" t="s">
        <v>229</v>
      </c>
      <c r="N12" t="s">
        <v>302</v>
      </c>
      <c r="O12" t="s">
        <v>303</v>
      </c>
      <c r="P12" t="s">
        <v>247</v>
      </c>
      <c r="Q12" t="s">
        <v>282</v>
      </c>
      <c r="R12" t="s">
        <v>304</v>
      </c>
      <c r="S12" t="s">
        <v>305</v>
      </c>
      <c r="T12" t="s">
        <v>306</v>
      </c>
      <c r="U12" t="s">
        <v>307</v>
      </c>
      <c r="V12" t="s">
        <v>308</v>
      </c>
      <c r="AC12">
        <v>402</v>
      </c>
      <c r="AD12">
        <v>896</v>
      </c>
      <c r="AE12">
        <v>840</v>
      </c>
      <c r="AF12">
        <v>867</v>
      </c>
      <c r="AG12">
        <v>9</v>
      </c>
      <c r="AH12" s="35">
        <f t="shared" si="0"/>
        <v>-27</v>
      </c>
      <c r="AL12" s="24">
        <v>20</v>
      </c>
      <c r="AM12" s="24">
        <v>675</v>
      </c>
      <c r="AN12" s="24"/>
      <c r="AO12" s="25">
        <v>400</v>
      </c>
      <c r="AP12" s="25">
        <v>1600</v>
      </c>
    </row>
    <row r="13" spans="1:44" x14ac:dyDescent="0.25">
      <c r="A13" t="s">
        <v>309</v>
      </c>
      <c r="B13" s="18">
        <v>-4.5</v>
      </c>
      <c r="C13" s="18">
        <v>1.871</v>
      </c>
      <c r="D13" s="18">
        <v>1.9E-2</v>
      </c>
      <c r="E13" s="18">
        <v>-14.05</v>
      </c>
      <c r="F13" s="18">
        <v>-2.4540000000000002</v>
      </c>
      <c r="G13" s="18">
        <v>2.9000000000000001E-2</v>
      </c>
      <c r="H13" s="18" t="s">
        <v>255</v>
      </c>
      <c r="I13" t="s">
        <v>298</v>
      </c>
      <c r="J13" t="s">
        <v>242</v>
      </c>
      <c r="K13" t="s">
        <v>257</v>
      </c>
      <c r="L13" t="s">
        <v>310</v>
      </c>
      <c r="M13" t="s">
        <v>229</v>
      </c>
      <c r="N13" t="s">
        <v>311</v>
      </c>
      <c r="O13" t="s">
        <v>312</v>
      </c>
      <c r="P13" t="s">
        <v>273</v>
      </c>
      <c r="Q13" t="s">
        <v>234</v>
      </c>
      <c r="R13" t="s">
        <v>283</v>
      </c>
      <c r="S13" t="s">
        <v>284</v>
      </c>
      <c r="T13" t="s">
        <v>306</v>
      </c>
      <c r="U13" t="s">
        <v>313</v>
      </c>
      <c r="V13" t="s">
        <v>314</v>
      </c>
      <c r="AC13">
        <v>554</v>
      </c>
      <c r="AD13">
        <v>1580</v>
      </c>
      <c r="AE13">
        <v>1413</v>
      </c>
      <c r="AF13">
        <v>1315</v>
      </c>
      <c r="AG13">
        <v>18</v>
      </c>
      <c r="AH13" s="35">
        <f t="shared" si="0"/>
        <v>98</v>
      </c>
      <c r="AL13" s="24">
        <v>30</v>
      </c>
      <c r="AM13" s="24">
        <v>760</v>
      </c>
      <c r="AN13" s="24"/>
      <c r="AO13" s="25">
        <v>500</v>
      </c>
      <c r="AP13" s="25">
        <v>2400</v>
      </c>
    </row>
    <row r="14" spans="1:44" x14ac:dyDescent="0.25">
      <c r="A14" t="s">
        <v>315</v>
      </c>
      <c r="B14" s="18">
        <v>-4.5</v>
      </c>
      <c r="C14" s="18">
        <v>1.84</v>
      </c>
      <c r="D14" s="18">
        <v>0.02</v>
      </c>
      <c r="E14" s="18">
        <v>-14.05</v>
      </c>
      <c r="F14" s="18">
        <v>-2.702</v>
      </c>
      <c r="G14" s="18">
        <v>5.5E-2</v>
      </c>
      <c r="H14" s="18" t="s">
        <v>255</v>
      </c>
      <c r="I14" t="s">
        <v>316</v>
      </c>
      <c r="J14" t="s">
        <v>242</v>
      </c>
      <c r="K14" t="s">
        <v>257</v>
      </c>
      <c r="L14" t="s">
        <v>317</v>
      </c>
      <c r="M14" t="s">
        <v>229</v>
      </c>
      <c r="N14" t="s">
        <v>318</v>
      </c>
      <c r="O14" t="s">
        <v>319</v>
      </c>
      <c r="P14" t="s">
        <v>320</v>
      </c>
      <c r="Q14" t="s">
        <v>282</v>
      </c>
      <c r="R14" t="s">
        <v>321</v>
      </c>
      <c r="S14" t="s">
        <v>322</v>
      </c>
      <c r="T14" t="s">
        <v>323</v>
      </c>
      <c r="U14" t="s">
        <v>324</v>
      </c>
      <c r="V14" t="s">
        <v>325</v>
      </c>
      <c r="AC14">
        <v>593</v>
      </c>
      <c r="AD14">
        <v>1821</v>
      </c>
      <c r="AE14">
        <v>1582</v>
      </c>
      <c r="AF14">
        <v>1489</v>
      </c>
      <c r="AG14">
        <v>18</v>
      </c>
      <c r="AH14" s="35">
        <f t="shared" si="0"/>
        <v>93</v>
      </c>
      <c r="AL14" s="24">
        <v>40</v>
      </c>
      <c r="AM14" s="24">
        <v>840</v>
      </c>
      <c r="AN14" s="24"/>
      <c r="AO14" s="25">
        <v>600</v>
      </c>
      <c r="AP14" s="25">
        <v>3400</v>
      </c>
    </row>
    <row r="15" spans="1:44" x14ac:dyDescent="0.25">
      <c r="A15" t="s">
        <v>328</v>
      </c>
      <c r="B15" s="18">
        <v>-4.5</v>
      </c>
      <c r="C15" s="18">
        <v>1.8440000000000001</v>
      </c>
      <c r="D15" s="18">
        <v>1.2E-2</v>
      </c>
      <c r="E15" s="18">
        <v>-14.05</v>
      </c>
      <c r="F15" s="18">
        <v>-2.4990000000000001</v>
      </c>
      <c r="G15" s="18">
        <v>3.1E-2</v>
      </c>
      <c r="H15" s="18" t="s">
        <v>255</v>
      </c>
      <c r="I15" t="s">
        <v>268</v>
      </c>
      <c r="J15" t="s">
        <v>242</v>
      </c>
      <c r="K15" t="s">
        <v>243</v>
      </c>
      <c r="L15" t="s">
        <v>329</v>
      </c>
      <c r="M15" t="s">
        <v>229</v>
      </c>
      <c r="N15" t="s">
        <v>330</v>
      </c>
      <c r="O15" t="s">
        <v>281</v>
      </c>
      <c r="P15" t="s">
        <v>327</v>
      </c>
      <c r="Q15" t="s">
        <v>234</v>
      </c>
      <c r="R15" t="s">
        <v>283</v>
      </c>
      <c r="S15" t="s">
        <v>305</v>
      </c>
      <c r="T15" t="s">
        <v>331</v>
      </c>
      <c r="U15" t="s">
        <v>332</v>
      </c>
      <c r="V15" t="s">
        <v>333</v>
      </c>
      <c r="AC15">
        <v>621</v>
      </c>
      <c r="AD15">
        <v>1962</v>
      </c>
      <c r="AE15">
        <v>1704</v>
      </c>
      <c r="AF15">
        <v>1590</v>
      </c>
      <c r="AG15">
        <v>18</v>
      </c>
      <c r="AH15" s="35">
        <f t="shared" si="0"/>
        <v>114</v>
      </c>
      <c r="AL15" s="24">
        <v>50</v>
      </c>
      <c r="AM15" s="24">
        <v>900</v>
      </c>
      <c r="AN15" s="24"/>
      <c r="AO15" s="25">
        <v>700</v>
      </c>
      <c r="AP15" s="25">
        <v>4500</v>
      </c>
    </row>
    <row r="16" spans="1:44" x14ac:dyDescent="0.25">
      <c r="A16" t="s">
        <v>334</v>
      </c>
      <c r="B16" s="18">
        <v>-4.5</v>
      </c>
      <c r="C16" s="18">
        <v>1.6859999999999999</v>
      </c>
      <c r="D16" s="18">
        <v>1.2999999999999999E-2</v>
      </c>
      <c r="E16" s="18">
        <v>-14.05</v>
      </c>
      <c r="F16" s="18">
        <v>-2.7919999999999998</v>
      </c>
      <c r="G16" s="18">
        <v>1.4E-2</v>
      </c>
      <c r="H16" s="18" t="s">
        <v>255</v>
      </c>
      <c r="I16" t="s">
        <v>285</v>
      </c>
      <c r="J16" t="s">
        <v>242</v>
      </c>
      <c r="K16" t="s">
        <v>243</v>
      </c>
      <c r="L16" t="s">
        <v>335</v>
      </c>
      <c r="M16" t="s">
        <v>229</v>
      </c>
      <c r="N16" t="s">
        <v>336</v>
      </c>
      <c r="O16" t="s">
        <v>337</v>
      </c>
      <c r="P16" t="s">
        <v>273</v>
      </c>
      <c r="Q16" t="s">
        <v>234</v>
      </c>
      <c r="R16" t="s">
        <v>274</v>
      </c>
      <c r="S16" t="s">
        <v>338</v>
      </c>
      <c r="T16" t="s">
        <v>251</v>
      </c>
      <c r="U16" t="s">
        <v>339</v>
      </c>
      <c r="V16" t="s">
        <v>340</v>
      </c>
      <c r="AC16">
        <v>618</v>
      </c>
      <c r="AD16">
        <v>2070</v>
      </c>
      <c r="AE16">
        <v>1876</v>
      </c>
      <c r="AF16">
        <v>1746</v>
      </c>
      <c r="AG16">
        <v>18</v>
      </c>
      <c r="AH16" s="35">
        <f t="shared" si="0"/>
        <v>130</v>
      </c>
      <c r="AL16" s="24">
        <v>60</v>
      </c>
      <c r="AM16" s="24">
        <v>950</v>
      </c>
      <c r="AN16" s="24"/>
      <c r="AO16" s="25">
        <v>800</v>
      </c>
      <c r="AP16" s="25">
        <v>5800</v>
      </c>
    </row>
    <row r="17" spans="1:42" x14ac:dyDescent="0.25">
      <c r="A17" t="s">
        <v>341</v>
      </c>
      <c r="B17" s="18">
        <v>-4.5</v>
      </c>
      <c r="C17" s="18">
        <v>1.823</v>
      </c>
      <c r="D17" s="18">
        <v>5.0000000000000001E-3</v>
      </c>
      <c r="E17" s="18">
        <v>-14.05</v>
      </c>
      <c r="F17" s="18">
        <v>-2.407</v>
      </c>
      <c r="G17" s="18">
        <v>3.3000000000000002E-2</v>
      </c>
      <c r="H17" s="18" t="s">
        <v>255</v>
      </c>
      <c r="I17" t="s">
        <v>342</v>
      </c>
      <c r="J17" t="s">
        <v>242</v>
      </c>
      <c r="K17" t="s">
        <v>269</v>
      </c>
      <c r="L17" t="s">
        <v>343</v>
      </c>
      <c r="M17" t="s">
        <v>229</v>
      </c>
      <c r="N17" t="s">
        <v>344</v>
      </c>
      <c r="O17" t="s">
        <v>345</v>
      </c>
      <c r="P17" t="s">
        <v>247</v>
      </c>
      <c r="Q17" t="s">
        <v>234</v>
      </c>
      <c r="R17" t="s">
        <v>346</v>
      </c>
      <c r="S17" t="s">
        <v>347</v>
      </c>
      <c r="T17" t="s">
        <v>348</v>
      </c>
      <c r="U17" t="s">
        <v>349</v>
      </c>
      <c r="V17" t="s">
        <v>350</v>
      </c>
      <c r="AC17">
        <v>568</v>
      </c>
      <c r="AD17">
        <v>1576</v>
      </c>
      <c r="AE17">
        <v>1400</v>
      </c>
      <c r="AF17">
        <v>1303</v>
      </c>
      <c r="AG17">
        <v>18</v>
      </c>
      <c r="AH17" s="35">
        <f t="shared" si="0"/>
        <v>97</v>
      </c>
      <c r="AL17" s="24"/>
      <c r="AM17" s="24"/>
      <c r="AN17" s="24"/>
      <c r="AO17" s="25">
        <v>950</v>
      </c>
      <c r="AP17" s="25">
        <v>8000</v>
      </c>
    </row>
    <row r="18" spans="1:42" x14ac:dyDescent="0.25">
      <c r="A18" t="s">
        <v>353</v>
      </c>
      <c r="B18" s="18">
        <v>-4.5</v>
      </c>
      <c r="C18" s="18">
        <v>1.8480000000000001</v>
      </c>
      <c r="D18" s="18">
        <v>1.0999999999999999E-2</v>
      </c>
      <c r="E18" s="18">
        <v>-14.05</v>
      </c>
      <c r="F18" s="18">
        <v>-2.6280000000000001</v>
      </c>
      <c r="G18" s="18">
        <v>2.3E-2</v>
      </c>
      <c r="H18" s="18" t="s">
        <v>255</v>
      </c>
      <c r="I18" t="s">
        <v>354</v>
      </c>
      <c r="J18" t="s">
        <v>242</v>
      </c>
      <c r="K18" t="s">
        <v>243</v>
      </c>
      <c r="L18" t="s">
        <v>355</v>
      </c>
      <c r="M18" t="s">
        <v>229</v>
      </c>
      <c r="N18" t="s">
        <v>356</v>
      </c>
      <c r="O18" t="s">
        <v>357</v>
      </c>
      <c r="P18" t="s">
        <v>327</v>
      </c>
      <c r="Q18" t="s">
        <v>234</v>
      </c>
      <c r="R18" t="s">
        <v>358</v>
      </c>
      <c r="S18" t="s">
        <v>275</v>
      </c>
      <c r="T18" t="s">
        <v>359</v>
      </c>
      <c r="U18" t="s">
        <v>360</v>
      </c>
      <c r="V18" t="s">
        <v>361</v>
      </c>
      <c r="AC18">
        <v>660</v>
      </c>
      <c r="AD18">
        <v>2249</v>
      </c>
      <c r="AE18">
        <v>1970</v>
      </c>
      <c r="AF18">
        <v>1829</v>
      </c>
      <c r="AG18">
        <v>18</v>
      </c>
      <c r="AH18" s="35">
        <f t="shared" si="0"/>
        <v>141</v>
      </c>
      <c r="AL18" s="26"/>
      <c r="AM18" s="26"/>
      <c r="AN18" s="26"/>
      <c r="AO18" s="26"/>
      <c r="AP18" s="26"/>
    </row>
    <row r="19" spans="1:42" x14ac:dyDescent="0.25">
      <c r="A19" t="s">
        <v>362</v>
      </c>
      <c r="B19" s="18">
        <v>-4.5</v>
      </c>
      <c r="C19" s="18">
        <v>1.855</v>
      </c>
      <c r="D19" s="18">
        <v>8.9999999999999993E-3</v>
      </c>
      <c r="E19" s="18">
        <v>-14.05</v>
      </c>
      <c r="F19" s="18">
        <v>-2.5179999999999998</v>
      </c>
      <c r="G19" s="18">
        <v>2.7E-2</v>
      </c>
      <c r="H19" s="18" t="s">
        <v>255</v>
      </c>
      <c r="I19" t="s">
        <v>363</v>
      </c>
      <c r="J19" t="s">
        <v>242</v>
      </c>
      <c r="K19" t="s">
        <v>326</v>
      </c>
      <c r="L19" t="s">
        <v>364</v>
      </c>
      <c r="M19" t="s">
        <v>229</v>
      </c>
      <c r="N19" t="s">
        <v>365</v>
      </c>
      <c r="O19" t="s">
        <v>366</v>
      </c>
      <c r="P19" t="s">
        <v>233</v>
      </c>
      <c r="Q19" t="s">
        <v>234</v>
      </c>
      <c r="R19" t="s">
        <v>367</v>
      </c>
      <c r="S19" t="s">
        <v>347</v>
      </c>
      <c r="T19" t="s">
        <v>368</v>
      </c>
      <c r="U19" t="s">
        <v>369</v>
      </c>
      <c r="V19" t="s">
        <v>370</v>
      </c>
      <c r="AC19">
        <v>636</v>
      </c>
      <c r="AD19">
        <v>1873</v>
      </c>
      <c r="AE19">
        <v>1664</v>
      </c>
      <c r="AF19">
        <v>1553</v>
      </c>
      <c r="AG19">
        <v>18</v>
      </c>
      <c r="AH19" s="35">
        <f t="shared" si="0"/>
        <v>111</v>
      </c>
      <c r="AL19" s="26"/>
      <c r="AM19" s="26" t="s">
        <v>351</v>
      </c>
      <c r="AN19" s="26" t="s">
        <v>352</v>
      </c>
      <c r="AO19" s="26"/>
      <c r="AP19" s="26"/>
    </row>
    <row r="20" spans="1:42" x14ac:dyDescent="0.25">
      <c r="A20" t="s">
        <v>371</v>
      </c>
      <c r="B20" s="18">
        <v>-4.5</v>
      </c>
      <c r="C20" s="18">
        <v>1.8819999999999999</v>
      </c>
      <c r="D20" s="18">
        <v>0.01</v>
      </c>
      <c r="E20" s="18">
        <v>-14.05</v>
      </c>
      <c r="F20" s="18">
        <v>-2.4089999999999998</v>
      </c>
      <c r="G20" s="18">
        <v>2.1000000000000001E-2</v>
      </c>
      <c r="H20" s="18" t="s">
        <v>102</v>
      </c>
      <c r="I20" t="s">
        <v>354</v>
      </c>
      <c r="J20" t="s">
        <v>242</v>
      </c>
      <c r="K20" t="s">
        <v>257</v>
      </c>
      <c r="L20" t="s">
        <v>372</v>
      </c>
      <c r="M20" t="s">
        <v>229</v>
      </c>
      <c r="N20" t="s">
        <v>373</v>
      </c>
      <c r="O20" t="s">
        <v>374</v>
      </c>
      <c r="P20" t="s">
        <v>375</v>
      </c>
      <c r="Q20" t="s">
        <v>233</v>
      </c>
      <c r="R20" t="s">
        <v>234</v>
      </c>
      <c r="S20" t="s">
        <v>376</v>
      </c>
      <c r="T20" t="s">
        <v>377</v>
      </c>
      <c r="U20" t="s">
        <v>378</v>
      </c>
      <c r="V20" t="s">
        <v>379</v>
      </c>
      <c r="W20" t="s">
        <v>380</v>
      </c>
      <c r="AC20">
        <v>760</v>
      </c>
      <c r="AD20">
        <v>2967</v>
      </c>
      <c r="AE20">
        <v>2593</v>
      </c>
      <c r="AF20">
        <v>2411</v>
      </c>
      <c r="AG20">
        <v>27</v>
      </c>
      <c r="AH20" s="35">
        <f t="shared" si="0"/>
        <v>182</v>
      </c>
      <c r="AL20" s="26">
        <v>0</v>
      </c>
      <c r="AM20" s="26">
        <v>-2.2000000000000002</v>
      </c>
      <c r="AN20" s="26">
        <v>1.95</v>
      </c>
      <c r="AO20" s="26"/>
      <c r="AP20" s="26"/>
    </row>
    <row r="21" spans="1:42" x14ac:dyDescent="0.25">
      <c r="A21" t="s">
        <v>381</v>
      </c>
      <c r="B21" s="18">
        <v>-4.5</v>
      </c>
      <c r="C21" s="18">
        <v>1.867</v>
      </c>
      <c r="D21" s="18">
        <v>6.0000000000000001E-3</v>
      </c>
      <c r="E21" s="18">
        <v>-14.05</v>
      </c>
      <c r="F21" s="18">
        <v>-2.431</v>
      </c>
      <c r="G21" s="18">
        <v>1.0999999999999999E-2</v>
      </c>
      <c r="H21" s="18" t="s">
        <v>102</v>
      </c>
      <c r="I21" t="s">
        <v>382</v>
      </c>
      <c r="J21" t="s">
        <v>242</v>
      </c>
      <c r="K21" t="s">
        <v>269</v>
      </c>
      <c r="L21" t="s">
        <v>383</v>
      </c>
      <c r="M21" t="s">
        <v>229</v>
      </c>
      <c r="N21" t="s">
        <v>384</v>
      </c>
      <c r="O21" t="s">
        <v>385</v>
      </c>
      <c r="P21" t="s">
        <v>273</v>
      </c>
      <c r="Q21" t="s">
        <v>234</v>
      </c>
      <c r="R21" t="s">
        <v>386</v>
      </c>
      <c r="S21" t="s">
        <v>387</v>
      </c>
      <c r="T21" t="s">
        <v>388</v>
      </c>
      <c r="U21" t="s">
        <v>389</v>
      </c>
      <c r="V21" t="s">
        <v>390</v>
      </c>
      <c r="AC21">
        <v>728</v>
      </c>
      <c r="AD21">
        <v>2588</v>
      </c>
      <c r="AE21">
        <v>2272</v>
      </c>
      <c r="AF21">
        <v>2112</v>
      </c>
      <c r="AG21">
        <v>27</v>
      </c>
      <c r="AH21" s="35">
        <f t="shared" si="0"/>
        <v>160</v>
      </c>
      <c r="AL21" s="26">
        <v>8000</v>
      </c>
      <c r="AM21" s="26">
        <v>-2.2000000000000002</v>
      </c>
      <c r="AN21" s="26">
        <v>1.95</v>
      </c>
      <c r="AO21" s="26"/>
      <c r="AP21" s="26"/>
    </row>
    <row r="22" spans="1:42" x14ac:dyDescent="0.25">
      <c r="A22" t="s">
        <v>391</v>
      </c>
      <c r="B22" s="18">
        <v>-4.5</v>
      </c>
      <c r="C22" s="18">
        <v>1.841</v>
      </c>
      <c r="D22" s="18">
        <v>8.0000000000000002E-3</v>
      </c>
      <c r="E22" s="18">
        <v>-14.05</v>
      </c>
      <c r="F22" s="18">
        <v>-2.4969999999999999</v>
      </c>
      <c r="G22" s="18">
        <v>2.1999999999999999E-2</v>
      </c>
      <c r="H22" s="18" t="s">
        <v>102</v>
      </c>
      <c r="I22" t="s">
        <v>354</v>
      </c>
      <c r="J22" t="s">
        <v>242</v>
      </c>
      <c r="K22" t="s">
        <v>269</v>
      </c>
      <c r="L22" t="s">
        <v>392</v>
      </c>
      <c r="M22" t="s">
        <v>229</v>
      </c>
      <c r="N22" t="s">
        <v>393</v>
      </c>
      <c r="O22" t="s">
        <v>394</v>
      </c>
      <c r="P22" t="s">
        <v>233</v>
      </c>
      <c r="Q22" t="s">
        <v>234</v>
      </c>
      <c r="R22" t="s">
        <v>395</v>
      </c>
      <c r="S22" t="s">
        <v>396</v>
      </c>
      <c r="T22" t="s">
        <v>397</v>
      </c>
      <c r="U22" t="s">
        <v>398</v>
      </c>
      <c r="V22" t="s">
        <v>399</v>
      </c>
      <c r="AC22">
        <v>823</v>
      </c>
      <c r="AD22">
        <v>3470</v>
      </c>
      <c r="AE22">
        <v>3082</v>
      </c>
      <c r="AF22">
        <v>2867</v>
      </c>
      <c r="AG22">
        <v>27</v>
      </c>
      <c r="AH22" s="35">
        <f t="shared" si="0"/>
        <v>215</v>
      </c>
    </row>
    <row r="23" spans="1:42" x14ac:dyDescent="0.25">
      <c r="A23" t="s">
        <v>400</v>
      </c>
      <c r="B23" s="18">
        <v>-4.5</v>
      </c>
      <c r="C23" s="18">
        <v>1.8169999999999999</v>
      </c>
      <c r="D23" s="18">
        <v>1.2E-2</v>
      </c>
      <c r="E23" s="18">
        <v>-14.05</v>
      </c>
      <c r="F23" s="18">
        <v>-2.6080000000000001</v>
      </c>
      <c r="G23" s="18">
        <v>2.8000000000000001E-2</v>
      </c>
      <c r="H23" s="18" t="s">
        <v>102</v>
      </c>
      <c r="I23" t="s">
        <v>401</v>
      </c>
      <c r="J23" t="s">
        <v>242</v>
      </c>
      <c r="K23" t="s">
        <v>326</v>
      </c>
      <c r="L23" t="s">
        <v>402</v>
      </c>
      <c r="M23" t="s">
        <v>229</v>
      </c>
      <c r="N23" t="s">
        <v>403</v>
      </c>
      <c r="O23" t="s">
        <v>404</v>
      </c>
      <c r="P23" t="s">
        <v>233</v>
      </c>
      <c r="Q23" t="s">
        <v>234</v>
      </c>
      <c r="R23" t="s">
        <v>405</v>
      </c>
      <c r="S23" t="s">
        <v>406</v>
      </c>
      <c r="T23" t="s">
        <v>407</v>
      </c>
      <c r="U23" t="s">
        <v>408</v>
      </c>
      <c r="V23" t="s">
        <v>409</v>
      </c>
      <c r="AC23">
        <v>714</v>
      </c>
      <c r="AD23">
        <v>2395</v>
      </c>
      <c r="AE23">
        <v>2100</v>
      </c>
      <c r="AF23">
        <v>1953</v>
      </c>
      <c r="AG23">
        <v>27</v>
      </c>
      <c r="AH23" s="35">
        <f t="shared" si="0"/>
        <v>147</v>
      </c>
    </row>
    <row r="24" spans="1:42" x14ac:dyDescent="0.25">
      <c r="A24" t="s">
        <v>410</v>
      </c>
      <c r="B24" s="18">
        <v>-4.5</v>
      </c>
      <c r="C24" s="18">
        <v>1.833</v>
      </c>
      <c r="D24" s="18">
        <v>1.2999999999999999E-2</v>
      </c>
      <c r="E24" s="18">
        <v>-14.05</v>
      </c>
      <c r="F24" s="18">
        <v>-2.431</v>
      </c>
      <c r="G24" s="18">
        <v>1.9E-2</v>
      </c>
      <c r="H24" s="18" t="s">
        <v>102</v>
      </c>
      <c r="I24" t="s">
        <v>285</v>
      </c>
      <c r="J24" t="s">
        <v>242</v>
      </c>
      <c r="K24" t="s">
        <v>326</v>
      </c>
      <c r="L24" t="s">
        <v>392</v>
      </c>
      <c r="M24" t="s">
        <v>229</v>
      </c>
      <c r="N24" t="s">
        <v>393</v>
      </c>
      <c r="O24" t="s">
        <v>411</v>
      </c>
      <c r="P24" t="s">
        <v>412</v>
      </c>
      <c r="Q24" t="s">
        <v>234</v>
      </c>
      <c r="R24" t="s">
        <v>413</v>
      </c>
      <c r="S24" t="s">
        <v>414</v>
      </c>
      <c r="T24" t="s">
        <v>415</v>
      </c>
      <c r="U24" t="s">
        <v>416</v>
      </c>
      <c r="V24" t="s">
        <v>417</v>
      </c>
      <c r="AC24">
        <v>823</v>
      </c>
      <c r="AD24">
        <v>3492</v>
      </c>
      <c r="AE24">
        <v>3086</v>
      </c>
      <c r="AF24">
        <v>2872</v>
      </c>
      <c r="AG24">
        <v>27</v>
      </c>
      <c r="AH24" s="35">
        <f t="shared" si="0"/>
        <v>214</v>
      </c>
    </row>
    <row r="25" spans="1:42" x14ac:dyDescent="0.25">
      <c r="A25" t="s">
        <v>418</v>
      </c>
      <c r="B25" s="18">
        <v>-4.5</v>
      </c>
      <c r="C25" s="18">
        <v>1.825</v>
      </c>
      <c r="D25" s="18">
        <v>7.0000000000000001E-3</v>
      </c>
      <c r="E25" s="18">
        <v>-14.05</v>
      </c>
      <c r="F25" s="18">
        <v>-2.46</v>
      </c>
      <c r="G25" s="18">
        <v>2.8000000000000001E-2</v>
      </c>
      <c r="H25" s="18" t="s">
        <v>102</v>
      </c>
      <c r="I25" t="s">
        <v>419</v>
      </c>
      <c r="J25" t="s">
        <v>242</v>
      </c>
      <c r="K25" t="s">
        <v>326</v>
      </c>
      <c r="L25" t="s">
        <v>420</v>
      </c>
      <c r="M25" t="s">
        <v>229</v>
      </c>
      <c r="N25" t="s">
        <v>421</v>
      </c>
      <c r="O25" t="s">
        <v>422</v>
      </c>
      <c r="P25" t="s">
        <v>273</v>
      </c>
      <c r="Q25" t="s">
        <v>234</v>
      </c>
      <c r="R25" t="s">
        <v>423</v>
      </c>
      <c r="S25" t="s">
        <v>424</v>
      </c>
      <c r="T25" t="s">
        <v>425</v>
      </c>
      <c r="U25" t="s">
        <v>426</v>
      </c>
      <c r="V25" t="s">
        <v>427</v>
      </c>
      <c r="AC25">
        <v>742</v>
      </c>
      <c r="AD25">
        <v>2649</v>
      </c>
      <c r="AE25">
        <v>2397</v>
      </c>
      <c r="AF25">
        <v>2231</v>
      </c>
      <c r="AG25">
        <v>27</v>
      </c>
      <c r="AH25" s="35">
        <f t="shared" si="0"/>
        <v>166</v>
      </c>
    </row>
    <row r="26" spans="1:42" x14ac:dyDescent="0.25">
      <c r="A26" t="s">
        <v>428</v>
      </c>
      <c r="B26" s="18">
        <v>-4.5</v>
      </c>
      <c r="C26" s="18">
        <v>1.8580000000000001</v>
      </c>
      <c r="D26" s="18">
        <v>1.0999999999999999E-2</v>
      </c>
      <c r="E26" s="18">
        <v>-14.05</v>
      </c>
      <c r="F26" s="18">
        <v>-2.4609999999999999</v>
      </c>
      <c r="G26" s="18">
        <v>1.4E-2</v>
      </c>
      <c r="H26" s="18" t="s">
        <v>102</v>
      </c>
      <c r="I26" t="s">
        <v>285</v>
      </c>
      <c r="J26" t="s">
        <v>242</v>
      </c>
      <c r="K26" t="s">
        <v>326</v>
      </c>
      <c r="L26" t="s">
        <v>429</v>
      </c>
      <c r="M26" t="s">
        <v>229</v>
      </c>
      <c r="N26" t="s">
        <v>430</v>
      </c>
      <c r="O26" t="s">
        <v>431</v>
      </c>
      <c r="P26" t="s">
        <v>375</v>
      </c>
      <c r="Q26" t="s">
        <v>412</v>
      </c>
      <c r="R26" t="s">
        <v>234</v>
      </c>
      <c r="S26" t="s">
        <v>432</v>
      </c>
      <c r="T26" t="s">
        <v>433</v>
      </c>
      <c r="U26" t="s">
        <v>434</v>
      </c>
      <c r="V26" t="s">
        <v>435</v>
      </c>
      <c r="W26" t="s">
        <v>436</v>
      </c>
      <c r="AC26">
        <v>827</v>
      </c>
      <c r="AD26">
        <v>3509</v>
      </c>
      <c r="AE26">
        <v>3110</v>
      </c>
      <c r="AF26">
        <v>2893</v>
      </c>
      <c r="AG26">
        <v>27</v>
      </c>
      <c r="AH26" s="35">
        <f t="shared" si="0"/>
        <v>217</v>
      </c>
    </row>
    <row r="27" spans="1:42" x14ac:dyDescent="0.25">
      <c r="A27" t="s">
        <v>437</v>
      </c>
      <c r="B27" s="18">
        <v>-4.5</v>
      </c>
      <c r="C27" s="18">
        <v>1.772</v>
      </c>
      <c r="D27" s="18">
        <v>0.02</v>
      </c>
      <c r="E27" s="18">
        <v>-14.05</v>
      </c>
      <c r="F27" s="18">
        <v>-2.7360000000000002</v>
      </c>
      <c r="G27" s="18">
        <v>1.6E-2</v>
      </c>
      <c r="H27" s="18" t="s">
        <v>102</v>
      </c>
      <c r="I27" t="s">
        <v>363</v>
      </c>
      <c r="J27" t="s">
        <v>242</v>
      </c>
      <c r="K27" t="s">
        <v>326</v>
      </c>
      <c r="L27" t="s">
        <v>438</v>
      </c>
      <c r="M27" t="s">
        <v>229</v>
      </c>
      <c r="N27" t="s">
        <v>439</v>
      </c>
      <c r="O27" t="s">
        <v>440</v>
      </c>
      <c r="P27" t="s">
        <v>412</v>
      </c>
      <c r="Q27" t="s">
        <v>234</v>
      </c>
      <c r="R27" t="s">
        <v>441</v>
      </c>
      <c r="S27" t="s">
        <v>442</v>
      </c>
      <c r="T27" t="s">
        <v>443</v>
      </c>
      <c r="U27" t="s">
        <v>444</v>
      </c>
      <c r="V27" t="s">
        <v>445</v>
      </c>
      <c r="AC27">
        <v>752</v>
      </c>
      <c r="AD27">
        <v>2735</v>
      </c>
      <c r="AE27">
        <v>2365</v>
      </c>
      <c r="AF27">
        <v>2198</v>
      </c>
      <c r="AG27">
        <v>27</v>
      </c>
      <c r="AH27" s="35">
        <f t="shared" si="0"/>
        <v>167</v>
      </c>
    </row>
    <row r="28" spans="1:42" x14ac:dyDescent="0.25">
      <c r="A28" s="32" t="s">
        <v>446</v>
      </c>
      <c r="B28" s="33">
        <v>1.768</v>
      </c>
      <c r="C28" s="33">
        <v>1.7709999999999999</v>
      </c>
      <c r="D28" s="33">
        <v>6.0000000000000001E-3</v>
      </c>
      <c r="E28" s="33">
        <v>-2.6419999999999999</v>
      </c>
      <c r="F28" s="33">
        <v>-2.5840000000000001</v>
      </c>
      <c r="G28" s="33">
        <v>4.1000000000000002E-2</v>
      </c>
      <c r="H28" s="33" t="s">
        <v>102</v>
      </c>
      <c r="I28" s="32" t="s">
        <v>354</v>
      </c>
      <c r="J28" s="32" t="s">
        <v>242</v>
      </c>
      <c r="K28" s="32" t="s">
        <v>288</v>
      </c>
      <c r="L28" s="32" t="s">
        <v>447</v>
      </c>
      <c r="M28" s="32" t="s">
        <v>229</v>
      </c>
      <c r="N28" s="32" t="s">
        <v>448</v>
      </c>
      <c r="O28" s="32" t="s">
        <v>394</v>
      </c>
      <c r="P28" s="32" t="s">
        <v>233</v>
      </c>
      <c r="Q28" s="32" t="s">
        <v>234</v>
      </c>
      <c r="R28" s="32" t="s">
        <v>405</v>
      </c>
      <c r="S28" s="32" t="s">
        <v>406</v>
      </c>
      <c r="T28" s="32" t="s">
        <v>449</v>
      </c>
      <c r="U28" s="32" t="s">
        <v>450</v>
      </c>
      <c r="V28" s="32" t="s">
        <v>451</v>
      </c>
      <c r="W28" s="32"/>
      <c r="X28" s="32"/>
      <c r="Y28" s="32"/>
      <c r="Z28" s="32"/>
      <c r="AA28" s="32"/>
      <c r="AB28" s="32"/>
      <c r="AC28" s="32">
        <v>880</v>
      </c>
      <c r="AD28" s="32">
        <v>3965</v>
      </c>
      <c r="AE28" s="32">
        <v>3585</v>
      </c>
      <c r="AF28" s="32">
        <v>3335</v>
      </c>
      <c r="AG28" s="32">
        <v>36</v>
      </c>
      <c r="AH28" s="35">
        <f t="shared" si="0"/>
        <v>250</v>
      </c>
    </row>
    <row r="29" spans="1:42" x14ac:dyDescent="0.25">
      <c r="A29" t="s">
        <v>452</v>
      </c>
      <c r="B29" s="18">
        <v>-4.5</v>
      </c>
      <c r="C29" s="18">
        <v>1.7010000000000001</v>
      </c>
      <c r="D29" s="18">
        <v>1.9E-2</v>
      </c>
      <c r="E29" s="18">
        <v>-14.05</v>
      </c>
      <c r="F29" s="18">
        <v>-2.4790000000000001</v>
      </c>
      <c r="G29" s="18">
        <v>1.7000000000000001E-2</v>
      </c>
      <c r="H29" s="18" t="s">
        <v>102</v>
      </c>
      <c r="I29" t="s">
        <v>363</v>
      </c>
      <c r="J29" t="s">
        <v>242</v>
      </c>
      <c r="K29" t="s">
        <v>269</v>
      </c>
      <c r="L29" t="s">
        <v>453</v>
      </c>
      <c r="M29" t="s">
        <v>229</v>
      </c>
      <c r="N29" t="s">
        <v>454</v>
      </c>
      <c r="O29" t="s">
        <v>411</v>
      </c>
      <c r="P29" t="s">
        <v>455</v>
      </c>
      <c r="Q29" t="s">
        <v>234</v>
      </c>
      <c r="R29" t="s">
        <v>456</v>
      </c>
      <c r="S29" t="s">
        <v>457</v>
      </c>
      <c r="T29" t="s">
        <v>458</v>
      </c>
      <c r="U29" t="s">
        <v>459</v>
      </c>
      <c r="V29" t="s">
        <v>460</v>
      </c>
      <c r="AC29">
        <v>891</v>
      </c>
      <c r="AD29">
        <v>4012</v>
      </c>
      <c r="AE29">
        <v>3603</v>
      </c>
      <c r="AF29">
        <v>3348</v>
      </c>
      <c r="AG29">
        <v>36</v>
      </c>
      <c r="AH29" s="35">
        <f t="shared" si="0"/>
        <v>255</v>
      </c>
      <c r="AJ29" t="s">
        <v>505</v>
      </c>
    </row>
    <row r="30" spans="1:42" x14ac:dyDescent="0.25">
      <c r="A30" t="s">
        <v>462</v>
      </c>
      <c r="B30" s="18">
        <v>-4.5</v>
      </c>
      <c r="C30" s="18">
        <v>1.796</v>
      </c>
      <c r="D30" s="18">
        <v>1.4E-2</v>
      </c>
      <c r="E30" s="18">
        <v>-14.05</v>
      </c>
      <c r="F30" s="18">
        <v>-2.4929999999999999</v>
      </c>
      <c r="G30" s="18">
        <v>1.4999999999999999E-2</v>
      </c>
      <c r="H30" s="18" t="s">
        <v>102</v>
      </c>
      <c r="I30" t="s">
        <v>342</v>
      </c>
      <c r="J30" t="s">
        <v>242</v>
      </c>
      <c r="K30" t="s">
        <v>269</v>
      </c>
      <c r="L30" t="s">
        <v>463</v>
      </c>
      <c r="M30" t="s">
        <v>229</v>
      </c>
      <c r="N30" t="s">
        <v>464</v>
      </c>
      <c r="O30" t="s">
        <v>374</v>
      </c>
      <c r="P30" t="s">
        <v>465</v>
      </c>
      <c r="Q30" t="s">
        <v>466</v>
      </c>
      <c r="R30" t="s">
        <v>234</v>
      </c>
      <c r="S30" t="s">
        <v>467</v>
      </c>
      <c r="T30" t="s">
        <v>396</v>
      </c>
      <c r="U30" t="s">
        <v>468</v>
      </c>
      <c r="V30" t="s">
        <v>469</v>
      </c>
      <c r="W30" t="s">
        <v>470</v>
      </c>
      <c r="AC30">
        <v>876</v>
      </c>
      <c r="AD30">
        <v>4099</v>
      </c>
      <c r="AE30">
        <v>3673</v>
      </c>
      <c r="AF30">
        <v>3414</v>
      </c>
      <c r="AG30">
        <v>36</v>
      </c>
      <c r="AH30" s="35">
        <f t="shared" si="0"/>
        <v>259</v>
      </c>
      <c r="AJ30" s="36"/>
      <c r="AK30" s="36" t="s">
        <v>351</v>
      </c>
      <c r="AL30" s="36" t="s">
        <v>352</v>
      </c>
    </row>
    <row r="31" spans="1:42" x14ac:dyDescent="0.25">
      <c r="A31" t="s">
        <v>471</v>
      </c>
      <c r="B31" s="18">
        <v>-4.5</v>
      </c>
      <c r="C31" s="18">
        <v>1.8360000000000001</v>
      </c>
      <c r="D31" s="18">
        <v>4.0000000000000001E-3</v>
      </c>
      <c r="E31" s="18">
        <v>-14.05</v>
      </c>
      <c r="F31" s="18">
        <v>-2.4550000000000001</v>
      </c>
      <c r="G31" s="18">
        <v>2.3E-2</v>
      </c>
      <c r="H31" s="18" t="s">
        <v>102</v>
      </c>
      <c r="I31" t="s">
        <v>472</v>
      </c>
      <c r="J31" t="s">
        <v>242</v>
      </c>
      <c r="K31" t="s">
        <v>288</v>
      </c>
      <c r="L31" t="s">
        <v>473</v>
      </c>
      <c r="M31" t="s">
        <v>229</v>
      </c>
      <c r="N31" t="s">
        <v>474</v>
      </c>
      <c r="O31" t="s">
        <v>475</v>
      </c>
      <c r="P31" t="s">
        <v>233</v>
      </c>
      <c r="Q31" t="s">
        <v>234</v>
      </c>
      <c r="R31" t="s">
        <v>461</v>
      </c>
      <c r="S31" t="s">
        <v>476</v>
      </c>
      <c r="T31" t="s">
        <v>477</v>
      </c>
      <c r="U31" t="s">
        <v>478</v>
      </c>
      <c r="V31" t="s">
        <v>479</v>
      </c>
      <c r="AC31">
        <v>919</v>
      </c>
      <c r="AD31">
        <v>4548</v>
      </c>
      <c r="AE31">
        <v>4059</v>
      </c>
      <c r="AF31">
        <v>3772</v>
      </c>
      <c r="AG31">
        <v>36</v>
      </c>
      <c r="AH31" s="35">
        <f t="shared" si="0"/>
        <v>287</v>
      </c>
      <c r="AJ31" s="36" t="s">
        <v>502</v>
      </c>
      <c r="AK31" s="37">
        <f>AVERAGE(F7:F33)</f>
        <v>-2.5418888888888884</v>
      </c>
      <c r="AL31" s="37">
        <f>AVERAGE(C7:C33)</f>
        <v>1.8217037037037036</v>
      </c>
    </row>
    <row r="32" spans="1:42" x14ac:dyDescent="0.25">
      <c r="A32" t="s">
        <v>480</v>
      </c>
      <c r="B32" s="18">
        <v>-4.5</v>
      </c>
      <c r="C32" s="18">
        <v>1.8480000000000001</v>
      </c>
      <c r="D32" s="18">
        <v>1.0999999999999999E-2</v>
      </c>
      <c r="E32" s="18">
        <v>-14.05</v>
      </c>
      <c r="F32" s="18">
        <v>-2.4990000000000001</v>
      </c>
      <c r="G32" s="18">
        <v>2.1999999999999999E-2</v>
      </c>
      <c r="H32" s="18" t="s">
        <v>102</v>
      </c>
      <c r="I32" t="s">
        <v>342</v>
      </c>
      <c r="J32" t="s">
        <v>242</v>
      </c>
      <c r="K32" t="s">
        <v>269</v>
      </c>
      <c r="L32" t="s">
        <v>481</v>
      </c>
      <c r="M32" t="s">
        <v>229</v>
      </c>
      <c r="N32" t="s">
        <v>482</v>
      </c>
      <c r="O32" t="s">
        <v>404</v>
      </c>
      <c r="P32" t="s">
        <v>273</v>
      </c>
      <c r="Q32" t="s">
        <v>234</v>
      </c>
      <c r="R32" t="s">
        <v>483</v>
      </c>
      <c r="S32" t="s">
        <v>484</v>
      </c>
      <c r="T32" t="s">
        <v>485</v>
      </c>
      <c r="U32" t="s">
        <v>486</v>
      </c>
      <c r="V32" t="s">
        <v>487</v>
      </c>
      <c r="AC32">
        <v>855</v>
      </c>
      <c r="AD32">
        <v>3813</v>
      </c>
      <c r="AE32">
        <v>3331</v>
      </c>
      <c r="AF32">
        <v>3095</v>
      </c>
      <c r="AG32">
        <v>36</v>
      </c>
      <c r="AH32" s="35">
        <f t="shared" si="0"/>
        <v>236</v>
      </c>
      <c r="AJ32" s="36" t="s">
        <v>503</v>
      </c>
      <c r="AK32" s="37">
        <f>_xlfn.STDEV.S(F7:F33)</f>
        <v>0.16189415662314055</v>
      </c>
      <c r="AL32" s="37">
        <f>_xlfn.STDEV.S(C7:C33)</f>
        <v>4.6139266453118964E-2</v>
      </c>
    </row>
    <row r="33" spans="1:41" x14ac:dyDescent="0.25">
      <c r="A33" t="s">
        <v>488</v>
      </c>
      <c r="B33" s="18">
        <v>-4.5</v>
      </c>
      <c r="C33" s="18">
        <v>1.8120000000000001</v>
      </c>
      <c r="D33" s="18">
        <v>1.0999999999999999E-2</v>
      </c>
      <c r="E33" s="18">
        <v>-14.05</v>
      </c>
      <c r="F33" s="18">
        <v>-2.552</v>
      </c>
      <c r="G33" s="18">
        <v>1.7999999999999999E-2</v>
      </c>
      <c r="H33" s="18" t="s">
        <v>102</v>
      </c>
      <c r="I33" t="s">
        <v>489</v>
      </c>
      <c r="J33" t="s">
        <v>242</v>
      </c>
      <c r="K33" t="s">
        <v>326</v>
      </c>
      <c r="L33" t="s">
        <v>490</v>
      </c>
      <c r="M33" t="s">
        <v>229</v>
      </c>
      <c r="N33" t="s">
        <v>491</v>
      </c>
      <c r="O33" t="s">
        <v>492</v>
      </c>
      <c r="P33" t="s">
        <v>233</v>
      </c>
      <c r="Q33" t="s">
        <v>282</v>
      </c>
      <c r="R33" t="s">
        <v>493</v>
      </c>
      <c r="S33" t="s">
        <v>494</v>
      </c>
      <c r="T33" t="s">
        <v>495</v>
      </c>
      <c r="U33" t="s">
        <v>496</v>
      </c>
      <c r="V33" t="s">
        <v>497</v>
      </c>
      <c r="AC33">
        <v>852</v>
      </c>
      <c r="AD33">
        <v>3677</v>
      </c>
      <c r="AE33">
        <v>3253</v>
      </c>
      <c r="AF33">
        <v>3025</v>
      </c>
      <c r="AG33">
        <v>36</v>
      </c>
      <c r="AH33" s="35">
        <f t="shared" si="0"/>
        <v>228</v>
      </c>
      <c r="AJ33" s="36" t="s">
        <v>504</v>
      </c>
      <c r="AK33" s="36">
        <f>COUNT(F7:F33)</f>
        <v>27</v>
      </c>
      <c r="AL33" s="36">
        <f>COUNT(C7:C33)</f>
        <v>27</v>
      </c>
    </row>
    <row r="35" spans="1:41" x14ac:dyDescent="0.25">
      <c r="A35" s="38">
        <v>42219</v>
      </c>
      <c r="B35" s="34"/>
      <c r="C35" s="34"/>
      <c r="D35" s="34"/>
      <c r="E35" s="34"/>
      <c r="F35" s="34"/>
      <c r="G35" s="34"/>
      <c r="I35" s="35"/>
    </row>
    <row r="36" spans="1:41" x14ac:dyDescent="0.25">
      <c r="A36" s="18" t="s">
        <v>24</v>
      </c>
      <c r="B36" s="18" t="s">
        <v>25</v>
      </c>
      <c r="C36" s="21" t="s">
        <v>26</v>
      </c>
      <c r="D36" s="18" t="s">
        <v>27</v>
      </c>
      <c r="E36" s="18" t="s">
        <v>28</v>
      </c>
      <c r="F36" s="18" t="s">
        <v>29</v>
      </c>
      <c r="G36" s="18" t="s">
        <v>30</v>
      </c>
      <c r="H36" s="18" t="s">
        <v>31</v>
      </c>
      <c r="I36" s="18" t="s">
        <v>32</v>
      </c>
      <c r="J36" s="18" t="s">
        <v>33</v>
      </c>
      <c r="K36" s="18" t="s">
        <v>34</v>
      </c>
      <c r="L36" s="18" t="s">
        <v>35</v>
      </c>
      <c r="M36" s="18" t="s">
        <v>39</v>
      </c>
      <c r="N36" s="18" t="s">
        <v>40</v>
      </c>
      <c r="O36" s="18" t="s">
        <v>41</v>
      </c>
      <c r="P36" s="18" t="s">
        <v>42</v>
      </c>
      <c r="Q36" s="18" t="s">
        <v>43</v>
      </c>
      <c r="AI36" t="s">
        <v>44</v>
      </c>
      <c r="AJ36" t="s">
        <v>506</v>
      </c>
      <c r="AK36" t="s">
        <v>45</v>
      </c>
    </row>
    <row r="37" spans="1:41" x14ac:dyDescent="0.25">
      <c r="A37" s="18">
        <v>1</v>
      </c>
      <c r="B37" s="18" t="s">
        <v>49</v>
      </c>
      <c r="C37" s="18" t="s">
        <v>500</v>
      </c>
      <c r="D37" s="18" t="s">
        <v>19</v>
      </c>
      <c r="E37" s="39" t="s">
        <v>500</v>
      </c>
      <c r="F37" s="18">
        <v>-4.5</v>
      </c>
      <c r="G37" s="18">
        <v>1.859</v>
      </c>
      <c r="H37" s="18">
        <v>3.0000000000000001E-3</v>
      </c>
      <c r="I37" s="18">
        <v>-14.05</v>
      </c>
      <c r="J37" s="18">
        <v>-2.5609999999999999</v>
      </c>
      <c r="K37" s="18">
        <v>2.3E-2</v>
      </c>
      <c r="L37" s="18" t="s">
        <v>102</v>
      </c>
      <c r="M37" s="18">
        <v>1</v>
      </c>
      <c r="N37" s="18" t="s">
        <v>507</v>
      </c>
      <c r="O37" s="18" t="s">
        <v>508</v>
      </c>
      <c r="P37" s="18" t="s">
        <v>509</v>
      </c>
      <c r="Q37" s="18" t="s">
        <v>510</v>
      </c>
      <c r="AH37" s="4"/>
      <c r="AI37">
        <v>731</v>
      </c>
      <c r="AJ37" s="18">
        <f>3*9</f>
        <v>27</v>
      </c>
      <c r="AK37">
        <v>3008</v>
      </c>
      <c r="AM37" s="31" t="s">
        <v>737</v>
      </c>
      <c r="AN37" s="31"/>
      <c r="AO37" s="31"/>
    </row>
    <row r="38" spans="1:41" x14ac:dyDescent="0.25">
      <c r="A38" s="18">
        <v>2</v>
      </c>
      <c r="B38" s="18" t="s">
        <v>56</v>
      </c>
      <c r="C38" s="18" t="s">
        <v>500</v>
      </c>
      <c r="D38" s="18" t="s">
        <v>19</v>
      </c>
      <c r="E38" s="39" t="s">
        <v>500</v>
      </c>
      <c r="F38" s="18">
        <v>-4.5</v>
      </c>
      <c r="G38" s="18">
        <v>1.88</v>
      </c>
      <c r="H38" s="18">
        <v>1.9E-2</v>
      </c>
      <c r="I38" s="18">
        <v>-14.05</v>
      </c>
      <c r="J38" s="18">
        <v>-2.5870000000000002</v>
      </c>
      <c r="K38" s="18">
        <v>2.1999999999999999E-2</v>
      </c>
      <c r="L38" s="18" t="s">
        <v>102</v>
      </c>
      <c r="M38" s="18">
        <v>1</v>
      </c>
      <c r="N38" s="18" t="s">
        <v>507</v>
      </c>
      <c r="O38" s="18" t="s">
        <v>511</v>
      </c>
      <c r="P38" s="18" t="s">
        <v>512</v>
      </c>
      <c r="Q38" s="18" t="s">
        <v>513</v>
      </c>
      <c r="AI38">
        <v>529</v>
      </c>
      <c r="AJ38" s="18">
        <f t="shared" ref="AJ38:AJ46" si="1">3*9</f>
        <v>27</v>
      </c>
      <c r="AK38">
        <v>1408</v>
      </c>
      <c r="AM38" s="31">
        <v>125</v>
      </c>
      <c r="AN38" s="31" t="s">
        <v>736</v>
      </c>
      <c r="AO38" s="31"/>
    </row>
    <row r="39" spans="1:41" x14ac:dyDescent="0.25">
      <c r="A39" s="18">
        <v>3</v>
      </c>
      <c r="B39" s="18" t="s">
        <v>514</v>
      </c>
      <c r="C39" s="18" t="s">
        <v>500</v>
      </c>
      <c r="D39" s="18" t="s">
        <v>19</v>
      </c>
      <c r="E39" s="39" t="s">
        <v>498</v>
      </c>
      <c r="F39" s="18">
        <v>-4.5</v>
      </c>
      <c r="G39" s="18">
        <v>1.831</v>
      </c>
      <c r="H39" s="18">
        <v>1.6E-2</v>
      </c>
      <c r="I39" s="18">
        <v>-14.05</v>
      </c>
      <c r="J39" s="18">
        <v>-2.609</v>
      </c>
      <c r="K39" s="18">
        <v>1.6E-2</v>
      </c>
      <c r="L39" s="18" t="s">
        <v>102</v>
      </c>
      <c r="M39" s="18">
        <v>1</v>
      </c>
      <c r="N39" s="18" t="s">
        <v>507</v>
      </c>
      <c r="O39" s="18" t="s">
        <v>515</v>
      </c>
      <c r="P39" s="18" t="s">
        <v>516</v>
      </c>
      <c r="Q39" s="18" t="s">
        <v>517</v>
      </c>
      <c r="AI39">
        <v>710</v>
      </c>
      <c r="AJ39" s="18">
        <f t="shared" si="1"/>
        <v>27</v>
      </c>
      <c r="AK39">
        <v>2777</v>
      </c>
      <c r="AM39" s="31" t="s">
        <v>735</v>
      </c>
      <c r="AN39" s="31"/>
      <c r="AO39" s="47">
        <f>311.59*LN(AM38)-269.41</f>
        <v>1235.0442774060239</v>
      </c>
    </row>
    <row r="40" spans="1:41" x14ac:dyDescent="0.25">
      <c r="A40" s="18">
        <v>4</v>
      </c>
      <c r="B40" s="18" t="s">
        <v>518</v>
      </c>
      <c r="C40" s="18" t="s">
        <v>500</v>
      </c>
      <c r="D40" s="18" t="s">
        <v>19</v>
      </c>
      <c r="E40" s="39" t="s">
        <v>498</v>
      </c>
      <c r="F40" s="18">
        <v>-4.5</v>
      </c>
      <c r="G40" s="18">
        <v>1.776</v>
      </c>
      <c r="H40" s="18">
        <v>1.2999999999999999E-2</v>
      </c>
      <c r="I40" s="18">
        <v>-14.05</v>
      </c>
      <c r="J40" s="18">
        <v>-2.698</v>
      </c>
      <c r="K40" s="18">
        <v>0.04</v>
      </c>
      <c r="L40" s="18" t="s">
        <v>102</v>
      </c>
      <c r="M40" s="18">
        <v>1</v>
      </c>
      <c r="N40" s="18" t="s">
        <v>507</v>
      </c>
      <c r="O40" s="18" t="s">
        <v>519</v>
      </c>
      <c r="P40" s="18" t="s">
        <v>520</v>
      </c>
      <c r="Q40" s="18" t="s">
        <v>521</v>
      </c>
      <c r="AI40">
        <v>671</v>
      </c>
      <c r="AJ40" s="18">
        <f t="shared" si="1"/>
        <v>27</v>
      </c>
      <c r="AK40">
        <v>2438</v>
      </c>
      <c r="AM40" s="46" t="s">
        <v>738</v>
      </c>
    </row>
    <row r="41" spans="1:41" x14ac:dyDescent="0.25">
      <c r="A41" s="18">
        <v>5</v>
      </c>
      <c r="B41" s="18" t="s">
        <v>522</v>
      </c>
      <c r="C41" s="18" t="s">
        <v>500</v>
      </c>
      <c r="D41" s="18" t="s">
        <v>19</v>
      </c>
      <c r="E41" s="39" t="s">
        <v>498</v>
      </c>
      <c r="F41" s="18">
        <v>-4.5</v>
      </c>
      <c r="G41" s="18">
        <v>1.8720000000000001</v>
      </c>
      <c r="H41" s="18">
        <v>1.2999999999999999E-2</v>
      </c>
      <c r="I41" s="18">
        <v>-14.05</v>
      </c>
      <c r="J41" s="18">
        <v>-2.4780000000000002</v>
      </c>
      <c r="K41" s="18">
        <v>1.9E-2</v>
      </c>
      <c r="L41" s="18" t="s">
        <v>102</v>
      </c>
      <c r="M41" s="18">
        <v>1</v>
      </c>
      <c r="N41" s="18" t="s">
        <v>507</v>
      </c>
      <c r="O41" s="18" t="s">
        <v>523</v>
      </c>
      <c r="P41" s="18" t="s">
        <v>524</v>
      </c>
      <c r="Q41" s="18" t="s">
        <v>525</v>
      </c>
      <c r="AI41">
        <v>678</v>
      </c>
      <c r="AJ41" s="18">
        <f t="shared" si="1"/>
        <v>27</v>
      </c>
      <c r="AK41">
        <v>2354</v>
      </c>
    </row>
    <row r="42" spans="1:41" x14ac:dyDescent="0.25">
      <c r="A42" s="18">
        <v>6</v>
      </c>
      <c r="B42" s="18" t="s">
        <v>114</v>
      </c>
      <c r="C42" s="18" t="s">
        <v>500</v>
      </c>
      <c r="D42" s="18" t="s">
        <v>20</v>
      </c>
      <c r="E42" s="39" t="s">
        <v>498</v>
      </c>
      <c r="F42" s="18">
        <v>-4.5</v>
      </c>
      <c r="G42" s="18">
        <v>1.8280000000000001</v>
      </c>
      <c r="H42" s="18">
        <v>0.01</v>
      </c>
      <c r="I42" s="18">
        <v>-14.05</v>
      </c>
      <c r="J42" s="18">
        <v>-2.484</v>
      </c>
      <c r="K42" s="18">
        <v>1.7000000000000001E-2</v>
      </c>
      <c r="L42" s="18" t="s">
        <v>223</v>
      </c>
      <c r="M42" s="18">
        <v>1</v>
      </c>
      <c r="N42" s="18" t="s">
        <v>526</v>
      </c>
      <c r="O42" s="18" t="s">
        <v>527</v>
      </c>
      <c r="P42" s="18" t="s">
        <v>528</v>
      </c>
      <c r="Q42" s="18" t="s">
        <v>529</v>
      </c>
      <c r="AI42">
        <v>813</v>
      </c>
      <c r="AJ42" s="18">
        <f t="shared" si="1"/>
        <v>27</v>
      </c>
      <c r="AK42">
        <v>3878</v>
      </c>
    </row>
    <row r="43" spans="1:41" x14ac:dyDescent="0.25">
      <c r="A43" s="18">
        <v>7</v>
      </c>
      <c r="B43" s="18" t="s">
        <v>530</v>
      </c>
      <c r="C43" s="18" t="s">
        <v>500</v>
      </c>
      <c r="D43" s="18" t="s">
        <v>19</v>
      </c>
      <c r="E43" s="39" t="s">
        <v>498</v>
      </c>
      <c r="F43" s="18">
        <v>-4.5</v>
      </c>
      <c r="G43" s="18">
        <v>1.8460000000000001</v>
      </c>
      <c r="H43" s="18">
        <v>1.0999999999999999E-2</v>
      </c>
      <c r="I43" s="18">
        <v>-14.05</v>
      </c>
      <c r="J43" s="18">
        <v>-2.532</v>
      </c>
      <c r="K43" s="18">
        <v>1.6E-2</v>
      </c>
      <c r="L43" s="18" t="s">
        <v>102</v>
      </c>
      <c r="M43" s="18">
        <v>1</v>
      </c>
      <c r="N43" s="18" t="s">
        <v>507</v>
      </c>
      <c r="O43" s="18" t="s">
        <v>531</v>
      </c>
      <c r="P43" s="18" t="s">
        <v>532</v>
      </c>
      <c r="Q43" s="18" t="s">
        <v>533</v>
      </c>
      <c r="AI43">
        <v>721</v>
      </c>
      <c r="AJ43" s="18">
        <f t="shared" si="1"/>
        <v>27</v>
      </c>
      <c r="AK43">
        <v>2482</v>
      </c>
    </row>
    <row r="44" spans="1:41" x14ac:dyDescent="0.25">
      <c r="A44" s="18">
        <v>8</v>
      </c>
      <c r="B44" s="18" t="s">
        <v>534</v>
      </c>
      <c r="C44" s="18" t="s">
        <v>500</v>
      </c>
      <c r="D44" s="18" t="s">
        <v>19</v>
      </c>
      <c r="E44" s="39" t="s">
        <v>498</v>
      </c>
      <c r="F44" s="18">
        <v>-4.5</v>
      </c>
      <c r="G44" s="18">
        <v>1.8180000000000001</v>
      </c>
      <c r="H44" s="18">
        <v>1.2E-2</v>
      </c>
      <c r="I44" s="18">
        <v>-14.05</v>
      </c>
      <c r="J44" s="18">
        <v>-2.661</v>
      </c>
      <c r="K44" s="18">
        <v>1.0999999999999999E-2</v>
      </c>
      <c r="L44" s="18" t="s">
        <v>102</v>
      </c>
      <c r="M44" s="18">
        <v>1</v>
      </c>
      <c r="N44" s="18" t="s">
        <v>507</v>
      </c>
      <c r="O44" s="18" t="s">
        <v>535</v>
      </c>
      <c r="P44" s="18" t="s">
        <v>536</v>
      </c>
      <c r="Q44" s="18" t="s">
        <v>537</v>
      </c>
      <c r="AI44">
        <v>671</v>
      </c>
      <c r="AJ44" s="18">
        <f t="shared" si="1"/>
        <v>27</v>
      </c>
      <c r="AK44">
        <v>2312</v>
      </c>
    </row>
    <row r="45" spans="1:41" x14ac:dyDescent="0.25">
      <c r="A45" s="18">
        <v>9</v>
      </c>
      <c r="B45" s="18" t="s">
        <v>538</v>
      </c>
      <c r="C45" s="18" t="s">
        <v>500</v>
      </c>
      <c r="D45" s="18" t="s">
        <v>19</v>
      </c>
      <c r="E45" s="39" t="s">
        <v>498</v>
      </c>
      <c r="F45" s="18">
        <v>-4.5</v>
      </c>
      <c r="G45" s="18">
        <v>1.841</v>
      </c>
      <c r="H45" s="18">
        <v>0.01</v>
      </c>
      <c r="I45" s="18">
        <v>-14.05</v>
      </c>
      <c r="J45" s="18">
        <v>-2.5840000000000001</v>
      </c>
      <c r="K45" s="18">
        <v>3.4000000000000002E-2</v>
      </c>
      <c r="L45" s="18" t="s">
        <v>102</v>
      </c>
      <c r="M45" s="18">
        <v>1</v>
      </c>
      <c r="N45" s="18" t="s">
        <v>507</v>
      </c>
      <c r="O45" s="18" t="s">
        <v>539</v>
      </c>
      <c r="P45" s="18" t="s">
        <v>540</v>
      </c>
      <c r="Q45" s="18" t="s">
        <v>541</v>
      </c>
      <c r="AI45">
        <v>710</v>
      </c>
      <c r="AJ45" s="18">
        <f t="shared" si="1"/>
        <v>27</v>
      </c>
      <c r="AK45">
        <v>2521</v>
      </c>
    </row>
    <row r="46" spans="1:41" x14ac:dyDescent="0.25">
      <c r="A46" s="18">
        <v>10</v>
      </c>
      <c r="B46" s="18" t="s">
        <v>82</v>
      </c>
      <c r="C46" s="18" t="s">
        <v>500</v>
      </c>
      <c r="D46" s="18" t="s">
        <v>19</v>
      </c>
      <c r="E46" s="39" t="s">
        <v>498</v>
      </c>
      <c r="F46" s="18">
        <v>-4.5</v>
      </c>
      <c r="G46" s="18">
        <v>1.8129999999999999</v>
      </c>
      <c r="H46" s="18">
        <v>1.0999999999999999E-2</v>
      </c>
      <c r="I46" s="18">
        <v>-14.05</v>
      </c>
      <c r="J46" s="18">
        <v>-2.621</v>
      </c>
      <c r="K46" s="18">
        <v>2.7E-2</v>
      </c>
      <c r="L46" s="18" t="s">
        <v>102</v>
      </c>
      <c r="M46" s="18">
        <v>1</v>
      </c>
      <c r="N46" s="18" t="s">
        <v>507</v>
      </c>
      <c r="O46" s="18" t="s">
        <v>542</v>
      </c>
      <c r="P46" s="18" t="s">
        <v>543</v>
      </c>
      <c r="Q46" s="18" t="s">
        <v>544</v>
      </c>
      <c r="AI46">
        <v>745</v>
      </c>
      <c r="AJ46" s="18">
        <f t="shared" si="1"/>
        <v>27</v>
      </c>
      <c r="AK46">
        <v>2964</v>
      </c>
    </row>
    <row r="47" spans="1:41" x14ac:dyDescent="0.25">
      <c r="A47" s="18">
        <v>11</v>
      </c>
      <c r="B47" s="18" t="s">
        <v>118</v>
      </c>
      <c r="C47" s="18" t="s">
        <v>50</v>
      </c>
      <c r="D47" s="18" t="s">
        <v>19</v>
      </c>
      <c r="E47" s="39" t="s">
        <v>499</v>
      </c>
      <c r="F47" s="18">
        <v>-4.5</v>
      </c>
      <c r="G47" s="18">
        <v>1.859</v>
      </c>
      <c r="H47" s="18">
        <v>1.0999999999999999E-2</v>
      </c>
      <c r="I47" s="18">
        <v>-14.05</v>
      </c>
      <c r="J47" s="18">
        <v>-2.4609999999999999</v>
      </c>
      <c r="K47" s="18">
        <v>8.9999999999999993E-3</v>
      </c>
      <c r="L47" s="18" t="s">
        <v>102</v>
      </c>
      <c r="M47" s="18">
        <v>1</v>
      </c>
      <c r="N47" s="18" t="s">
        <v>507</v>
      </c>
      <c r="O47" s="18" t="s">
        <v>545</v>
      </c>
      <c r="P47" s="18" t="s">
        <v>546</v>
      </c>
      <c r="Q47" s="18" t="s">
        <v>547</v>
      </c>
      <c r="AI47">
        <v>908</v>
      </c>
      <c r="AJ47" s="18">
        <f>4*9</f>
        <v>36</v>
      </c>
      <c r="AK47">
        <v>5338</v>
      </c>
    </row>
    <row r="48" spans="1:41" x14ac:dyDescent="0.25">
      <c r="A48" s="18">
        <v>12</v>
      </c>
      <c r="B48" s="18" t="s">
        <v>124</v>
      </c>
      <c r="C48" s="18" t="s">
        <v>50</v>
      </c>
      <c r="D48" s="18" t="s">
        <v>19</v>
      </c>
      <c r="E48" s="39" t="s">
        <v>499</v>
      </c>
      <c r="F48" s="18">
        <v>-4.5</v>
      </c>
      <c r="G48" s="18">
        <v>1.8160000000000001</v>
      </c>
      <c r="H48" s="18">
        <v>1.4999999999999999E-2</v>
      </c>
      <c r="I48" s="18">
        <v>-14.05</v>
      </c>
      <c r="J48" s="18">
        <v>-2.548</v>
      </c>
      <c r="K48" s="18">
        <v>2.5999999999999999E-2</v>
      </c>
      <c r="L48" s="18" t="s">
        <v>102</v>
      </c>
      <c r="M48" s="18">
        <v>1</v>
      </c>
      <c r="N48" s="18" t="s">
        <v>507</v>
      </c>
      <c r="O48" s="18" t="s">
        <v>548</v>
      </c>
      <c r="P48" s="18" t="s">
        <v>549</v>
      </c>
      <c r="Q48" s="18" t="s">
        <v>550</v>
      </c>
      <c r="AI48">
        <v>845</v>
      </c>
      <c r="AJ48" s="18">
        <f t="shared" ref="AJ48:AJ56" si="2">4*9</f>
        <v>36</v>
      </c>
      <c r="AK48">
        <v>4035</v>
      </c>
    </row>
    <row r="49" spans="1:44" x14ac:dyDescent="0.25">
      <c r="A49" s="18">
        <v>13</v>
      </c>
      <c r="B49" s="18" t="s">
        <v>128</v>
      </c>
      <c r="C49" s="18" t="s">
        <v>50</v>
      </c>
      <c r="D49" s="18" t="s">
        <v>19</v>
      </c>
      <c r="E49" s="39" t="s">
        <v>499</v>
      </c>
      <c r="F49" s="18">
        <v>-4.5</v>
      </c>
      <c r="G49" s="18">
        <v>1.825</v>
      </c>
      <c r="H49" s="18">
        <v>1.2E-2</v>
      </c>
      <c r="I49" s="18">
        <v>-14.05</v>
      </c>
      <c r="J49" s="18">
        <v>-2.5139999999999998</v>
      </c>
      <c r="K49" s="18">
        <v>1.7000000000000001E-2</v>
      </c>
      <c r="L49" s="18" t="s">
        <v>102</v>
      </c>
      <c r="M49" s="18">
        <v>1</v>
      </c>
      <c r="N49" s="18" t="s">
        <v>507</v>
      </c>
      <c r="O49" s="18" t="s">
        <v>551</v>
      </c>
      <c r="P49" s="18" t="s">
        <v>552</v>
      </c>
      <c r="Q49" s="18" t="s">
        <v>553</v>
      </c>
      <c r="AI49">
        <v>894</v>
      </c>
      <c r="AJ49" s="18">
        <f t="shared" si="2"/>
        <v>36</v>
      </c>
      <c r="AK49">
        <v>4700</v>
      </c>
    </row>
    <row r="50" spans="1:44" x14ac:dyDescent="0.25">
      <c r="A50" s="18">
        <v>14</v>
      </c>
      <c r="B50" s="18" t="s">
        <v>132</v>
      </c>
      <c r="C50" s="18" t="s">
        <v>50</v>
      </c>
      <c r="D50" s="18" t="s">
        <v>19</v>
      </c>
      <c r="E50" s="39" t="s">
        <v>499</v>
      </c>
      <c r="F50" s="18">
        <v>-4.5</v>
      </c>
      <c r="G50" s="18">
        <v>1.861</v>
      </c>
      <c r="H50" s="18">
        <v>8.0000000000000002E-3</v>
      </c>
      <c r="I50" s="18">
        <v>-14.05</v>
      </c>
      <c r="J50" s="18">
        <v>-2.4929999999999999</v>
      </c>
      <c r="K50" s="18">
        <v>2.8000000000000001E-2</v>
      </c>
      <c r="L50" s="18" t="s">
        <v>102</v>
      </c>
      <c r="M50" s="18">
        <v>1</v>
      </c>
      <c r="N50" s="18" t="s">
        <v>507</v>
      </c>
      <c r="O50" s="18" t="s">
        <v>554</v>
      </c>
      <c r="P50" s="18" t="s">
        <v>555</v>
      </c>
      <c r="Q50" s="18" t="s">
        <v>556</v>
      </c>
      <c r="AI50">
        <v>816</v>
      </c>
      <c r="AJ50" s="18">
        <f t="shared" si="2"/>
        <v>36</v>
      </c>
      <c r="AK50">
        <v>3735</v>
      </c>
    </row>
    <row r="51" spans="1:44" x14ac:dyDescent="0.25">
      <c r="A51" s="18">
        <v>15</v>
      </c>
      <c r="B51" s="18" t="s">
        <v>143</v>
      </c>
      <c r="C51" s="18" t="s">
        <v>50</v>
      </c>
      <c r="D51" s="18" t="s">
        <v>19</v>
      </c>
      <c r="E51" s="39" t="s">
        <v>499</v>
      </c>
      <c r="F51" s="18">
        <v>-4.5</v>
      </c>
      <c r="G51" s="18">
        <v>1.794</v>
      </c>
      <c r="H51" s="18">
        <v>8.9999999999999993E-3</v>
      </c>
      <c r="I51" s="18">
        <v>-14.05</v>
      </c>
      <c r="J51" s="18">
        <v>-2.4990000000000001</v>
      </c>
      <c r="K51" s="18">
        <v>5.0000000000000001E-3</v>
      </c>
      <c r="L51" s="18" t="s">
        <v>102</v>
      </c>
      <c r="M51" s="18">
        <v>1</v>
      </c>
      <c r="N51" s="18" t="s">
        <v>507</v>
      </c>
      <c r="O51" s="18" t="s">
        <v>557</v>
      </c>
      <c r="P51" s="18" t="s">
        <v>558</v>
      </c>
      <c r="Q51" s="18" t="s">
        <v>559</v>
      </c>
      <c r="AI51">
        <v>873</v>
      </c>
      <c r="AJ51" s="18">
        <f t="shared" si="2"/>
        <v>36</v>
      </c>
      <c r="AK51">
        <v>4962</v>
      </c>
    </row>
    <row r="52" spans="1:44" x14ac:dyDescent="0.25">
      <c r="A52" s="18">
        <v>16</v>
      </c>
      <c r="B52" s="18" t="s">
        <v>148</v>
      </c>
      <c r="C52" s="18" t="s">
        <v>50</v>
      </c>
      <c r="D52" s="18" t="s">
        <v>19</v>
      </c>
      <c r="E52" s="39" t="s">
        <v>499</v>
      </c>
      <c r="F52" s="18">
        <v>-4.5</v>
      </c>
      <c r="G52" s="18">
        <v>1.7949999999999999</v>
      </c>
      <c r="H52" s="18">
        <v>4.0000000000000001E-3</v>
      </c>
      <c r="I52" s="18">
        <v>-14.05</v>
      </c>
      <c r="J52" s="18">
        <v>-2.4940000000000002</v>
      </c>
      <c r="K52" s="18">
        <v>2.7E-2</v>
      </c>
      <c r="L52" s="18" t="s">
        <v>102</v>
      </c>
      <c r="M52" s="18">
        <v>1</v>
      </c>
      <c r="N52" s="18" t="s">
        <v>507</v>
      </c>
      <c r="O52" s="18" t="s">
        <v>560</v>
      </c>
      <c r="P52" s="18" t="s">
        <v>561</v>
      </c>
      <c r="Q52" s="18" t="s">
        <v>562</v>
      </c>
      <c r="AI52">
        <v>745</v>
      </c>
      <c r="AJ52" s="18">
        <f t="shared" si="2"/>
        <v>36</v>
      </c>
      <c r="AK52">
        <v>3039</v>
      </c>
    </row>
    <row r="53" spans="1:44" x14ac:dyDescent="0.25">
      <c r="A53" s="18">
        <v>17</v>
      </c>
      <c r="B53" s="18" t="s">
        <v>152</v>
      </c>
      <c r="C53" s="18" t="s">
        <v>50</v>
      </c>
      <c r="D53" s="18" t="s">
        <v>19</v>
      </c>
      <c r="E53" s="39" t="s">
        <v>499</v>
      </c>
      <c r="F53" s="18">
        <v>-4.5</v>
      </c>
      <c r="G53" s="18">
        <v>1.8720000000000001</v>
      </c>
      <c r="H53" s="18">
        <v>7.0000000000000001E-3</v>
      </c>
      <c r="I53" s="18">
        <v>-14.05</v>
      </c>
      <c r="J53" s="18">
        <v>-2.4380000000000002</v>
      </c>
      <c r="K53" s="18">
        <v>8.0000000000000002E-3</v>
      </c>
      <c r="L53" s="18" t="s">
        <v>102</v>
      </c>
      <c r="M53" s="18">
        <v>1</v>
      </c>
      <c r="N53" s="18" t="s">
        <v>507</v>
      </c>
      <c r="O53" s="18" t="s">
        <v>563</v>
      </c>
      <c r="P53" s="18" t="s">
        <v>564</v>
      </c>
      <c r="Q53" s="18" t="s">
        <v>565</v>
      </c>
      <c r="AI53">
        <v>873</v>
      </c>
      <c r="AJ53" s="18">
        <f t="shared" si="2"/>
        <v>36</v>
      </c>
      <c r="AK53">
        <v>4485</v>
      </c>
    </row>
    <row r="54" spans="1:44" x14ac:dyDescent="0.25">
      <c r="A54" s="18">
        <v>18</v>
      </c>
      <c r="B54" s="18" t="s">
        <v>156</v>
      </c>
      <c r="C54" s="18" t="s">
        <v>50</v>
      </c>
      <c r="D54" s="18" t="s">
        <v>19</v>
      </c>
      <c r="E54" s="39" t="s">
        <v>499</v>
      </c>
      <c r="F54" s="18">
        <v>-4.5</v>
      </c>
      <c r="G54" s="18">
        <v>1.8959999999999999</v>
      </c>
      <c r="H54" s="18">
        <v>8.0000000000000002E-3</v>
      </c>
      <c r="I54" s="18">
        <v>-14.05</v>
      </c>
      <c r="J54" s="18">
        <v>-2.4089999999999998</v>
      </c>
      <c r="K54" s="18">
        <v>1.2E-2</v>
      </c>
      <c r="L54" s="18" t="s">
        <v>102</v>
      </c>
      <c r="M54" s="18">
        <v>1</v>
      </c>
      <c r="N54" s="18" t="s">
        <v>507</v>
      </c>
      <c r="O54" s="18" t="s">
        <v>566</v>
      </c>
      <c r="P54" s="18" t="s">
        <v>567</v>
      </c>
      <c r="Q54" s="18" t="s">
        <v>568</v>
      </c>
      <c r="AI54">
        <v>767</v>
      </c>
      <c r="AJ54" s="18">
        <f t="shared" si="2"/>
        <v>36</v>
      </c>
      <c r="AK54">
        <v>3269</v>
      </c>
    </row>
    <row r="55" spans="1:44" x14ac:dyDescent="0.25">
      <c r="A55" s="18">
        <v>19</v>
      </c>
      <c r="B55" s="18" t="s">
        <v>160</v>
      </c>
      <c r="C55" s="18" t="s">
        <v>50</v>
      </c>
      <c r="D55" s="18" t="s">
        <v>19</v>
      </c>
      <c r="E55" s="39" t="s">
        <v>500</v>
      </c>
      <c r="F55" s="18">
        <v>-4.5</v>
      </c>
      <c r="G55" s="18">
        <v>1.833</v>
      </c>
      <c r="H55" s="18">
        <v>8.0000000000000002E-3</v>
      </c>
      <c r="I55" s="18">
        <v>-14.05</v>
      </c>
      <c r="J55" s="18">
        <v>-2.62</v>
      </c>
      <c r="K55" s="18">
        <v>1.7999999999999999E-2</v>
      </c>
      <c r="L55" s="18" t="s">
        <v>102</v>
      </c>
      <c r="M55" s="18">
        <v>1</v>
      </c>
      <c r="N55" s="18" t="s">
        <v>507</v>
      </c>
      <c r="O55" s="18" t="s">
        <v>569</v>
      </c>
      <c r="P55" s="18" t="s">
        <v>570</v>
      </c>
      <c r="Q55" s="18" t="s">
        <v>571</v>
      </c>
      <c r="AI55">
        <v>756</v>
      </c>
      <c r="AJ55" s="18">
        <f t="shared" si="2"/>
        <v>36</v>
      </c>
      <c r="AK55">
        <v>3258</v>
      </c>
    </row>
    <row r="56" spans="1:44" x14ac:dyDescent="0.25">
      <c r="A56" s="18">
        <v>20</v>
      </c>
      <c r="B56" s="18" t="s">
        <v>165</v>
      </c>
      <c r="C56" s="18" t="s">
        <v>50</v>
      </c>
      <c r="D56" s="18" t="s">
        <v>19</v>
      </c>
      <c r="E56" s="39" t="s">
        <v>500</v>
      </c>
      <c r="F56" s="18">
        <v>-4.5</v>
      </c>
      <c r="G56" s="18">
        <v>1.7689999999999999</v>
      </c>
      <c r="H56" s="18">
        <v>5.0000000000000001E-3</v>
      </c>
      <c r="I56" s="18">
        <v>-14.05</v>
      </c>
      <c r="J56" s="18">
        <v>-2.464</v>
      </c>
      <c r="K56" s="18">
        <v>2.7E-2</v>
      </c>
      <c r="L56" s="18" t="s">
        <v>102</v>
      </c>
      <c r="M56" s="18">
        <v>1</v>
      </c>
      <c r="N56" s="18" t="s">
        <v>507</v>
      </c>
      <c r="O56" s="18" t="s">
        <v>572</v>
      </c>
      <c r="P56" s="18" t="s">
        <v>573</v>
      </c>
      <c r="Q56" s="18" t="s">
        <v>574</v>
      </c>
      <c r="AI56">
        <v>898</v>
      </c>
      <c r="AJ56" s="18">
        <f t="shared" si="2"/>
        <v>36</v>
      </c>
      <c r="AK56">
        <v>5402</v>
      </c>
    </row>
    <row r="57" spans="1:44" x14ac:dyDescent="0.25">
      <c r="A57" s="18">
        <v>21</v>
      </c>
      <c r="B57" s="18" t="s">
        <v>169</v>
      </c>
      <c r="C57" s="18" t="s">
        <v>575</v>
      </c>
      <c r="D57" s="18" t="s">
        <v>13</v>
      </c>
      <c r="E57" s="39" t="s">
        <v>500</v>
      </c>
      <c r="F57" s="18">
        <v>-4.5</v>
      </c>
      <c r="G57" s="18">
        <v>1.8480000000000001</v>
      </c>
      <c r="H57" s="18">
        <v>0.01</v>
      </c>
      <c r="I57" s="18">
        <v>-14.05</v>
      </c>
      <c r="J57" s="18">
        <v>-2.5470000000000002</v>
      </c>
      <c r="K57" s="18">
        <v>6.0000000000000001E-3</v>
      </c>
      <c r="L57" s="18" t="s">
        <v>576</v>
      </c>
      <c r="M57" s="18">
        <v>1</v>
      </c>
      <c r="N57" s="18" t="s">
        <v>507</v>
      </c>
      <c r="O57" s="18" t="s">
        <v>577</v>
      </c>
      <c r="P57" s="18" t="s">
        <v>578</v>
      </c>
      <c r="Q57" s="18" t="s">
        <v>579</v>
      </c>
      <c r="R57" s="40"/>
      <c r="AI57">
        <v>887</v>
      </c>
      <c r="AJ57" s="18">
        <f>5*9</f>
        <v>45</v>
      </c>
      <c r="AK57">
        <v>4968</v>
      </c>
    </row>
    <row r="58" spans="1:44" x14ac:dyDescent="0.25">
      <c r="A58" s="18">
        <v>22</v>
      </c>
      <c r="B58" s="18" t="s">
        <v>173</v>
      </c>
      <c r="C58" s="18" t="s">
        <v>575</v>
      </c>
      <c r="D58" s="18" t="s">
        <v>13</v>
      </c>
      <c r="E58" s="39" t="s">
        <v>500</v>
      </c>
      <c r="F58" s="18">
        <v>-4.5</v>
      </c>
      <c r="G58" s="18">
        <v>1.7609999999999999</v>
      </c>
      <c r="H58" s="18">
        <v>4.0000000000000001E-3</v>
      </c>
      <c r="I58" s="18">
        <v>-14.05</v>
      </c>
      <c r="J58" s="18">
        <v>-2.5169999999999999</v>
      </c>
      <c r="K58" s="18">
        <v>2.4E-2</v>
      </c>
      <c r="L58" s="18" t="s">
        <v>576</v>
      </c>
      <c r="M58" s="18">
        <v>1</v>
      </c>
      <c r="N58" s="18" t="s">
        <v>507</v>
      </c>
      <c r="O58" s="18" t="s">
        <v>580</v>
      </c>
      <c r="P58" s="18" t="s">
        <v>581</v>
      </c>
      <c r="Q58" s="18" t="s">
        <v>582</v>
      </c>
      <c r="AI58">
        <v>901</v>
      </c>
      <c r="AJ58" s="18">
        <f t="shared" ref="AJ58:AJ66" si="3">5*9</f>
        <v>45</v>
      </c>
      <c r="AK58">
        <v>5306</v>
      </c>
    </row>
    <row r="59" spans="1:44" x14ac:dyDescent="0.25">
      <c r="A59" s="18">
        <v>23</v>
      </c>
      <c r="B59" s="18" t="s">
        <v>177</v>
      </c>
      <c r="C59" s="18" t="s">
        <v>575</v>
      </c>
      <c r="D59" s="18" t="s">
        <v>13</v>
      </c>
      <c r="E59" s="39" t="s">
        <v>500</v>
      </c>
      <c r="F59" s="18">
        <v>-4.5</v>
      </c>
      <c r="G59" s="18">
        <v>1.833</v>
      </c>
      <c r="H59" s="18">
        <v>0.02</v>
      </c>
      <c r="I59" s="18">
        <v>-14.05</v>
      </c>
      <c r="J59" s="18">
        <v>-2.3730000000000002</v>
      </c>
      <c r="K59" s="18">
        <v>1.4E-2</v>
      </c>
      <c r="L59" s="18" t="s">
        <v>576</v>
      </c>
      <c r="M59" s="18">
        <v>1</v>
      </c>
      <c r="N59" s="18" t="s">
        <v>507</v>
      </c>
      <c r="O59" s="18" t="s">
        <v>583</v>
      </c>
      <c r="P59" s="18" t="s">
        <v>584</v>
      </c>
      <c r="Q59" s="18" t="s">
        <v>585</v>
      </c>
      <c r="AI59">
        <v>965</v>
      </c>
      <c r="AJ59" s="18">
        <f t="shared" si="3"/>
        <v>45</v>
      </c>
      <c r="AK59">
        <v>6327</v>
      </c>
    </row>
    <row r="60" spans="1:44" x14ac:dyDescent="0.25">
      <c r="A60" s="18">
        <v>24</v>
      </c>
      <c r="B60" s="18" t="s">
        <v>182</v>
      </c>
      <c r="C60" s="18" t="s">
        <v>575</v>
      </c>
      <c r="D60" s="18" t="s">
        <v>13</v>
      </c>
      <c r="E60" s="39" t="s">
        <v>500</v>
      </c>
      <c r="F60" s="18">
        <v>-4.5</v>
      </c>
      <c r="G60" s="18">
        <v>1.869</v>
      </c>
      <c r="H60" s="18">
        <v>1.2E-2</v>
      </c>
      <c r="I60" s="18">
        <v>-14.05</v>
      </c>
      <c r="J60" s="18">
        <v>-2.3809999999999998</v>
      </c>
      <c r="K60" s="18">
        <v>0.03</v>
      </c>
      <c r="L60" s="18" t="s">
        <v>576</v>
      </c>
      <c r="M60" s="18">
        <v>1</v>
      </c>
      <c r="N60" s="18" t="s">
        <v>507</v>
      </c>
      <c r="O60" s="18" t="s">
        <v>586</v>
      </c>
      <c r="P60" s="18" t="s">
        <v>587</v>
      </c>
      <c r="Q60" s="18" t="s">
        <v>588</v>
      </c>
      <c r="AI60">
        <v>919</v>
      </c>
      <c r="AJ60" s="18">
        <f t="shared" si="3"/>
        <v>45</v>
      </c>
      <c r="AK60">
        <v>5331</v>
      </c>
    </row>
    <row r="61" spans="1:44" x14ac:dyDescent="0.25">
      <c r="A61" s="18">
        <v>25</v>
      </c>
      <c r="B61" s="18" t="s">
        <v>186</v>
      </c>
      <c r="C61" s="18" t="s">
        <v>575</v>
      </c>
      <c r="D61" s="18" t="s">
        <v>13</v>
      </c>
      <c r="E61" s="39" t="s">
        <v>500</v>
      </c>
      <c r="F61" s="18">
        <v>-4.5</v>
      </c>
      <c r="G61" s="18">
        <v>1.819</v>
      </c>
      <c r="H61" s="18">
        <v>6.0000000000000001E-3</v>
      </c>
      <c r="I61" s="18">
        <v>-14.05</v>
      </c>
      <c r="J61" s="18">
        <v>-2.5070000000000001</v>
      </c>
      <c r="K61" s="18">
        <v>5.0000000000000001E-3</v>
      </c>
      <c r="L61" s="18" t="s">
        <v>576</v>
      </c>
      <c r="M61" s="18">
        <v>1</v>
      </c>
      <c r="N61" s="18" t="s">
        <v>507</v>
      </c>
      <c r="O61" s="18" t="s">
        <v>589</v>
      </c>
      <c r="P61" s="18" t="s">
        <v>590</v>
      </c>
      <c r="Q61" s="18" t="s">
        <v>591</v>
      </c>
      <c r="AI61">
        <v>976</v>
      </c>
      <c r="AJ61" s="18">
        <f t="shared" si="3"/>
        <v>45</v>
      </c>
      <c r="AK61">
        <v>6036</v>
      </c>
    </row>
    <row r="62" spans="1:44" x14ac:dyDescent="0.25">
      <c r="A62" s="18">
        <v>26</v>
      </c>
      <c r="B62" s="18" t="s">
        <v>190</v>
      </c>
      <c r="C62" s="18" t="s">
        <v>575</v>
      </c>
      <c r="D62" s="18" t="s">
        <v>13</v>
      </c>
      <c r="E62" s="39" t="s">
        <v>500</v>
      </c>
      <c r="F62" s="18">
        <v>-4.5</v>
      </c>
      <c r="G62" s="18">
        <v>1.8220000000000001</v>
      </c>
      <c r="H62" s="18">
        <v>6.0000000000000001E-3</v>
      </c>
      <c r="I62" s="18">
        <v>-14.05</v>
      </c>
      <c r="J62" s="18">
        <v>-2.4289999999999998</v>
      </c>
      <c r="K62" s="18">
        <v>1.7000000000000001E-2</v>
      </c>
      <c r="L62" s="18" t="s">
        <v>576</v>
      </c>
      <c r="M62" s="18">
        <v>1</v>
      </c>
      <c r="N62" s="18" t="s">
        <v>507</v>
      </c>
      <c r="O62" s="18" t="s">
        <v>592</v>
      </c>
      <c r="P62" s="18" t="s">
        <v>593</v>
      </c>
      <c r="Q62" s="18" t="s">
        <v>594</v>
      </c>
      <c r="AI62">
        <v>958</v>
      </c>
      <c r="AJ62" s="18">
        <f t="shared" si="3"/>
        <v>45</v>
      </c>
      <c r="AK62">
        <v>6087</v>
      </c>
      <c r="AM62" t="s">
        <v>505</v>
      </c>
      <c r="AP62" t="s">
        <v>607</v>
      </c>
    </row>
    <row r="63" spans="1:44" x14ac:dyDescent="0.25">
      <c r="A63" s="18">
        <v>27</v>
      </c>
      <c r="B63" s="18" t="s">
        <v>198</v>
      </c>
      <c r="C63" s="18" t="s">
        <v>575</v>
      </c>
      <c r="D63" s="18" t="s">
        <v>13</v>
      </c>
      <c r="E63" s="39" t="s">
        <v>50</v>
      </c>
      <c r="F63" s="18">
        <v>-4.5</v>
      </c>
      <c r="G63" s="18">
        <v>1.833</v>
      </c>
      <c r="H63" s="18">
        <v>1.0999999999999999E-2</v>
      </c>
      <c r="I63" s="18">
        <v>-14.05</v>
      </c>
      <c r="J63" s="18">
        <v>-2.5099999999999998</v>
      </c>
      <c r="K63" s="18">
        <v>1.6E-2</v>
      </c>
      <c r="L63" s="18" t="s">
        <v>576</v>
      </c>
      <c r="M63" s="18">
        <v>1</v>
      </c>
      <c r="N63" s="18" t="s">
        <v>526</v>
      </c>
      <c r="O63" s="18" t="s">
        <v>595</v>
      </c>
      <c r="P63" s="18" t="s">
        <v>596</v>
      </c>
      <c r="Q63" s="18" t="s">
        <v>597</v>
      </c>
      <c r="AI63">
        <v>947</v>
      </c>
      <c r="AJ63" s="18">
        <f t="shared" si="3"/>
        <v>45</v>
      </c>
      <c r="AK63">
        <v>5487</v>
      </c>
      <c r="AM63" s="36"/>
      <c r="AN63" s="36" t="s">
        <v>351</v>
      </c>
      <c r="AO63" s="36" t="s">
        <v>352</v>
      </c>
      <c r="AP63" s="36"/>
      <c r="AQ63" s="36" t="s">
        <v>351</v>
      </c>
      <c r="AR63" s="36" t="s">
        <v>352</v>
      </c>
    </row>
    <row r="64" spans="1:44" x14ac:dyDescent="0.25">
      <c r="A64" s="18">
        <v>28</v>
      </c>
      <c r="B64" s="18" t="s">
        <v>203</v>
      </c>
      <c r="C64" s="18" t="s">
        <v>575</v>
      </c>
      <c r="D64" s="18" t="s">
        <v>13</v>
      </c>
      <c r="E64" s="39" t="s">
        <v>50</v>
      </c>
      <c r="F64" s="18">
        <v>-4.5</v>
      </c>
      <c r="G64" s="18">
        <v>1.823</v>
      </c>
      <c r="H64" s="18">
        <v>5.0000000000000001E-3</v>
      </c>
      <c r="I64" s="18">
        <v>-14.05</v>
      </c>
      <c r="J64" s="18">
        <v>-2.4780000000000002</v>
      </c>
      <c r="K64" s="18">
        <v>1.7999999999999999E-2</v>
      </c>
      <c r="L64" s="18" t="s">
        <v>576</v>
      </c>
      <c r="M64" s="18">
        <v>1</v>
      </c>
      <c r="N64" s="18" t="s">
        <v>526</v>
      </c>
      <c r="O64" s="18" t="s">
        <v>598</v>
      </c>
      <c r="P64" s="18" t="s">
        <v>599</v>
      </c>
      <c r="Q64" s="18" t="s">
        <v>600</v>
      </c>
      <c r="AI64">
        <v>944</v>
      </c>
      <c r="AJ64" s="18">
        <f t="shared" si="3"/>
        <v>45</v>
      </c>
      <c r="AK64">
        <v>5278</v>
      </c>
      <c r="AM64" s="36" t="s">
        <v>502</v>
      </c>
      <c r="AN64" s="37">
        <f>AVERAGE(J37:J66)</f>
        <v>-2.5142333333333338</v>
      </c>
      <c r="AO64" s="37">
        <f>AVERAGE(G37:G66)</f>
        <v>1.8321333333333334</v>
      </c>
      <c r="AP64" s="36" t="s">
        <v>502</v>
      </c>
      <c r="AQ64" s="37">
        <f>AVERAGE(F7:F33,J37:J66)</f>
        <v>-2.5273333333333325</v>
      </c>
      <c r="AR64" s="37">
        <f>AVERAGE(C7:C33,G37:G66)</f>
        <v>1.8271929824561404</v>
      </c>
    </row>
    <row r="65" spans="1:44" x14ac:dyDescent="0.25">
      <c r="A65" s="18">
        <v>29</v>
      </c>
      <c r="B65" s="18" t="s">
        <v>207</v>
      </c>
      <c r="C65" s="18" t="s">
        <v>575</v>
      </c>
      <c r="D65" s="18" t="s">
        <v>13</v>
      </c>
      <c r="E65" s="39" t="s">
        <v>50</v>
      </c>
      <c r="F65" s="18">
        <v>-4.5</v>
      </c>
      <c r="G65" s="18">
        <v>1.8540000000000001</v>
      </c>
      <c r="H65" s="18">
        <v>6.0000000000000001E-3</v>
      </c>
      <c r="I65" s="18">
        <v>-14.05</v>
      </c>
      <c r="J65" s="18">
        <v>-2.4830000000000001</v>
      </c>
      <c r="K65" s="18">
        <v>2.1000000000000001E-2</v>
      </c>
      <c r="L65" s="18" t="s">
        <v>576</v>
      </c>
      <c r="M65" s="18">
        <v>1</v>
      </c>
      <c r="N65" s="18" t="s">
        <v>526</v>
      </c>
      <c r="O65" s="18" t="s">
        <v>601</v>
      </c>
      <c r="P65" s="18" t="s">
        <v>602</v>
      </c>
      <c r="Q65" s="18" t="s">
        <v>603</v>
      </c>
      <c r="AI65">
        <v>968</v>
      </c>
      <c r="AJ65" s="18">
        <f t="shared" si="3"/>
        <v>45</v>
      </c>
      <c r="AK65">
        <v>5949</v>
      </c>
      <c r="AM65" s="36" t="s">
        <v>503</v>
      </c>
      <c r="AN65" s="37">
        <f>_xlfn.STDEV.S(J37:J66)</f>
        <v>7.8601431650264911E-2</v>
      </c>
      <c r="AO65" s="37">
        <f>_xlfn.STDEV.S(G37:G66)</f>
        <v>3.2521328103403094E-2</v>
      </c>
      <c r="AP65" s="36" t="s">
        <v>503</v>
      </c>
      <c r="AQ65" s="37">
        <f>_xlfn.STDEV.S(F7:F33,J37:J66)</f>
        <v>0.12474893834837883</v>
      </c>
      <c r="AR65" s="37">
        <f>_xlfn.STDEV.S(C7:C33,G37:G66)</f>
        <v>3.9543573884880126E-2</v>
      </c>
    </row>
    <row r="66" spans="1:44" x14ac:dyDescent="0.25">
      <c r="A66" s="18">
        <v>30</v>
      </c>
      <c r="B66" s="18" t="s">
        <v>211</v>
      </c>
      <c r="C66" s="18" t="s">
        <v>575</v>
      </c>
      <c r="D66" s="18" t="s">
        <v>13</v>
      </c>
      <c r="E66" s="39" t="s">
        <v>50</v>
      </c>
      <c r="F66" s="18">
        <v>-4.5</v>
      </c>
      <c r="G66" s="18">
        <v>1.8180000000000001</v>
      </c>
      <c r="H66" s="18">
        <v>0.01</v>
      </c>
      <c r="I66" s="18">
        <v>-14.05</v>
      </c>
      <c r="J66" s="18">
        <v>-2.4470000000000001</v>
      </c>
      <c r="K66" s="18">
        <v>5.0000000000000001E-3</v>
      </c>
      <c r="L66" s="18" t="s">
        <v>576</v>
      </c>
      <c r="M66" s="18">
        <v>1</v>
      </c>
      <c r="N66" s="18" t="s">
        <v>526</v>
      </c>
      <c r="O66" s="18" t="s">
        <v>604</v>
      </c>
      <c r="P66" s="18" t="s">
        <v>605</v>
      </c>
      <c r="Q66" s="18" t="s">
        <v>606</v>
      </c>
      <c r="AI66">
        <v>944</v>
      </c>
      <c r="AJ66" s="18">
        <f t="shared" si="3"/>
        <v>45</v>
      </c>
      <c r="AK66">
        <v>5227</v>
      </c>
      <c r="AM66" s="36" t="s">
        <v>504</v>
      </c>
      <c r="AN66" s="36">
        <f>COUNT(J37:J66)</f>
        <v>30</v>
      </c>
      <c r="AO66" s="36">
        <f>COUNT(G37:G66)</f>
        <v>30</v>
      </c>
      <c r="AP66" s="36" t="s">
        <v>504</v>
      </c>
      <c r="AQ66" s="36">
        <f>COUNT(F7:F33,J37:J66)</f>
        <v>57</v>
      </c>
      <c r="AR66" s="36">
        <f>COUNT(C7:C33,G37:G66)</f>
        <v>57</v>
      </c>
    </row>
    <row r="68" spans="1:44" x14ac:dyDescent="0.25">
      <c r="A68" s="45">
        <v>42228</v>
      </c>
    </row>
    <row r="69" spans="1:44" x14ac:dyDescent="0.25">
      <c r="A69" s="18" t="s">
        <v>24</v>
      </c>
      <c r="B69" s="18" t="s">
        <v>25</v>
      </c>
      <c r="C69" s="18" t="s">
        <v>26</v>
      </c>
      <c r="D69" s="18" t="s">
        <v>27</v>
      </c>
      <c r="E69" s="18" t="s">
        <v>28</v>
      </c>
      <c r="F69" s="18" t="s">
        <v>30</v>
      </c>
      <c r="G69" s="18" t="s">
        <v>31</v>
      </c>
      <c r="H69" s="18" t="s">
        <v>33</v>
      </c>
      <c r="I69" s="18" t="s">
        <v>34</v>
      </c>
      <c r="J69" s="18" t="s">
        <v>35</v>
      </c>
      <c r="K69" s="18" t="s">
        <v>40</v>
      </c>
      <c r="L69" s="18" t="s">
        <v>41</v>
      </c>
      <c r="M69" s="18" t="s">
        <v>42</v>
      </c>
      <c r="N69" s="18" t="s">
        <v>43</v>
      </c>
      <c r="AK69" t="s">
        <v>44</v>
      </c>
      <c r="AL69" t="s">
        <v>608</v>
      </c>
      <c r="AM69" t="s">
        <v>45</v>
      </c>
      <c r="AN69" t="s">
        <v>46</v>
      </c>
      <c r="AO69" t="s">
        <v>47</v>
      </c>
      <c r="AP69" t="s">
        <v>609</v>
      </c>
      <c r="AQ69" t="s">
        <v>48</v>
      </c>
    </row>
    <row r="70" spans="1:44" x14ac:dyDescent="0.25">
      <c r="A70" s="18">
        <v>1</v>
      </c>
      <c r="B70" s="18" t="s">
        <v>49</v>
      </c>
      <c r="C70" s="18" t="s">
        <v>50</v>
      </c>
      <c r="D70" s="18" t="s">
        <v>13</v>
      </c>
      <c r="E70" s="18" t="s">
        <v>50</v>
      </c>
      <c r="F70" s="41">
        <v>1.8420000000000001</v>
      </c>
      <c r="G70" s="41">
        <v>4.0000000000000001E-3</v>
      </c>
      <c r="H70" s="41">
        <v>-2.3119999999999998</v>
      </c>
      <c r="I70" s="18">
        <v>5.0000000000000001E-3</v>
      </c>
      <c r="J70" s="18" t="s">
        <v>576</v>
      </c>
      <c r="K70" s="18" t="s">
        <v>610</v>
      </c>
      <c r="L70" s="18" t="s">
        <v>611</v>
      </c>
      <c r="M70" s="18" t="s">
        <v>612</v>
      </c>
      <c r="N70" s="18" t="s">
        <v>613</v>
      </c>
      <c r="AK70">
        <v>848</v>
      </c>
      <c r="AM70">
        <v>5288</v>
      </c>
      <c r="AN70">
        <v>4739</v>
      </c>
      <c r="AO70">
        <v>4402</v>
      </c>
      <c r="AP70" s="35">
        <f>4*9</f>
        <v>36</v>
      </c>
      <c r="AQ70" s="35">
        <f>AN70-AO70</f>
        <v>337</v>
      </c>
      <c r="AR70" s="35"/>
    </row>
    <row r="71" spans="1:44" x14ac:dyDescent="0.25">
      <c r="A71" s="18">
        <v>2</v>
      </c>
      <c r="B71" s="18" t="s">
        <v>56</v>
      </c>
      <c r="C71" s="18" t="s">
        <v>50</v>
      </c>
      <c r="D71" s="18" t="s">
        <v>13</v>
      </c>
      <c r="E71" s="18" t="s">
        <v>50</v>
      </c>
      <c r="F71" s="41">
        <v>1.788</v>
      </c>
      <c r="G71" s="41">
        <v>8.0000000000000002E-3</v>
      </c>
      <c r="H71" s="41">
        <v>-2.415</v>
      </c>
      <c r="I71" s="18">
        <v>1.2E-2</v>
      </c>
      <c r="J71" s="18" t="s">
        <v>576</v>
      </c>
      <c r="K71" s="18" t="s">
        <v>610</v>
      </c>
      <c r="L71" s="18" t="s">
        <v>614</v>
      </c>
      <c r="M71" s="18" t="s">
        <v>615</v>
      </c>
      <c r="N71" s="18" t="s">
        <v>616</v>
      </c>
      <c r="AK71">
        <v>816</v>
      </c>
      <c r="AM71">
        <v>4185</v>
      </c>
      <c r="AN71">
        <v>3710</v>
      </c>
      <c r="AO71">
        <v>3444</v>
      </c>
      <c r="AP71" s="35">
        <f t="shared" ref="AP71:AP80" si="4">4*9</f>
        <v>36</v>
      </c>
      <c r="AQ71" s="35">
        <f t="shared" ref="AQ71:AQ107" si="5">AN71-AO71</f>
        <v>266</v>
      </c>
      <c r="AR71" s="35"/>
    </row>
    <row r="72" spans="1:44" x14ac:dyDescent="0.25">
      <c r="A72" s="18">
        <v>3</v>
      </c>
      <c r="B72" s="18" t="s">
        <v>60</v>
      </c>
      <c r="C72" s="18" t="s">
        <v>50</v>
      </c>
      <c r="D72" s="18" t="s">
        <v>13</v>
      </c>
      <c r="E72" s="18" t="s">
        <v>50</v>
      </c>
      <c r="F72" s="41">
        <v>1.7969999999999999</v>
      </c>
      <c r="G72" s="41">
        <v>1.0999999999999999E-2</v>
      </c>
      <c r="H72" s="41">
        <v>-2.4670000000000001</v>
      </c>
      <c r="I72" s="18">
        <v>1.7999999999999999E-2</v>
      </c>
      <c r="J72" s="18" t="s">
        <v>576</v>
      </c>
      <c r="K72" s="18" t="s">
        <v>610</v>
      </c>
      <c r="L72" s="18" t="s">
        <v>617</v>
      </c>
      <c r="M72" s="18" t="s">
        <v>618</v>
      </c>
      <c r="N72" s="18" t="s">
        <v>619</v>
      </c>
      <c r="AK72">
        <v>845</v>
      </c>
      <c r="AM72">
        <v>4819</v>
      </c>
      <c r="AN72">
        <v>4284</v>
      </c>
      <c r="AO72">
        <v>3980</v>
      </c>
      <c r="AP72" s="35">
        <f t="shared" si="4"/>
        <v>36</v>
      </c>
      <c r="AQ72" s="35">
        <f t="shared" si="5"/>
        <v>304</v>
      </c>
      <c r="AR72" s="35"/>
    </row>
    <row r="73" spans="1:44" x14ac:dyDescent="0.25">
      <c r="A73" s="18">
        <v>4</v>
      </c>
      <c r="B73" s="18" t="s">
        <v>64</v>
      </c>
      <c r="C73" s="18" t="s">
        <v>50</v>
      </c>
      <c r="D73" s="18" t="s">
        <v>13</v>
      </c>
      <c r="E73" s="18" t="s">
        <v>50</v>
      </c>
      <c r="F73" s="41">
        <v>1.766</v>
      </c>
      <c r="G73" s="41">
        <v>5.0000000000000001E-3</v>
      </c>
      <c r="H73" s="41">
        <v>-2.5569999999999999</v>
      </c>
      <c r="I73" s="18">
        <v>0.02</v>
      </c>
      <c r="J73" s="18" t="s">
        <v>576</v>
      </c>
      <c r="K73" s="18" t="s">
        <v>610</v>
      </c>
      <c r="L73" s="18" t="s">
        <v>620</v>
      </c>
      <c r="M73" s="18" t="s">
        <v>621</v>
      </c>
      <c r="N73" s="18" t="s">
        <v>622</v>
      </c>
      <c r="AK73">
        <v>760</v>
      </c>
      <c r="AM73">
        <v>3798</v>
      </c>
      <c r="AN73">
        <v>3396</v>
      </c>
      <c r="AO73">
        <v>3156</v>
      </c>
      <c r="AP73" s="35">
        <f t="shared" si="4"/>
        <v>36</v>
      </c>
      <c r="AQ73" s="35">
        <f t="shared" si="5"/>
        <v>240</v>
      </c>
      <c r="AR73" s="35"/>
    </row>
    <row r="74" spans="1:44" x14ac:dyDescent="0.25">
      <c r="A74" s="18">
        <v>5</v>
      </c>
      <c r="B74" s="18" t="s">
        <v>110</v>
      </c>
      <c r="C74" s="18" t="s">
        <v>50</v>
      </c>
      <c r="D74" s="18" t="s">
        <v>13</v>
      </c>
      <c r="E74" s="18" t="s">
        <v>50</v>
      </c>
      <c r="F74" s="41">
        <v>1.794</v>
      </c>
      <c r="G74" s="41">
        <v>6.0000000000000001E-3</v>
      </c>
      <c r="H74" s="41">
        <v>-2.5179999999999998</v>
      </c>
      <c r="I74" s="18">
        <v>1.6E-2</v>
      </c>
      <c r="J74" s="18" t="s">
        <v>576</v>
      </c>
      <c r="K74" s="18" t="s">
        <v>610</v>
      </c>
      <c r="L74" s="18" t="s">
        <v>623</v>
      </c>
      <c r="M74" s="18" t="s">
        <v>624</v>
      </c>
      <c r="N74" s="18" t="s">
        <v>625</v>
      </c>
      <c r="AK74">
        <v>830</v>
      </c>
      <c r="AM74">
        <v>5318</v>
      </c>
      <c r="AN74">
        <v>4762</v>
      </c>
      <c r="AO74">
        <v>4424</v>
      </c>
      <c r="AP74" s="35">
        <f t="shared" si="4"/>
        <v>36</v>
      </c>
      <c r="AQ74" s="35">
        <f t="shared" si="5"/>
        <v>338</v>
      </c>
      <c r="AR74" s="35"/>
    </row>
    <row r="75" spans="1:44" x14ac:dyDescent="0.25">
      <c r="A75" s="18">
        <v>6</v>
      </c>
      <c r="B75" s="18" t="s">
        <v>114</v>
      </c>
      <c r="C75" s="18" t="s">
        <v>50</v>
      </c>
      <c r="D75" s="18" t="s">
        <v>13</v>
      </c>
      <c r="E75" s="18" t="s">
        <v>50</v>
      </c>
      <c r="F75" s="41">
        <v>1.8440000000000001</v>
      </c>
      <c r="G75" s="41">
        <v>1.4E-2</v>
      </c>
      <c r="H75" s="41">
        <v>-2.472</v>
      </c>
      <c r="I75" s="18">
        <v>2.4E-2</v>
      </c>
      <c r="J75" s="18" t="s">
        <v>576</v>
      </c>
      <c r="K75" s="18" t="s">
        <v>610</v>
      </c>
      <c r="L75" s="18" t="s">
        <v>626</v>
      </c>
      <c r="M75" s="18" t="s">
        <v>627</v>
      </c>
      <c r="N75" s="18" t="s">
        <v>628</v>
      </c>
      <c r="AK75">
        <v>837</v>
      </c>
      <c r="AM75">
        <v>4843</v>
      </c>
      <c r="AN75">
        <v>4281</v>
      </c>
      <c r="AO75">
        <v>3978</v>
      </c>
      <c r="AP75" s="35">
        <f t="shared" si="4"/>
        <v>36</v>
      </c>
      <c r="AQ75" s="35">
        <f t="shared" si="5"/>
        <v>303</v>
      </c>
      <c r="AR75" s="35"/>
    </row>
    <row r="76" spans="1:44" x14ac:dyDescent="0.25">
      <c r="A76" s="18">
        <v>7</v>
      </c>
      <c r="B76" s="18" t="s">
        <v>68</v>
      </c>
      <c r="C76" s="18" t="s">
        <v>50</v>
      </c>
      <c r="D76" s="18" t="s">
        <v>13</v>
      </c>
      <c r="E76" s="18" t="s">
        <v>50</v>
      </c>
      <c r="F76" s="41">
        <v>1.542</v>
      </c>
      <c r="G76" s="41">
        <v>3.0000000000000001E-3</v>
      </c>
      <c r="H76" s="41">
        <v>-2.5150000000000001</v>
      </c>
      <c r="I76" s="18">
        <v>2.5000000000000001E-2</v>
      </c>
      <c r="J76" s="18" t="s">
        <v>576</v>
      </c>
      <c r="K76" s="18" t="s">
        <v>610</v>
      </c>
      <c r="L76" s="18" t="s">
        <v>629</v>
      </c>
      <c r="M76" s="18" t="s">
        <v>630</v>
      </c>
      <c r="N76" s="18" t="s">
        <v>631</v>
      </c>
      <c r="AK76">
        <v>806</v>
      </c>
      <c r="AM76">
        <v>4041</v>
      </c>
      <c r="AN76">
        <v>3628</v>
      </c>
      <c r="AO76">
        <v>3372</v>
      </c>
      <c r="AP76" s="35">
        <f t="shared" si="4"/>
        <v>36</v>
      </c>
      <c r="AQ76" s="35">
        <f t="shared" si="5"/>
        <v>256</v>
      </c>
      <c r="AR76" s="35"/>
    </row>
    <row r="77" spans="1:44" x14ac:dyDescent="0.25">
      <c r="A77" s="18">
        <v>8</v>
      </c>
      <c r="B77" s="18" t="s">
        <v>74</v>
      </c>
      <c r="C77" s="18" t="s">
        <v>50</v>
      </c>
      <c r="D77" s="18" t="s">
        <v>13</v>
      </c>
      <c r="E77" s="18" t="s">
        <v>50</v>
      </c>
      <c r="F77" s="41">
        <v>1.8380000000000001</v>
      </c>
      <c r="G77" s="41">
        <v>6.0000000000000001E-3</v>
      </c>
      <c r="H77" s="41">
        <v>-2.496</v>
      </c>
      <c r="I77" s="18">
        <v>1.6E-2</v>
      </c>
      <c r="J77" s="18" t="s">
        <v>576</v>
      </c>
      <c r="K77" s="18" t="s">
        <v>610</v>
      </c>
      <c r="L77" s="18" t="s">
        <v>632</v>
      </c>
      <c r="M77" s="18" t="s">
        <v>633</v>
      </c>
      <c r="N77" s="18" t="s">
        <v>634</v>
      </c>
      <c r="AK77">
        <v>813</v>
      </c>
      <c r="AM77">
        <v>4041</v>
      </c>
      <c r="AN77">
        <v>3614</v>
      </c>
      <c r="AO77">
        <v>3359</v>
      </c>
      <c r="AP77" s="35">
        <f t="shared" si="4"/>
        <v>36</v>
      </c>
      <c r="AQ77" s="35">
        <f t="shared" si="5"/>
        <v>255</v>
      </c>
      <c r="AR77" s="35"/>
    </row>
    <row r="78" spans="1:44" x14ac:dyDescent="0.25">
      <c r="A78" s="18">
        <v>9</v>
      </c>
      <c r="B78" s="18" t="s">
        <v>78</v>
      </c>
      <c r="C78" s="18" t="s">
        <v>50</v>
      </c>
      <c r="D78" s="18" t="s">
        <v>13</v>
      </c>
      <c r="E78" s="18" t="s">
        <v>50</v>
      </c>
      <c r="F78" s="41">
        <v>1.4350000000000001</v>
      </c>
      <c r="G78" s="41">
        <v>8.0000000000000002E-3</v>
      </c>
      <c r="H78" s="41">
        <v>-2.5470000000000002</v>
      </c>
      <c r="I78" s="18">
        <v>2.5999999999999999E-2</v>
      </c>
      <c r="J78" s="18" t="s">
        <v>576</v>
      </c>
      <c r="K78" s="18" t="s">
        <v>610</v>
      </c>
      <c r="L78" s="18" t="s">
        <v>635</v>
      </c>
      <c r="M78" s="18" t="s">
        <v>636</v>
      </c>
      <c r="N78" s="18" t="s">
        <v>637</v>
      </c>
      <c r="AK78">
        <v>806</v>
      </c>
      <c r="AM78">
        <v>4030</v>
      </c>
      <c r="AN78">
        <v>3614</v>
      </c>
      <c r="AO78">
        <v>3360</v>
      </c>
      <c r="AP78" s="35">
        <f t="shared" si="4"/>
        <v>36</v>
      </c>
      <c r="AQ78" s="35">
        <f t="shared" si="5"/>
        <v>254</v>
      </c>
      <c r="AR78" s="35"/>
    </row>
    <row r="79" spans="1:44" x14ac:dyDescent="0.25">
      <c r="A79" s="18">
        <v>10</v>
      </c>
      <c r="B79" s="18" t="s">
        <v>82</v>
      </c>
      <c r="C79" s="18" t="s">
        <v>50</v>
      </c>
      <c r="D79" s="18" t="s">
        <v>13</v>
      </c>
      <c r="E79" s="18" t="s">
        <v>50</v>
      </c>
      <c r="F79" s="41">
        <v>1.786</v>
      </c>
      <c r="G79" s="41">
        <v>8.9999999999999993E-3</v>
      </c>
      <c r="H79" s="41">
        <v>-2.6360000000000001</v>
      </c>
      <c r="I79" s="18">
        <v>2.1999999999999999E-2</v>
      </c>
      <c r="J79" s="18" t="s">
        <v>576</v>
      </c>
      <c r="K79" s="18" t="s">
        <v>610</v>
      </c>
      <c r="L79" s="18" t="s">
        <v>638</v>
      </c>
      <c r="M79" s="18" t="s">
        <v>639</v>
      </c>
      <c r="N79" s="18" t="s">
        <v>640</v>
      </c>
      <c r="AK79">
        <v>745</v>
      </c>
      <c r="AM79">
        <v>3124</v>
      </c>
      <c r="AN79">
        <v>2744</v>
      </c>
      <c r="AO79">
        <v>2550</v>
      </c>
      <c r="AP79" s="35">
        <f t="shared" si="4"/>
        <v>36</v>
      </c>
      <c r="AQ79" s="35">
        <f t="shared" si="5"/>
        <v>194</v>
      </c>
      <c r="AR79" s="35"/>
    </row>
    <row r="80" spans="1:44" x14ac:dyDescent="0.25">
      <c r="A80" s="18">
        <v>11</v>
      </c>
      <c r="B80" s="18" t="s">
        <v>118</v>
      </c>
      <c r="C80" s="18" t="s">
        <v>50</v>
      </c>
      <c r="D80" s="18" t="s">
        <v>13</v>
      </c>
      <c r="E80" s="18" t="s">
        <v>50</v>
      </c>
      <c r="F80" s="41">
        <v>1.6850000000000001</v>
      </c>
      <c r="G80" s="41">
        <v>0.01</v>
      </c>
      <c r="H80" s="41">
        <v>-2.5529999999999999</v>
      </c>
      <c r="I80" s="18">
        <v>1.7999999999999999E-2</v>
      </c>
      <c r="J80" s="18" t="s">
        <v>576</v>
      </c>
      <c r="K80" s="18" t="s">
        <v>610</v>
      </c>
      <c r="L80" s="18" t="s">
        <v>641</v>
      </c>
      <c r="M80" s="18" t="s">
        <v>642</v>
      </c>
      <c r="N80" s="18" t="s">
        <v>643</v>
      </c>
      <c r="AK80">
        <v>756</v>
      </c>
      <c r="AM80">
        <v>3117</v>
      </c>
      <c r="AN80">
        <v>2733</v>
      </c>
      <c r="AO80">
        <v>2542</v>
      </c>
      <c r="AP80" s="35">
        <f t="shared" si="4"/>
        <v>36</v>
      </c>
      <c r="AQ80" s="35">
        <f t="shared" si="5"/>
        <v>191</v>
      </c>
      <c r="AR80" s="35"/>
    </row>
    <row r="81" spans="1:44" x14ac:dyDescent="0.25">
      <c r="A81" s="18">
        <v>12</v>
      </c>
      <c r="B81" s="18" t="s">
        <v>124</v>
      </c>
      <c r="C81" s="18" t="s">
        <v>50</v>
      </c>
      <c r="D81" s="18" t="s">
        <v>13</v>
      </c>
      <c r="E81" s="18" t="s">
        <v>50</v>
      </c>
      <c r="F81" s="41">
        <v>1.8320000000000001</v>
      </c>
      <c r="G81" s="41">
        <v>7.0000000000000001E-3</v>
      </c>
      <c r="H81" s="41">
        <v>-2.4809999999999999</v>
      </c>
      <c r="I81" s="18">
        <v>2.9000000000000001E-2</v>
      </c>
      <c r="J81" s="18" t="s">
        <v>576</v>
      </c>
      <c r="K81" s="18" t="s">
        <v>610</v>
      </c>
      <c r="L81" s="18" t="s">
        <v>644</v>
      </c>
      <c r="M81" s="18" t="s">
        <v>645</v>
      </c>
      <c r="N81" s="18" t="s">
        <v>646</v>
      </c>
      <c r="AK81">
        <v>834</v>
      </c>
      <c r="AM81">
        <v>4191</v>
      </c>
      <c r="AN81">
        <v>3748</v>
      </c>
      <c r="AO81">
        <v>3479</v>
      </c>
      <c r="AP81" s="35">
        <f>4*9</f>
        <v>36</v>
      </c>
      <c r="AQ81" s="35">
        <f t="shared" si="5"/>
        <v>269</v>
      </c>
      <c r="AR81" s="35"/>
    </row>
    <row r="82" spans="1:44" x14ac:dyDescent="0.25">
      <c r="A82" s="18">
        <v>13</v>
      </c>
      <c r="B82" s="18" t="s">
        <v>128</v>
      </c>
      <c r="C82" s="18" t="s">
        <v>575</v>
      </c>
      <c r="D82" s="18" t="s">
        <v>13</v>
      </c>
      <c r="E82" s="18" t="s">
        <v>575</v>
      </c>
      <c r="F82" s="41">
        <v>1.736</v>
      </c>
      <c r="G82" s="41">
        <v>1.2999999999999999E-2</v>
      </c>
      <c r="H82" s="41">
        <v>-2.5470000000000002</v>
      </c>
      <c r="I82" s="18">
        <v>8.0000000000000002E-3</v>
      </c>
      <c r="J82" s="18" t="s">
        <v>576</v>
      </c>
      <c r="K82" s="18" t="s">
        <v>610</v>
      </c>
      <c r="L82" s="18" t="s">
        <v>647</v>
      </c>
      <c r="M82" s="18" t="s">
        <v>648</v>
      </c>
      <c r="N82" s="18" t="s">
        <v>649</v>
      </c>
      <c r="AK82">
        <v>901</v>
      </c>
      <c r="AM82">
        <v>5869</v>
      </c>
      <c r="AN82">
        <v>5220</v>
      </c>
      <c r="AO82">
        <v>4848</v>
      </c>
      <c r="AP82" s="35">
        <f>5*9</f>
        <v>45</v>
      </c>
      <c r="AQ82" s="35">
        <f t="shared" si="5"/>
        <v>372</v>
      </c>
      <c r="AR82" s="35"/>
    </row>
    <row r="83" spans="1:44" x14ac:dyDescent="0.25">
      <c r="A83" s="18">
        <v>14</v>
      </c>
      <c r="B83" s="18" t="s">
        <v>132</v>
      </c>
      <c r="C83" s="18" t="s">
        <v>575</v>
      </c>
      <c r="D83" s="18" t="s">
        <v>13</v>
      </c>
      <c r="E83" s="18" t="s">
        <v>575</v>
      </c>
      <c r="F83" s="41">
        <v>1.706</v>
      </c>
      <c r="G83" s="41">
        <v>0.01</v>
      </c>
      <c r="H83" s="41">
        <v>-2.5499999999999998</v>
      </c>
      <c r="I83" s="18">
        <v>2.5999999999999999E-2</v>
      </c>
      <c r="J83" s="18" t="s">
        <v>576</v>
      </c>
      <c r="K83" s="18" t="s">
        <v>610</v>
      </c>
      <c r="L83" s="18" t="s">
        <v>650</v>
      </c>
      <c r="M83" s="18" t="s">
        <v>651</v>
      </c>
      <c r="N83" s="18" t="s">
        <v>652</v>
      </c>
      <c r="AK83">
        <v>887</v>
      </c>
      <c r="AM83">
        <v>5413</v>
      </c>
      <c r="AN83">
        <v>4830</v>
      </c>
      <c r="AO83">
        <v>4483</v>
      </c>
      <c r="AP83" s="35">
        <f t="shared" ref="AP83:AP91" si="6">5*9</f>
        <v>45</v>
      </c>
      <c r="AQ83" s="35">
        <f t="shared" si="5"/>
        <v>347</v>
      </c>
      <c r="AR83" s="35"/>
    </row>
    <row r="84" spans="1:44" x14ac:dyDescent="0.25">
      <c r="A84" s="18">
        <v>15</v>
      </c>
      <c r="B84" s="18" t="s">
        <v>143</v>
      </c>
      <c r="C84" s="18" t="s">
        <v>575</v>
      </c>
      <c r="D84" s="18" t="s">
        <v>13</v>
      </c>
      <c r="E84" s="18" t="s">
        <v>575</v>
      </c>
      <c r="F84" s="41">
        <v>1.7509999999999999</v>
      </c>
      <c r="G84" s="41">
        <v>8.0000000000000002E-3</v>
      </c>
      <c r="H84" s="41">
        <v>-2.609</v>
      </c>
      <c r="I84" s="18">
        <v>2.1000000000000001E-2</v>
      </c>
      <c r="J84" s="18" t="s">
        <v>576</v>
      </c>
      <c r="K84" s="18" t="s">
        <v>610</v>
      </c>
      <c r="L84" s="18" t="s">
        <v>653</v>
      </c>
      <c r="M84" s="18" t="s">
        <v>654</v>
      </c>
      <c r="N84" s="18" t="s">
        <v>655</v>
      </c>
      <c r="AK84">
        <v>852</v>
      </c>
      <c r="AM84">
        <v>4910</v>
      </c>
      <c r="AN84">
        <v>4385</v>
      </c>
      <c r="AO84">
        <v>4074</v>
      </c>
      <c r="AP84" s="35">
        <f t="shared" si="6"/>
        <v>45</v>
      </c>
      <c r="AQ84" s="35">
        <f t="shared" si="5"/>
        <v>311</v>
      </c>
      <c r="AR84" s="35"/>
    </row>
    <row r="85" spans="1:44" x14ac:dyDescent="0.25">
      <c r="A85" s="18">
        <v>16</v>
      </c>
      <c r="B85" s="18" t="s">
        <v>148</v>
      </c>
      <c r="C85" s="18" t="s">
        <v>575</v>
      </c>
      <c r="D85" s="18" t="s">
        <v>13</v>
      </c>
      <c r="E85" s="18" t="s">
        <v>575</v>
      </c>
      <c r="F85" s="41">
        <v>1.841</v>
      </c>
      <c r="G85" s="41">
        <v>5.0000000000000001E-3</v>
      </c>
      <c r="H85" s="41">
        <v>-2.5209999999999999</v>
      </c>
      <c r="I85" s="18">
        <v>2.5000000000000001E-2</v>
      </c>
      <c r="J85" s="18" t="s">
        <v>576</v>
      </c>
      <c r="K85" s="18" t="s">
        <v>610</v>
      </c>
      <c r="L85" s="18" t="s">
        <v>656</v>
      </c>
      <c r="M85" s="18" t="s">
        <v>657</v>
      </c>
      <c r="N85" s="18" t="s">
        <v>658</v>
      </c>
      <c r="AK85">
        <v>852</v>
      </c>
      <c r="AM85">
        <v>5233</v>
      </c>
      <c r="AN85">
        <v>4669</v>
      </c>
      <c r="AO85">
        <v>4337</v>
      </c>
      <c r="AP85" s="35">
        <f t="shared" si="6"/>
        <v>45</v>
      </c>
      <c r="AQ85" s="35">
        <f t="shared" si="5"/>
        <v>332</v>
      </c>
      <c r="AR85" s="35"/>
    </row>
    <row r="86" spans="1:44" x14ac:dyDescent="0.25">
      <c r="A86" s="18">
        <v>17</v>
      </c>
      <c r="B86" s="18" t="s">
        <v>152</v>
      </c>
      <c r="C86" s="18" t="s">
        <v>575</v>
      </c>
      <c r="D86" s="18" t="s">
        <v>13</v>
      </c>
      <c r="E86" s="18" t="s">
        <v>575</v>
      </c>
      <c r="F86" s="41">
        <v>1.7749999999999999</v>
      </c>
      <c r="G86" s="41">
        <v>6.0000000000000001E-3</v>
      </c>
      <c r="H86" s="41">
        <v>-2.548</v>
      </c>
      <c r="I86" s="18">
        <v>1.4E-2</v>
      </c>
      <c r="J86" s="18" t="s">
        <v>576</v>
      </c>
      <c r="K86" s="18" t="s">
        <v>610</v>
      </c>
      <c r="L86" s="18" t="s">
        <v>659</v>
      </c>
      <c r="M86" s="18" t="s">
        <v>660</v>
      </c>
      <c r="N86" s="18" t="s">
        <v>661</v>
      </c>
      <c r="AK86">
        <v>855</v>
      </c>
      <c r="AM86">
        <v>5338</v>
      </c>
      <c r="AN86">
        <v>4754</v>
      </c>
      <c r="AO86">
        <v>4416</v>
      </c>
      <c r="AP86" s="35">
        <f t="shared" si="6"/>
        <v>45</v>
      </c>
      <c r="AQ86" s="35">
        <f t="shared" si="5"/>
        <v>338</v>
      </c>
      <c r="AR86" s="35"/>
    </row>
    <row r="87" spans="1:44" x14ac:dyDescent="0.25">
      <c r="A87" s="18">
        <v>18</v>
      </c>
      <c r="B87" s="18" t="s">
        <v>156</v>
      </c>
      <c r="C87" s="18" t="s">
        <v>575</v>
      </c>
      <c r="D87" s="18" t="s">
        <v>13</v>
      </c>
      <c r="E87" s="18" t="s">
        <v>575</v>
      </c>
      <c r="F87" s="41">
        <v>1.6830000000000001</v>
      </c>
      <c r="G87" s="41">
        <v>1.4E-2</v>
      </c>
      <c r="H87" s="41">
        <v>-2.2410000000000001</v>
      </c>
      <c r="I87" s="18">
        <v>1.7000000000000001E-2</v>
      </c>
      <c r="J87" s="18" t="s">
        <v>576</v>
      </c>
      <c r="K87" s="18" t="s">
        <v>610</v>
      </c>
      <c r="L87" s="18" t="s">
        <v>662</v>
      </c>
      <c r="M87" s="18" t="s">
        <v>663</v>
      </c>
      <c r="N87" s="18" t="s">
        <v>664</v>
      </c>
      <c r="AK87">
        <v>823</v>
      </c>
      <c r="AM87">
        <v>4704</v>
      </c>
      <c r="AN87">
        <v>4172</v>
      </c>
      <c r="AO87">
        <v>3876</v>
      </c>
      <c r="AP87" s="35">
        <f t="shared" si="6"/>
        <v>45</v>
      </c>
      <c r="AQ87" s="35">
        <f t="shared" si="5"/>
        <v>296</v>
      </c>
      <c r="AR87" s="35"/>
    </row>
    <row r="88" spans="1:44" x14ac:dyDescent="0.25">
      <c r="A88" s="33">
        <v>19</v>
      </c>
      <c r="B88" s="33" t="s">
        <v>160</v>
      </c>
      <c r="C88" s="33" t="s">
        <v>575</v>
      </c>
      <c r="D88" s="33" t="s">
        <v>13</v>
      </c>
      <c r="E88" s="33" t="s">
        <v>575</v>
      </c>
      <c r="F88" s="28">
        <v>1.81</v>
      </c>
      <c r="G88" s="28">
        <v>7.0000000000000001E-3</v>
      </c>
      <c r="H88" s="28">
        <v>-2.5129999999999999</v>
      </c>
      <c r="I88" s="33">
        <v>1.0999999999999999E-2</v>
      </c>
      <c r="J88" s="33" t="s">
        <v>576</v>
      </c>
      <c r="K88" s="33" t="s">
        <v>610</v>
      </c>
      <c r="L88" s="33" t="s">
        <v>665</v>
      </c>
      <c r="M88" s="33" t="s">
        <v>666</v>
      </c>
      <c r="N88" s="33" t="s">
        <v>667</v>
      </c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>
        <v>922</v>
      </c>
      <c r="AL88" s="32"/>
      <c r="AM88" s="32">
        <v>6705</v>
      </c>
      <c r="AN88" s="32">
        <v>5961</v>
      </c>
      <c r="AO88" s="32">
        <v>5534</v>
      </c>
      <c r="AP88" s="42">
        <f t="shared" si="6"/>
        <v>45</v>
      </c>
      <c r="AQ88" s="42">
        <f t="shared" si="5"/>
        <v>427</v>
      </c>
      <c r="AR88" s="35"/>
    </row>
    <row r="89" spans="1:44" x14ac:dyDescent="0.25">
      <c r="A89" s="33">
        <v>20</v>
      </c>
      <c r="B89" s="33" t="s">
        <v>165</v>
      </c>
      <c r="C89" s="33" t="s">
        <v>575</v>
      </c>
      <c r="D89" s="33" t="s">
        <v>13</v>
      </c>
      <c r="E89" s="33" t="s">
        <v>575</v>
      </c>
      <c r="F89" s="28">
        <v>1.827</v>
      </c>
      <c r="G89" s="28">
        <v>6.0000000000000001E-3</v>
      </c>
      <c r="H89" s="28">
        <v>-2.5459999999999998</v>
      </c>
      <c r="I89" s="33">
        <v>1.2999999999999999E-2</v>
      </c>
      <c r="J89" s="33" t="s">
        <v>576</v>
      </c>
      <c r="K89" s="33" t="s">
        <v>610</v>
      </c>
      <c r="L89" s="33" t="s">
        <v>668</v>
      </c>
      <c r="M89" s="33" t="s">
        <v>669</v>
      </c>
      <c r="N89" s="33" t="s">
        <v>670</v>
      </c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  <c r="AI89" s="32"/>
      <c r="AJ89" s="32"/>
      <c r="AK89" s="32">
        <v>841</v>
      </c>
      <c r="AL89" s="32"/>
      <c r="AM89" s="32">
        <v>5079</v>
      </c>
      <c r="AN89" s="32">
        <v>4536</v>
      </c>
      <c r="AO89" s="32">
        <v>4216</v>
      </c>
      <c r="AP89" s="42">
        <f t="shared" si="6"/>
        <v>45</v>
      </c>
      <c r="AQ89" s="42">
        <f t="shared" si="5"/>
        <v>320</v>
      </c>
      <c r="AR89" s="35"/>
    </row>
    <row r="90" spans="1:44" x14ac:dyDescent="0.25">
      <c r="A90" s="33">
        <v>21</v>
      </c>
      <c r="B90" s="33" t="s">
        <v>169</v>
      </c>
      <c r="C90" s="33" t="s">
        <v>575</v>
      </c>
      <c r="D90" s="33" t="s">
        <v>13</v>
      </c>
      <c r="E90" s="33" t="s">
        <v>575</v>
      </c>
      <c r="F90" s="28">
        <v>1.8140000000000001</v>
      </c>
      <c r="G90" s="28">
        <v>1.7000000000000001E-2</v>
      </c>
      <c r="H90" s="28">
        <v>-2.552</v>
      </c>
      <c r="I90" s="33">
        <v>1.9E-2</v>
      </c>
      <c r="J90" s="33" t="s">
        <v>576</v>
      </c>
      <c r="K90" s="33" t="s">
        <v>610</v>
      </c>
      <c r="L90" s="33" t="s">
        <v>671</v>
      </c>
      <c r="M90" s="33" t="s">
        <v>578</v>
      </c>
      <c r="N90" s="33" t="s">
        <v>672</v>
      </c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>
        <v>848</v>
      </c>
      <c r="AL90" s="32"/>
      <c r="AM90" s="32">
        <v>4824</v>
      </c>
      <c r="AN90" s="32">
        <v>4305</v>
      </c>
      <c r="AO90" s="32">
        <v>4001</v>
      </c>
      <c r="AP90" s="42">
        <f t="shared" si="6"/>
        <v>45</v>
      </c>
      <c r="AQ90" s="42">
        <f t="shared" si="5"/>
        <v>304</v>
      </c>
      <c r="AR90" s="35"/>
    </row>
    <row r="91" spans="1:44" x14ac:dyDescent="0.25">
      <c r="A91" s="33">
        <v>23</v>
      </c>
      <c r="B91" s="33" t="s">
        <v>177</v>
      </c>
      <c r="C91" s="33" t="s">
        <v>575</v>
      </c>
      <c r="D91" s="33" t="s">
        <v>13</v>
      </c>
      <c r="E91" s="33" t="s">
        <v>575</v>
      </c>
      <c r="F91" s="28">
        <v>1.782</v>
      </c>
      <c r="G91" s="28">
        <v>0.01</v>
      </c>
      <c r="H91" s="28">
        <v>-2.5310000000000001</v>
      </c>
      <c r="I91" s="33">
        <v>1.0999999999999999E-2</v>
      </c>
      <c r="J91" s="33" t="s">
        <v>576</v>
      </c>
      <c r="K91" s="33" t="s">
        <v>610</v>
      </c>
      <c r="L91" s="33" t="s">
        <v>673</v>
      </c>
      <c r="M91" s="33" t="s">
        <v>584</v>
      </c>
      <c r="N91" s="33" t="s">
        <v>674</v>
      </c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>
        <v>933</v>
      </c>
      <c r="AL91" s="32"/>
      <c r="AM91" s="32">
        <v>6399</v>
      </c>
      <c r="AN91" s="32">
        <v>5662</v>
      </c>
      <c r="AO91" s="32">
        <v>5256</v>
      </c>
      <c r="AP91" s="42">
        <f t="shared" si="6"/>
        <v>45</v>
      </c>
      <c r="AQ91" s="42">
        <f t="shared" si="5"/>
        <v>406</v>
      </c>
      <c r="AR91" s="35"/>
    </row>
    <row r="92" spans="1:44" x14ac:dyDescent="0.25">
      <c r="A92" s="33">
        <v>24</v>
      </c>
      <c r="B92" s="33" t="s">
        <v>182</v>
      </c>
      <c r="C92" s="33" t="s">
        <v>575</v>
      </c>
      <c r="D92" s="33" t="s">
        <v>13</v>
      </c>
      <c r="E92" s="33" t="s">
        <v>575</v>
      </c>
      <c r="F92" s="28">
        <v>1.8140000000000001</v>
      </c>
      <c r="G92" s="28">
        <v>0.02</v>
      </c>
      <c r="H92" s="28">
        <v>-2.5670000000000002</v>
      </c>
      <c r="I92" s="33">
        <v>1.4E-2</v>
      </c>
      <c r="J92" s="33" t="s">
        <v>576</v>
      </c>
      <c r="K92" s="33" t="s">
        <v>610</v>
      </c>
      <c r="L92" s="33" t="s">
        <v>675</v>
      </c>
      <c r="M92" s="33" t="s">
        <v>587</v>
      </c>
      <c r="N92" s="33" t="s">
        <v>676</v>
      </c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>
        <v>841</v>
      </c>
      <c r="AL92" s="32"/>
      <c r="AM92" s="32">
        <v>4700</v>
      </c>
      <c r="AN92" s="32">
        <v>4200</v>
      </c>
      <c r="AO92" s="32">
        <v>3906</v>
      </c>
      <c r="AP92" s="42">
        <f>5*9</f>
        <v>45</v>
      </c>
      <c r="AQ92" s="42">
        <f t="shared" si="5"/>
        <v>294</v>
      </c>
      <c r="AR92" s="35"/>
    </row>
    <row r="93" spans="1:44" x14ac:dyDescent="0.25">
      <c r="A93" s="33">
        <v>25</v>
      </c>
      <c r="B93" s="33" t="s">
        <v>186</v>
      </c>
      <c r="C93" s="33" t="s">
        <v>101</v>
      </c>
      <c r="D93" s="33" t="s">
        <v>13</v>
      </c>
      <c r="E93" s="33" t="s">
        <v>101</v>
      </c>
      <c r="F93" s="28">
        <v>1.8280000000000001</v>
      </c>
      <c r="G93" s="28">
        <v>7.0000000000000001E-3</v>
      </c>
      <c r="H93" s="28">
        <v>-2.5139999999999998</v>
      </c>
      <c r="I93" s="33">
        <v>6.0000000000000001E-3</v>
      </c>
      <c r="J93" s="33" t="s">
        <v>576</v>
      </c>
      <c r="K93" s="33" t="s">
        <v>610</v>
      </c>
      <c r="L93" s="33" t="s">
        <v>677</v>
      </c>
      <c r="M93" s="33" t="s">
        <v>678</v>
      </c>
      <c r="N93" s="33" t="s">
        <v>679</v>
      </c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>
        <v>894</v>
      </c>
      <c r="AL93" s="32"/>
      <c r="AM93" s="32">
        <v>5616</v>
      </c>
      <c r="AN93" s="32">
        <v>5038</v>
      </c>
      <c r="AO93" s="32">
        <v>4682</v>
      </c>
      <c r="AP93" s="42">
        <f>6*9</f>
        <v>54</v>
      </c>
      <c r="AQ93" s="42">
        <f t="shared" si="5"/>
        <v>356</v>
      </c>
      <c r="AR93" s="35"/>
    </row>
    <row r="94" spans="1:44" x14ac:dyDescent="0.25">
      <c r="A94" s="33">
        <v>26</v>
      </c>
      <c r="B94" s="33" t="s">
        <v>190</v>
      </c>
      <c r="C94" s="33" t="s">
        <v>101</v>
      </c>
      <c r="D94" s="33" t="s">
        <v>13</v>
      </c>
      <c r="E94" s="33" t="s">
        <v>101</v>
      </c>
      <c r="F94" s="28">
        <v>1.8129999999999999</v>
      </c>
      <c r="G94" s="28">
        <v>8.9999999999999993E-3</v>
      </c>
      <c r="H94" s="28">
        <v>-2.468</v>
      </c>
      <c r="I94" s="33">
        <v>1.2999999999999999E-2</v>
      </c>
      <c r="J94" s="33" t="s">
        <v>576</v>
      </c>
      <c r="K94" s="33" t="s">
        <v>680</v>
      </c>
      <c r="L94" s="33" t="s">
        <v>681</v>
      </c>
      <c r="M94" s="33" t="s">
        <v>682</v>
      </c>
      <c r="N94" s="33" t="s">
        <v>683</v>
      </c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>
        <v>961</v>
      </c>
      <c r="AL94" s="32"/>
      <c r="AM94" s="32">
        <v>7323</v>
      </c>
      <c r="AN94" s="32">
        <v>6458</v>
      </c>
      <c r="AO94" s="32">
        <v>5988</v>
      </c>
      <c r="AP94" s="42">
        <f t="shared" ref="AP94:AP103" si="7">6*9</f>
        <v>54</v>
      </c>
      <c r="AQ94" s="42">
        <f t="shared" si="5"/>
        <v>470</v>
      </c>
      <c r="AR94" s="35"/>
    </row>
    <row r="95" spans="1:44" x14ac:dyDescent="0.25">
      <c r="A95" s="33">
        <v>27</v>
      </c>
      <c r="B95" s="33" t="s">
        <v>198</v>
      </c>
      <c r="C95" s="33" t="s">
        <v>101</v>
      </c>
      <c r="D95" s="33" t="s">
        <v>13</v>
      </c>
      <c r="E95" s="33" t="s">
        <v>101</v>
      </c>
      <c r="F95" s="28">
        <v>1.8520000000000001</v>
      </c>
      <c r="G95" s="28">
        <v>1.7999999999999999E-2</v>
      </c>
      <c r="H95" s="28">
        <v>-2.3759999999999999</v>
      </c>
      <c r="I95" s="33">
        <v>7.0000000000000001E-3</v>
      </c>
      <c r="J95" s="33" t="s">
        <v>576</v>
      </c>
      <c r="K95" s="33" t="s">
        <v>680</v>
      </c>
      <c r="L95" s="33" t="s">
        <v>684</v>
      </c>
      <c r="M95" s="33" t="s">
        <v>685</v>
      </c>
      <c r="N95" s="33" t="s">
        <v>686</v>
      </c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>
        <v>961</v>
      </c>
      <c r="AL95" s="32"/>
      <c r="AM95" s="32">
        <v>6884</v>
      </c>
      <c r="AN95" s="32">
        <v>6109</v>
      </c>
      <c r="AO95" s="32">
        <v>5670</v>
      </c>
      <c r="AP95" s="42">
        <f t="shared" si="7"/>
        <v>54</v>
      </c>
      <c r="AQ95" s="42">
        <f t="shared" si="5"/>
        <v>439</v>
      </c>
      <c r="AR95" s="35"/>
    </row>
    <row r="96" spans="1:44" x14ac:dyDescent="0.25">
      <c r="A96" s="33">
        <v>28</v>
      </c>
      <c r="B96" s="33" t="s">
        <v>203</v>
      </c>
      <c r="C96" s="33" t="s">
        <v>101</v>
      </c>
      <c r="D96" s="33" t="s">
        <v>13</v>
      </c>
      <c r="E96" s="33" t="s">
        <v>101</v>
      </c>
      <c r="F96" s="28">
        <v>1.8580000000000001</v>
      </c>
      <c r="G96" s="28">
        <v>8.0000000000000002E-3</v>
      </c>
      <c r="H96" s="28">
        <v>-2.4039999999999999</v>
      </c>
      <c r="I96" s="33">
        <v>1.4E-2</v>
      </c>
      <c r="J96" s="33" t="s">
        <v>576</v>
      </c>
      <c r="K96" s="33" t="s">
        <v>680</v>
      </c>
      <c r="L96" s="33" t="s">
        <v>687</v>
      </c>
      <c r="M96" s="33" t="s">
        <v>688</v>
      </c>
      <c r="N96" s="33" t="s">
        <v>689</v>
      </c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>
        <v>884</v>
      </c>
      <c r="AL96" s="32"/>
      <c r="AM96" s="32">
        <v>5572</v>
      </c>
      <c r="AN96" s="32">
        <v>4901</v>
      </c>
      <c r="AO96" s="32">
        <v>4550</v>
      </c>
      <c r="AP96" s="42">
        <f t="shared" si="7"/>
        <v>54</v>
      </c>
      <c r="AQ96" s="42">
        <f t="shared" si="5"/>
        <v>351</v>
      </c>
      <c r="AR96" s="35"/>
    </row>
    <row r="97" spans="1:50" x14ac:dyDescent="0.25">
      <c r="A97" s="33">
        <v>30</v>
      </c>
      <c r="B97" s="33" t="s">
        <v>211</v>
      </c>
      <c r="C97" s="33" t="s">
        <v>101</v>
      </c>
      <c r="D97" s="33" t="s">
        <v>13</v>
      </c>
      <c r="E97" s="33" t="s">
        <v>101</v>
      </c>
      <c r="F97" s="28">
        <v>1.8049999999999999</v>
      </c>
      <c r="G97" s="28">
        <v>8.0000000000000002E-3</v>
      </c>
      <c r="H97" s="28">
        <v>-2.4620000000000002</v>
      </c>
      <c r="I97" s="33">
        <v>1.2E-2</v>
      </c>
      <c r="J97" s="33" t="s">
        <v>576</v>
      </c>
      <c r="K97" s="33" t="s">
        <v>680</v>
      </c>
      <c r="L97" s="33" t="s">
        <v>690</v>
      </c>
      <c r="M97" s="33" t="s">
        <v>691</v>
      </c>
      <c r="N97" s="33" t="s">
        <v>692</v>
      </c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>
        <v>951</v>
      </c>
      <c r="AL97" s="32"/>
      <c r="AM97" s="32">
        <v>6917</v>
      </c>
      <c r="AN97" s="32">
        <v>6069</v>
      </c>
      <c r="AO97" s="32">
        <v>5631</v>
      </c>
      <c r="AP97" s="42">
        <f t="shared" si="7"/>
        <v>54</v>
      </c>
      <c r="AQ97" s="42">
        <f t="shared" si="5"/>
        <v>438</v>
      </c>
      <c r="AR97" s="35"/>
    </row>
    <row r="98" spans="1:50" x14ac:dyDescent="0.25">
      <c r="A98" s="33">
        <v>31</v>
      </c>
      <c r="B98" s="33" t="s">
        <v>194</v>
      </c>
      <c r="C98" s="33" t="s">
        <v>101</v>
      </c>
      <c r="D98" s="33" t="s">
        <v>13</v>
      </c>
      <c r="E98" s="33" t="s">
        <v>101</v>
      </c>
      <c r="F98" s="28">
        <v>1.8480000000000001</v>
      </c>
      <c r="G98" s="28">
        <v>0.01</v>
      </c>
      <c r="H98" s="28">
        <v>-2.4140000000000001</v>
      </c>
      <c r="I98" s="33">
        <v>7.0000000000000001E-3</v>
      </c>
      <c r="J98" s="33" t="s">
        <v>576</v>
      </c>
      <c r="K98" s="33" t="s">
        <v>680</v>
      </c>
      <c r="L98" s="33" t="s">
        <v>693</v>
      </c>
      <c r="M98" s="33" t="s">
        <v>694</v>
      </c>
      <c r="N98" s="33" t="s">
        <v>695</v>
      </c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>
        <v>919</v>
      </c>
      <c r="AL98" s="32"/>
      <c r="AM98" s="32">
        <v>6480</v>
      </c>
      <c r="AN98" s="32">
        <v>5717</v>
      </c>
      <c r="AO98" s="32">
        <v>5305</v>
      </c>
      <c r="AP98" s="42">
        <f t="shared" si="7"/>
        <v>54</v>
      </c>
      <c r="AQ98" s="42">
        <f t="shared" si="5"/>
        <v>412</v>
      </c>
      <c r="AR98" s="35"/>
    </row>
    <row r="99" spans="1:50" x14ac:dyDescent="0.25">
      <c r="A99" s="33">
        <v>32</v>
      </c>
      <c r="B99" s="33" t="s">
        <v>696</v>
      </c>
      <c r="C99" s="33" t="s">
        <v>101</v>
      </c>
      <c r="D99" s="33" t="s">
        <v>13</v>
      </c>
      <c r="E99" s="33" t="s">
        <v>101</v>
      </c>
      <c r="F99" s="28">
        <v>1.8260000000000001</v>
      </c>
      <c r="G99" s="28">
        <v>7.0000000000000001E-3</v>
      </c>
      <c r="H99" s="28">
        <v>-2.3959999999999999</v>
      </c>
      <c r="I99" s="33">
        <v>0.02</v>
      </c>
      <c r="J99" s="33" t="s">
        <v>576</v>
      </c>
      <c r="K99" s="33" t="s">
        <v>680</v>
      </c>
      <c r="L99" s="33" t="s">
        <v>697</v>
      </c>
      <c r="M99" s="33" t="s">
        <v>698</v>
      </c>
      <c r="N99" s="33" t="s">
        <v>699</v>
      </c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>
        <v>930</v>
      </c>
      <c r="AL99" s="32"/>
      <c r="AM99" s="32">
        <v>6314</v>
      </c>
      <c r="AN99" s="32">
        <v>5566</v>
      </c>
      <c r="AO99" s="32">
        <v>5172</v>
      </c>
      <c r="AP99" s="42">
        <f t="shared" si="7"/>
        <v>54</v>
      </c>
      <c r="AQ99" s="42">
        <f t="shared" si="5"/>
        <v>394</v>
      </c>
      <c r="AR99" s="35"/>
    </row>
    <row r="100" spans="1:50" x14ac:dyDescent="0.25">
      <c r="A100" s="33">
        <v>33</v>
      </c>
      <c r="B100" s="33" t="s">
        <v>700</v>
      </c>
      <c r="C100" s="33" t="s">
        <v>101</v>
      </c>
      <c r="D100" s="33" t="s">
        <v>13</v>
      </c>
      <c r="E100" s="33" t="s">
        <v>101</v>
      </c>
      <c r="F100" s="28">
        <v>1.8440000000000001</v>
      </c>
      <c r="G100" s="28">
        <v>3.0000000000000001E-3</v>
      </c>
      <c r="H100" s="28">
        <v>-2.4279999999999999</v>
      </c>
      <c r="I100" s="33">
        <v>1.4E-2</v>
      </c>
      <c r="J100" s="33" t="s">
        <v>576</v>
      </c>
      <c r="K100" s="33" t="s">
        <v>680</v>
      </c>
      <c r="L100" s="33" t="s">
        <v>701</v>
      </c>
      <c r="M100" s="33" t="s">
        <v>702</v>
      </c>
      <c r="N100" s="33" t="s">
        <v>703</v>
      </c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>
        <v>802</v>
      </c>
      <c r="AL100" s="32"/>
      <c r="AM100" s="32">
        <v>3831</v>
      </c>
      <c r="AN100" s="32">
        <v>3434</v>
      </c>
      <c r="AO100" s="32">
        <v>3192</v>
      </c>
      <c r="AP100" s="42">
        <f t="shared" si="7"/>
        <v>54</v>
      </c>
      <c r="AQ100" s="42">
        <f t="shared" si="5"/>
        <v>242</v>
      </c>
      <c r="AR100" s="35"/>
    </row>
    <row r="101" spans="1:50" x14ac:dyDescent="0.25">
      <c r="A101" s="33">
        <v>34</v>
      </c>
      <c r="B101" s="33" t="s">
        <v>704</v>
      </c>
      <c r="C101" s="33" t="s">
        <v>101</v>
      </c>
      <c r="D101" s="33" t="s">
        <v>13</v>
      </c>
      <c r="E101" s="33" t="s">
        <v>101</v>
      </c>
      <c r="F101" s="28">
        <v>1.857</v>
      </c>
      <c r="G101" s="28">
        <v>4.0000000000000001E-3</v>
      </c>
      <c r="H101" s="28">
        <v>-2.38</v>
      </c>
      <c r="I101" s="33">
        <v>1.0999999999999999E-2</v>
      </c>
      <c r="J101" s="33" t="s">
        <v>576</v>
      </c>
      <c r="K101" s="33" t="s">
        <v>680</v>
      </c>
      <c r="L101" s="33" t="s">
        <v>705</v>
      </c>
      <c r="M101" s="33" t="s">
        <v>706</v>
      </c>
      <c r="N101" s="33" t="s">
        <v>707</v>
      </c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>
        <v>951</v>
      </c>
      <c r="AL101" s="32"/>
      <c r="AM101" s="32">
        <v>6474</v>
      </c>
      <c r="AN101" s="32">
        <v>5716</v>
      </c>
      <c r="AO101" s="32">
        <v>5307</v>
      </c>
      <c r="AP101" s="42">
        <f t="shared" si="7"/>
        <v>54</v>
      </c>
      <c r="AQ101" s="42">
        <f t="shared" si="5"/>
        <v>409</v>
      </c>
      <c r="AR101" s="35"/>
    </row>
    <row r="102" spans="1:50" x14ac:dyDescent="0.25">
      <c r="A102" s="33">
        <v>35</v>
      </c>
      <c r="B102" s="33" t="s">
        <v>708</v>
      </c>
      <c r="C102" s="33" t="s">
        <v>101</v>
      </c>
      <c r="D102" s="33" t="s">
        <v>13</v>
      </c>
      <c r="E102" s="33" t="s">
        <v>101</v>
      </c>
      <c r="F102" s="28">
        <v>1.7869999999999999</v>
      </c>
      <c r="G102" s="28">
        <v>6.0000000000000001E-3</v>
      </c>
      <c r="H102" s="28">
        <v>-2.161</v>
      </c>
      <c r="I102" s="33">
        <v>1.9E-2</v>
      </c>
      <c r="J102" s="33" t="s">
        <v>576</v>
      </c>
      <c r="K102" s="33" t="s">
        <v>680</v>
      </c>
      <c r="L102" s="33" t="s">
        <v>709</v>
      </c>
      <c r="M102" s="33" t="s">
        <v>710</v>
      </c>
      <c r="N102" s="33" t="s">
        <v>711</v>
      </c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>
        <v>940</v>
      </c>
      <c r="AL102" s="32"/>
      <c r="AM102" s="32">
        <v>6345</v>
      </c>
      <c r="AN102" s="32">
        <v>5624</v>
      </c>
      <c r="AO102" s="32">
        <v>5222</v>
      </c>
      <c r="AP102" s="42">
        <f t="shared" si="7"/>
        <v>54</v>
      </c>
      <c r="AQ102" s="42">
        <f t="shared" si="5"/>
        <v>402</v>
      </c>
      <c r="AR102" s="35"/>
    </row>
    <row r="103" spans="1:50" x14ac:dyDescent="0.25">
      <c r="A103" s="33">
        <v>36</v>
      </c>
      <c r="B103" s="33" t="s">
        <v>712</v>
      </c>
      <c r="C103" s="33" t="s">
        <v>101</v>
      </c>
      <c r="D103" s="33" t="s">
        <v>13</v>
      </c>
      <c r="E103" s="33" t="s">
        <v>101</v>
      </c>
      <c r="F103" s="28">
        <v>1.8160000000000001</v>
      </c>
      <c r="G103" s="28">
        <v>0.01</v>
      </c>
      <c r="H103" s="28">
        <v>-2.5299999999999998</v>
      </c>
      <c r="I103" s="33">
        <v>1.4E-2</v>
      </c>
      <c r="J103" s="33" t="s">
        <v>576</v>
      </c>
      <c r="K103" s="33" t="s">
        <v>680</v>
      </c>
      <c r="L103" s="33" t="s">
        <v>713</v>
      </c>
      <c r="M103" s="33" t="s">
        <v>714</v>
      </c>
      <c r="N103" s="33" t="s">
        <v>715</v>
      </c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>
        <v>922</v>
      </c>
      <c r="AL103" s="32"/>
      <c r="AM103" s="32">
        <v>5639</v>
      </c>
      <c r="AN103" s="32">
        <v>5049</v>
      </c>
      <c r="AO103" s="32">
        <v>4690</v>
      </c>
      <c r="AP103" s="42">
        <f t="shared" si="7"/>
        <v>54</v>
      </c>
      <c r="AQ103" s="42">
        <f t="shared" si="5"/>
        <v>359</v>
      </c>
      <c r="AR103" s="35"/>
      <c r="AS103" t="s">
        <v>505</v>
      </c>
      <c r="AV103" t="s">
        <v>607</v>
      </c>
    </row>
    <row r="104" spans="1:50" x14ac:dyDescent="0.25">
      <c r="A104" s="18">
        <v>43</v>
      </c>
      <c r="B104" s="18" t="s">
        <v>716</v>
      </c>
      <c r="C104" s="18" t="s">
        <v>500</v>
      </c>
      <c r="D104" s="18" t="s">
        <v>13</v>
      </c>
      <c r="E104" s="18" t="s">
        <v>500</v>
      </c>
      <c r="F104" s="41">
        <v>1.774</v>
      </c>
      <c r="G104" s="41">
        <v>1.4999999999999999E-2</v>
      </c>
      <c r="H104" s="41">
        <v>-2.621</v>
      </c>
      <c r="I104" s="18">
        <v>2.1000000000000001E-2</v>
      </c>
      <c r="J104" s="18" t="s">
        <v>576</v>
      </c>
      <c r="K104" s="18" t="s">
        <v>680</v>
      </c>
      <c r="L104" s="18" t="s">
        <v>717</v>
      </c>
      <c r="M104" s="18" t="s">
        <v>718</v>
      </c>
      <c r="N104" s="18" t="s">
        <v>719</v>
      </c>
      <c r="AK104">
        <v>735</v>
      </c>
      <c r="AM104">
        <v>3172</v>
      </c>
      <c r="AN104">
        <v>2785</v>
      </c>
      <c r="AO104">
        <v>2589</v>
      </c>
      <c r="AP104" s="35">
        <f>3*9</f>
        <v>27</v>
      </c>
      <c r="AQ104" s="35">
        <f t="shared" si="5"/>
        <v>196</v>
      </c>
      <c r="AR104" s="35"/>
      <c r="AS104" s="36"/>
      <c r="AT104" s="36" t="s">
        <v>351</v>
      </c>
      <c r="AU104" s="36" t="s">
        <v>352</v>
      </c>
      <c r="AV104" s="36"/>
      <c r="AW104" s="36" t="s">
        <v>351</v>
      </c>
      <c r="AX104" s="36" t="s">
        <v>352</v>
      </c>
    </row>
    <row r="105" spans="1:50" x14ac:dyDescent="0.25">
      <c r="A105" s="18">
        <v>44</v>
      </c>
      <c r="B105" s="18" t="s">
        <v>720</v>
      </c>
      <c r="C105" s="18" t="s">
        <v>500</v>
      </c>
      <c r="D105" s="18" t="s">
        <v>13</v>
      </c>
      <c r="E105" s="18" t="s">
        <v>500</v>
      </c>
      <c r="F105" s="41">
        <v>1.8180000000000001</v>
      </c>
      <c r="G105" s="41">
        <v>1.2E-2</v>
      </c>
      <c r="H105" s="41">
        <v>-2.4020000000000001</v>
      </c>
      <c r="I105" s="18">
        <v>6.0000000000000001E-3</v>
      </c>
      <c r="J105" s="18" t="s">
        <v>576</v>
      </c>
      <c r="K105" s="18" t="s">
        <v>680</v>
      </c>
      <c r="L105" s="18" t="s">
        <v>721</v>
      </c>
      <c r="M105" s="18" t="s">
        <v>722</v>
      </c>
      <c r="N105" s="18" t="s">
        <v>723</v>
      </c>
      <c r="AK105">
        <v>752</v>
      </c>
      <c r="AM105">
        <v>3219</v>
      </c>
      <c r="AN105">
        <v>2790</v>
      </c>
      <c r="AO105">
        <v>2595</v>
      </c>
      <c r="AP105" s="35">
        <f>3*9</f>
        <v>27</v>
      </c>
      <c r="AQ105" s="35">
        <f t="shared" si="5"/>
        <v>195</v>
      </c>
      <c r="AR105" s="35"/>
      <c r="AS105" s="36" t="s">
        <v>502</v>
      </c>
      <c r="AT105" s="37">
        <f>AVERAGE(H70:H107)</f>
        <v>-2.4837368421052628</v>
      </c>
      <c r="AU105" s="37">
        <f>AVERAGE(F70:F107)</f>
        <v>1.7883684210526316</v>
      </c>
      <c r="AV105" s="36" t="s">
        <v>502</v>
      </c>
      <c r="AW105" s="37">
        <f>AVERAGE(F7:F33,J37:J66,H70:H107)</f>
        <v>-2.5098947368421047</v>
      </c>
      <c r="AX105" s="37">
        <f>AVERAGE(C7:C33,G37:G66,F70:F107)</f>
        <v>1.8116631578947371</v>
      </c>
    </row>
    <row r="106" spans="1:50" x14ac:dyDescent="0.25">
      <c r="A106" s="18">
        <v>45</v>
      </c>
      <c r="B106" s="18" t="s">
        <v>724</v>
      </c>
      <c r="C106" s="18" t="s">
        <v>500</v>
      </c>
      <c r="D106" s="18" t="s">
        <v>13</v>
      </c>
      <c r="E106" s="18" t="s">
        <v>500</v>
      </c>
      <c r="F106" s="18">
        <v>1.895</v>
      </c>
      <c r="G106" s="18">
        <v>0.01</v>
      </c>
      <c r="H106" s="18">
        <v>-2.573</v>
      </c>
      <c r="I106" s="18">
        <v>1.9E-2</v>
      </c>
      <c r="J106" s="18" t="s">
        <v>576</v>
      </c>
      <c r="K106" s="18" t="s">
        <v>680</v>
      </c>
      <c r="L106" s="18" t="s">
        <v>725</v>
      </c>
      <c r="M106" s="18" t="s">
        <v>726</v>
      </c>
      <c r="N106" s="18" t="s">
        <v>727</v>
      </c>
      <c r="AK106">
        <v>706</v>
      </c>
      <c r="AM106">
        <v>2823</v>
      </c>
      <c r="AN106">
        <v>2472</v>
      </c>
      <c r="AO106">
        <v>2298</v>
      </c>
      <c r="AP106" s="35">
        <f>3*9</f>
        <v>27</v>
      </c>
      <c r="AQ106" s="35">
        <f t="shared" si="5"/>
        <v>174</v>
      </c>
      <c r="AR106" s="35"/>
      <c r="AS106" s="36" t="s">
        <v>503</v>
      </c>
      <c r="AT106" s="37">
        <f>_xlfn.STDEV.S(H70:H107)</f>
        <v>0.10038619594199256</v>
      </c>
      <c r="AU106" s="37">
        <f>_xlfn.STDEV.S(F70:F107)</f>
        <v>8.6448991694565852E-2</v>
      </c>
      <c r="AV106" s="36" t="s">
        <v>503</v>
      </c>
      <c r="AW106" s="37">
        <f>_xlfn.STDEV.S(F7:F33,J37:J66,H70:H107)</f>
        <v>0.11704186136776025</v>
      </c>
      <c r="AX106" s="37">
        <f>_xlfn.STDEV.S(C7:C33,G37:G66,F70:F107)</f>
        <v>6.5106395823725752E-2</v>
      </c>
    </row>
    <row r="107" spans="1:50" x14ac:dyDescent="0.25">
      <c r="A107" s="18">
        <v>46</v>
      </c>
      <c r="B107" s="18" t="s">
        <v>728</v>
      </c>
      <c r="C107" s="18" t="s">
        <v>500</v>
      </c>
      <c r="D107" s="18" t="s">
        <v>13</v>
      </c>
      <c r="E107" s="18" t="s">
        <v>500</v>
      </c>
      <c r="F107" s="18">
        <v>1.849</v>
      </c>
      <c r="G107" s="18">
        <v>1.4999999999999999E-2</v>
      </c>
      <c r="H107" s="18">
        <v>-2.5590000000000002</v>
      </c>
      <c r="I107" s="18">
        <v>2.4E-2</v>
      </c>
      <c r="J107" s="18" t="s">
        <v>576</v>
      </c>
      <c r="K107" s="18" t="s">
        <v>680</v>
      </c>
      <c r="L107" s="18" t="s">
        <v>729</v>
      </c>
      <c r="M107" s="18" t="s">
        <v>730</v>
      </c>
      <c r="N107" s="18" t="s">
        <v>731</v>
      </c>
      <c r="AK107">
        <v>685</v>
      </c>
      <c r="AM107">
        <v>2729</v>
      </c>
      <c r="AN107">
        <v>2393</v>
      </c>
      <c r="AO107">
        <v>2227</v>
      </c>
      <c r="AP107" s="35">
        <f>3*9</f>
        <v>27</v>
      </c>
      <c r="AQ107" s="35">
        <f t="shared" si="5"/>
        <v>166</v>
      </c>
      <c r="AR107" s="35"/>
      <c r="AS107" s="36" t="s">
        <v>504</v>
      </c>
      <c r="AT107" s="36">
        <f>COUNT(H70:H107)</f>
        <v>38</v>
      </c>
      <c r="AU107" s="36">
        <f>AT107</f>
        <v>38</v>
      </c>
      <c r="AV107" s="36" t="s">
        <v>504</v>
      </c>
      <c r="AW107" s="36">
        <f>COUNT(F7:F33,J37:J66,H70:H107)</f>
        <v>95</v>
      </c>
      <c r="AX107" s="36">
        <f>AW107</f>
        <v>95</v>
      </c>
    </row>
    <row r="108" spans="1:50" x14ac:dyDescent="0.25">
      <c r="A108" s="43"/>
      <c r="B108" s="43"/>
      <c r="C108" s="43"/>
      <c r="D108" s="43"/>
      <c r="E108" s="43"/>
      <c r="F108" s="44"/>
      <c r="G108" s="43"/>
      <c r="H108" s="44"/>
    </row>
    <row r="109" spans="1:50" x14ac:dyDescent="0.25">
      <c r="A109" s="43"/>
      <c r="B109" s="43"/>
      <c r="C109" s="43"/>
      <c r="D109" s="43"/>
      <c r="E109" s="43"/>
      <c r="F109" s="44"/>
      <c r="G109" s="43"/>
      <c r="H109" s="44"/>
    </row>
    <row r="110" spans="1:50" x14ac:dyDescent="0.25">
      <c r="A110" s="43"/>
      <c r="B110" s="43"/>
      <c r="C110" s="43"/>
      <c r="D110" s="43"/>
      <c r="E110" s="43"/>
      <c r="F110" s="44"/>
      <c r="G110" s="43"/>
      <c r="H110" s="44"/>
    </row>
    <row r="111" spans="1:50" x14ac:dyDescent="0.25">
      <c r="A111" s="45">
        <v>42235</v>
      </c>
    </row>
    <row r="112" spans="1:50" x14ac:dyDescent="0.25">
      <c r="A112" s="18" t="s">
        <v>24</v>
      </c>
      <c r="B112" s="18" t="s">
        <v>25</v>
      </c>
      <c r="C112" s="18" t="s">
        <v>26</v>
      </c>
      <c r="D112" s="18" t="s">
        <v>27</v>
      </c>
      <c r="E112" s="18" t="s">
        <v>28</v>
      </c>
      <c r="F112" s="18" t="s">
        <v>29</v>
      </c>
      <c r="G112" s="18" t="s">
        <v>30</v>
      </c>
      <c r="H112" s="18" t="s">
        <v>31</v>
      </c>
      <c r="I112" s="18" t="s">
        <v>32</v>
      </c>
      <c r="J112" s="18" t="s">
        <v>33</v>
      </c>
      <c r="K112" s="18" t="s">
        <v>34</v>
      </c>
      <c r="L112" s="18" t="s">
        <v>35</v>
      </c>
      <c r="M112" s="18" t="s">
        <v>36</v>
      </c>
      <c r="N112" s="18" t="s">
        <v>37</v>
      </c>
      <c r="O112" s="18" t="s">
        <v>38</v>
      </c>
      <c r="P112" s="18" t="s">
        <v>39</v>
      </c>
      <c r="Q112" s="18" t="s">
        <v>40</v>
      </c>
      <c r="R112" s="18" t="s">
        <v>41</v>
      </c>
      <c r="S112" s="18" t="s">
        <v>42</v>
      </c>
      <c r="T112" s="18" t="s">
        <v>43</v>
      </c>
      <c r="AQ112" t="s">
        <v>44</v>
      </c>
      <c r="AR112" t="s">
        <v>45</v>
      </c>
      <c r="AS112" t="s">
        <v>46</v>
      </c>
      <c r="AT112" t="s">
        <v>47</v>
      </c>
      <c r="AU112" t="s">
        <v>48</v>
      </c>
      <c r="AV112" t="s">
        <v>732</v>
      </c>
    </row>
    <row r="113" spans="1:48" x14ac:dyDescent="0.25">
      <c r="A113" s="18">
        <v>1</v>
      </c>
      <c r="B113" s="18" t="s">
        <v>49</v>
      </c>
      <c r="C113" s="18" t="s">
        <v>50</v>
      </c>
      <c r="E113" s="18" t="s">
        <v>50</v>
      </c>
      <c r="F113" s="18">
        <v>-4.5</v>
      </c>
      <c r="G113" s="18">
        <v>1.85</v>
      </c>
      <c r="H113" s="18">
        <v>8.0000000000000002E-3</v>
      </c>
      <c r="I113" s="18">
        <v>-14.05</v>
      </c>
      <c r="J113" s="18">
        <v>-2.3639999999999999</v>
      </c>
      <c r="K113" s="18">
        <v>1.7000000000000001E-2</v>
      </c>
      <c r="L113" s="18" t="s">
        <v>51</v>
      </c>
      <c r="M113" s="18">
        <v>3</v>
      </c>
      <c r="N113" s="18">
        <v>480</v>
      </c>
      <c r="O113" s="18">
        <v>90</v>
      </c>
      <c r="P113" s="18">
        <v>1</v>
      </c>
      <c r="Q113" s="18" t="s">
        <v>52</v>
      </c>
      <c r="R113" s="18" t="s">
        <v>53</v>
      </c>
      <c r="S113" s="18" t="s">
        <v>54</v>
      </c>
      <c r="T113" s="18" t="s">
        <v>55</v>
      </c>
      <c r="AQ113">
        <v>735</v>
      </c>
      <c r="AR113">
        <v>3708</v>
      </c>
      <c r="AS113">
        <v>3266</v>
      </c>
      <c r="AT113">
        <v>3036</v>
      </c>
      <c r="AU113">
        <f t="shared" ref="AU113:AU118" si="8">AS113-AT113</f>
        <v>230</v>
      </c>
      <c r="AV113">
        <f>4*9</f>
        <v>36</v>
      </c>
    </row>
    <row r="114" spans="1:48" x14ac:dyDescent="0.25">
      <c r="A114" s="18">
        <v>2</v>
      </c>
      <c r="B114" s="18" t="s">
        <v>56</v>
      </c>
      <c r="C114" s="18" t="s">
        <v>50</v>
      </c>
      <c r="E114" s="18" t="s">
        <v>50</v>
      </c>
      <c r="F114" s="18">
        <v>-4.5</v>
      </c>
      <c r="G114" s="18">
        <v>1.7829999999999999</v>
      </c>
      <c r="H114" s="18">
        <v>1.2999999999999999E-2</v>
      </c>
      <c r="I114" s="18">
        <v>-14.05</v>
      </c>
      <c r="J114" s="18">
        <v>-2.496</v>
      </c>
      <c r="K114" s="18">
        <v>1.6E-2</v>
      </c>
      <c r="L114" s="18" t="s">
        <v>51</v>
      </c>
      <c r="M114" s="18">
        <v>3</v>
      </c>
      <c r="N114" s="18">
        <v>480</v>
      </c>
      <c r="O114" s="18">
        <v>90</v>
      </c>
      <c r="P114" s="18">
        <v>1</v>
      </c>
      <c r="Q114" s="18" t="s">
        <v>52</v>
      </c>
      <c r="R114" s="18" t="s">
        <v>57</v>
      </c>
      <c r="S114" s="18" t="s">
        <v>58</v>
      </c>
      <c r="T114" s="18" t="s">
        <v>59</v>
      </c>
      <c r="AQ114">
        <v>763</v>
      </c>
      <c r="AR114">
        <v>4166</v>
      </c>
      <c r="AS114">
        <v>3739</v>
      </c>
      <c r="AT114">
        <v>3477</v>
      </c>
      <c r="AU114">
        <f t="shared" si="8"/>
        <v>262</v>
      </c>
      <c r="AV114">
        <f>4*9</f>
        <v>36</v>
      </c>
    </row>
    <row r="115" spans="1:48" x14ac:dyDescent="0.25">
      <c r="A115" s="18">
        <v>3</v>
      </c>
      <c r="B115" s="18" t="s">
        <v>60</v>
      </c>
      <c r="C115" s="18" t="s">
        <v>50</v>
      </c>
      <c r="E115" s="18" t="s">
        <v>50</v>
      </c>
      <c r="F115" s="18">
        <v>-4.5</v>
      </c>
      <c r="G115" s="18">
        <v>1.8260000000000001</v>
      </c>
      <c r="H115" s="18">
        <v>1.2E-2</v>
      </c>
      <c r="I115" s="18">
        <v>-14.05</v>
      </c>
      <c r="J115" s="18">
        <v>-2.4609999999999999</v>
      </c>
      <c r="K115" s="18">
        <v>2.5999999999999999E-2</v>
      </c>
      <c r="L115" s="18" t="s">
        <v>51</v>
      </c>
      <c r="M115" s="18">
        <v>3</v>
      </c>
      <c r="N115" s="18">
        <v>480</v>
      </c>
      <c r="O115" s="18">
        <v>90</v>
      </c>
      <c r="P115" s="18">
        <v>1</v>
      </c>
      <c r="Q115" s="18" t="s">
        <v>52</v>
      </c>
      <c r="R115" s="18" t="s">
        <v>61</v>
      </c>
      <c r="S115" s="18" t="s">
        <v>62</v>
      </c>
      <c r="T115" s="18" t="s">
        <v>63</v>
      </c>
      <c r="AQ115">
        <v>728</v>
      </c>
      <c r="AR115">
        <v>3358</v>
      </c>
      <c r="AS115">
        <v>3013</v>
      </c>
      <c r="AT115">
        <v>2802</v>
      </c>
      <c r="AU115">
        <f t="shared" si="8"/>
        <v>211</v>
      </c>
      <c r="AV115">
        <f t="shared" ref="AV115:AV146" si="9">4*9</f>
        <v>36</v>
      </c>
    </row>
    <row r="116" spans="1:48" x14ac:dyDescent="0.25">
      <c r="A116" s="18">
        <v>4</v>
      </c>
      <c r="B116" s="18" t="s">
        <v>64</v>
      </c>
      <c r="C116" s="18" t="s">
        <v>50</v>
      </c>
      <c r="E116" s="18" t="s">
        <v>50</v>
      </c>
      <c r="F116" s="18">
        <v>-4.5</v>
      </c>
      <c r="G116" s="18">
        <v>1.819</v>
      </c>
      <c r="H116" s="18">
        <v>7.0000000000000001E-3</v>
      </c>
      <c r="I116" s="18">
        <v>-14.05</v>
      </c>
      <c r="J116" s="18">
        <v>-2.5529999999999999</v>
      </c>
      <c r="K116" s="18">
        <v>0.01</v>
      </c>
      <c r="L116" s="18" t="s">
        <v>51</v>
      </c>
      <c r="M116" s="18">
        <v>3</v>
      </c>
      <c r="N116" s="18">
        <v>480</v>
      </c>
      <c r="O116" s="18">
        <v>90</v>
      </c>
      <c r="P116" s="18">
        <v>1</v>
      </c>
      <c r="Q116" s="18" t="s">
        <v>52</v>
      </c>
      <c r="R116" s="18" t="s">
        <v>65</v>
      </c>
      <c r="S116" s="18" t="s">
        <v>66</v>
      </c>
      <c r="T116" s="18" t="s">
        <v>67</v>
      </c>
      <c r="AQ116">
        <v>784</v>
      </c>
      <c r="AR116">
        <v>4364</v>
      </c>
      <c r="AS116">
        <v>3899</v>
      </c>
      <c r="AT116">
        <v>3624</v>
      </c>
      <c r="AU116">
        <f t="shared" si="8"/>
        <v>275</v>
      </c>
      <c r="AV116">
        <f t="shared" si="9"/>
        <v>36</v>
      </c>
    </row>
    <row r="117" spans="1:48" x14ac:dyDescent="0.25">
      <c r="A117" s="18">
        <v>5</v>
      </c>
      <c r="B117" s="18" t="s">
        <v>110</v>
      </c>
      <c r="C117" s="18" t="s">
        <v>50</v>
      </c>
      <c r="E117" s="18" t="s">
        <v>50</v>
      </c>
      <c r="F117" s="18">
        <v>-4.5</v>
      </c>
      <c r="G117" s="18">
        <v>1.8360000000000001</v>
      </c>
      <c r="H117" s="18">
        <v>7.0000000000000001E-3</v>
      </c>
      <c r="I117" s="18">
        <v>-14.05</v>
      </c>
      <c r="J117" s="18">
        <v>-2.496</v>
      </c>
      <c r="K117" s="18">
        <v>2.5000000000000001E-2</v>
      </c>
      <c r="L117" s="18" t="s">
        <v>86</v>
      </c>
      <c r="M117" s="18">
        <v>3</v>
      </c>
      <c r="N117" s="18">
        <v>600</v>
      </c>
      <c r="O117" s="18">
        <v>90</v>
      </c>
      <c r="P117" s="18">
        <v>1</v>
      </c>
      <c r="Q117" s="18" t="s">
        <v>52</v>
      </c>
      <c r="R117" s="18" t="s">
        <v>111</v>
      </c>
      <c r="S117" s="18" t="s">
        <v>112</v>
      </c>
      <c r="T117" s="18" t="s">
        <v>113</v>
      </c>
      <c r="AQ117">
        <v>802</v>
      </c>
      <c r="AR117">
        <v>4098</v>
      </c>
      <c r="AS117">
        <v>3654</v>
      </c>
      <c r="AT117">
        <v>3398</v>
      </c>
      <c r="AU117">
        <f t="shared" si="8"/>
        <v>256</v>
      </c>
      <c r="AV117">
        <f t="shared" si="9"/>
        <v>36</v>
      </c>
    </row>
    <row r="118" spans="1:48" x14ac:dyDescent="0.25">
      <c r="A118" s="18">
        <v>6</v>
      </c>
      <c r="B118" s="18" t="s">
        <v>114</v>
      </c>
      <c r="C118" s="18" t="s">
        <v>50</v>
      </c>
      <c r="E118" s="18" t="s">
        <v>50</v>
      </c>
      <c r="F118" s="18">
        <v>-4.5</v>
      </c>
      <c r="G118" s="18">
        <v>1.7889999999999999</v>
      </c>
      <c r="H118" s="18">
        <v>1.2999999999999999E-2</v>
      </c>
      <c r="I118" s="18">
        <v>-14.05</v>
      </c>
      <c r="J118" s="18">
        <v>-2.5030000000000001</v>
      </c>
      <c r="K118" s="18">
        <v>1.7000000000000001E-2</v>
      </c>
      <c r="L118" s="18" t="s">
        <v>86</v>
      </c>
      <c r="M118" s="18">
        <v>3</v>
      </c>
      <c r="N118" s="18">
        <v>600</v>
      </c>
      <c r="O118" s="18">
        <v>90</v>
      </c>
      <c r="P118" s="18">
        <v>1</v>
      </c>
      <c r="Q118" s="18" t="s">
        <v>52</v>
      </c>
      <c r="R118" s="18" t="s">
        <v>115</v>
      </c>
      <c r="S118" s="18" t="s">
        <v>116</v>
      </c>
      <c r="T118" s="18" t="s">
        <v>117</v>
      </c>
      <c r="AQ118">
        <v>816</v>
      </c>
      <c r="AR118">
        <v>4238</v>
      </c>
      <c r="AS118">
        <v>3822</v>
      </c>
      <c r="AT118">
        <v>3553</v>
      </c>
      <c r="AU118">
        <f t="shared" si="8"/>
        <v>269</v>
      </c>
      <c r="AV118">
        <f t="shared" si="9"/>
        <v>36</v>
      </c>
    </row>
    <row r="119" spans="1:48" x14ac:dyDescent="0.25">
      <c r="A119" s="18">
        <v>1</v>
      </c>
      <c r="B119" s="18" t="s">
        <v>49</v>
      </c>
      <c r="C119" s="18" t="s">
        <v>100</v>
      </c>
      <c r="E119" s="18" t="s">
        <v>101</v>
      </c>
      <c r="F119" s="18">
        <v>-4.5</v>
      </c>
      <c r="G119" s="18">
        <v>1.69</v>
      </c>
      <c r="H119" s="18">
        <v>5.0000000000000001E-3</v>
      </c>
      <c r="I119" s="18">
        <v>-14.05</v>
      </c>
      <c r="J119" s="18">
        <v>-2.4710000000000001</v>
      </c>
      <c r="K119" s="18">
        <v>1.0999999999999999E-2</v>
      </c>
      <c r="L119" s="18" t="s">
        <v>102</v>
      </c>
      <c r="M119" s="18">
        <v>3</v>
      </c>
      <c r="N119" s="18">
        <v>600</v>
      </c>
      <c r="O119" s="18">
        <v>90</v>
      </c>
      <c r="P119" s="18">
        <v>1</v>
      </c>
      <c r="Q119" s="18" t="s">
        <v>103</v>
      </c>
      <c r="R119" s="18" t="s">
        <v>104</v>
      </c>
      <c r="S119" s="18" t="s">
        <v>105</v>
      </c>
      <c r="T119" s="18" t="s">
        <v>106</v>
      </c>
      <c r="AQ119">
        <v>968</v>
      </c>
      <c r="AR119">
        <v>7750</v>
      </c>
      <c r="AS119">
        <v>6805</v>
      </c>
      <c r="AT119">
        <v>6315</v>
      </c>
      <c r="AU119">
        <f>AS119-AT119</f>
        <v>490</v>
      </c>
      <c r="AV119">
        <f>6*9</f>
        <v>54</v>
      </c>
    </row>
    <row r="120" spans="1:48" x14ac:dyDescent="0.25">
      <c r="A120" s="38">
        <v>42240</v>
      </c>
      <c r="B120" s="43"/>
      <c r="C120" s="43"/>
      <c r="D120" s="43"/>
      <c r="E120" s="43"/>
      <c r="F120" s="44"/>
      <c r="G120" s="43"/>
      <c r="H120" s="44"/>
    </row>
    <row r="121" spans="1:48" x14ac:dyDescent="0.25">
      <c r="A121" s="18">
        <v>1</v>
      </c>
      <c r="B121" s="18" t="s">
        <v>49</v>
      </c>
      <c r="C121" s="18" t="s">
        <v>50</v>
      </c>
      <c r="E121" s="18" t="s">
        <v>50</v>
      </c>
      <c r="F121" s="18">
        <v>-4.5</v>
      </c>
      <c r="G121" s="18">
        <v>1.8149999999999999</v>
      </c>
      <c r="H121" s="18">
        <v>7.0000000000000001E-3</v>
      </c>
      <c r="I121" s="18">
        <v>-14.05</v>
      </c>
      <c r="J121" s="18">
        <v>-2.38</v>
      </c>
      <c r="K121" s="18">
        <v>1.9E-2</v>
      </c>
      <c r="L121" s="18" t="s">
        <v>86</v>
      </c>
      <c r="M121" s="18">
        <v>3</v>
      </c>
      <c r="N121" s="18">
        <v>600</v>
      </c>
      <c r="O121" s="18">
        <v>90</v>
      </c>
      <c r="P121" s="18">
        <v>1</v>
      </c>
      <c r="Q121" s="18" t="s">
        <v>70</v>
      </c>
      <c r="R121" s="18" t="s">
        <v>87</v>
      </c>
      <c r="S121" s="18" t="s">
        <v>88</v>
      </c>
      <c r="T121" s="18" t="s">
        <v>89</v>
      </c>
      <c r="AQ121">
        <v>912</v>
      </c>
      <c r="AR121">
        <v>5145</v>
      </c>
      <c r="AS121">
        <v>4589</v>
      </c>
      <c r="AT121">
        <v>4266</v>
      </c>
      <c r="AU121">
        <f>AS121-AT121</f>
        <v>323</v>
      </c>
      <c r="AV121">
        <f t="shared" si="9"/>
        <v>36</v>
      </c>
    </row>
    <row r="122" spans="1:48" x14ac:dyDescent="0.25">
      <c r="A122" s="18">
        <v>2</v>
      </c>
      <c r="B122" s="18" t="s">
        <v>56</v>
      </c>
      <c r="C122" s="18" t="s">
        <v>50</v>
      </c>
      <c r="E122" s="18" t="s">
        <v>50</v>
      </c>
      <c r="F122" s="18">
        <v>-4.5</v>
      </c>
      <c r="G122" s="18">
        <v>1.774</v>
      </c>
      <c r="H122" s="18">
        <v>7.0000000000000001E-3</v>
      </c>
      <c r="I122" s="18">
        <v>-14.05</v>
      </c>
      <c r="J122" s="18">
        <v>-2.5569999999999999</v>
      </c>
      <c r="K122" s="18">
        <v>2.3E-2</v>
      </c>
      <c r="L122" s="18" t="s">
        <v>86</v>
      </c>
      <c r="M122" s="18">
        <v>3</v>
      </c>
      <c r="N122" s="18">
        <v>600</v>
      </c>
      <c r="O122" s="18">
        <v>90</v>
      </c>
      <c r="P122" s="18">
        <v>1</v>
      </c>
      <c r="Q122" s="18" t="s">
        <v>70</v>
      </c>
      <c r="R122" s="18" t="s">
        <v>90</v>
      </c>
      <c r="S122" s="18" t="s">
        <v>91</v>
      </c>
      <c r="T122" s="18" t="s">
        <v>92</v>
      </c>
      <c r="AQ122">
        <v>894</v>
      </c>
      <c r="AR122">
        <v>5033</v>
      </c>
      <c r="AS122">
        <v>4492</v>
      </c>
      <c r="AT122">
        <v>4174</v>
      </c>
      <c r="AU122">
        <f t="shared" ref="AU122:AU146" si="10">AS122-AT122</f>
        <v>318</v>
      </c>
      <c r="AV122">
        <f t="shared" si="9"/>
        <v>36</v>
      </c>
    </row>
    <row r="123" spans="1:48" x14ac:dyDescent="0.25">
      <c r="A123" s="18">
        <v>3</v>
      </c>
      <c r="B123" s="18" t="s">
        <v>60</v>
      </c>
      <c r="C123" s="18" t="s">
        <v>50</v>
      </c>
      <c r="E123" s="18" t="s">
        <v>50</v>
      </c>
      <c r="F123" s="18">
        <v>-4.5</v>
      </c>
      <c r="G123" s="18">
        <v>1.754</v>
      </c>
      <c r="H123" s="18">
        <v>3.0000000000000001E-3</v>
      </c>
      <c r="I123" s="18">
        <v>-14.05</v>
      </c>
      <c r="J123" s="18">
        <v>-2.5289999999999999</v>
      </c>
      <c r="K123" s="18">
        <v>0.02</v>
      </c>
      <c r="L123" s="18" t="s">
        <v>136</v>
      </c>
      <c r="M123" s="18">
        <v>3</v>
      </c>
      <c r="N123" s="18">
        <v>720</v>
      </c>
      <c r="O123" s="18">
        <v>90</v>
      </c>
      <c r="P123" s="18">
        <v>1</v>
      </c>
      <c r="Q123" s="18" t="s">
        <v>70</v>
      </c>
      <c r="R123" s="18" t="s">
        <v>137</v>
      </c>
      <c r="S123" s="18" t="s">
        <v>138</v>
      </c>
      <c r="T123" s="18" t="s">
        <v>139</v>
      </c>
      <c r="AQ123">
        <v>905</v>
      </c>
      <c r="AR123">
        <v>5077</v>
      </c>
      <c r="AS123">
        <v>4529</v>
      </c>
      <c r="AT123">
        <v>4210</v>
      </c>
      <c r="AU123">
        <f t="shared" si="10"/>
        <v>319</v>
      </c>
      <c r="AV123">
        <f t="shared" si="9"/>
        <v>36</v>
      </c>
    </row>
    <row r="124" spans="1:48" x14ac:dyDescent="0.25">
      <c r="A124" s="18">
        <v>6</v>
      </c>
      <c r="B124" s="18" t="s">
        <v>114</v>
      </c>
      <c r="C124" s="18" t="s">
        <v>50</v>
      </c>
      <c r="E124" s="18" t="s">
        <v>50</v>
      </c>
      <c r="F124" s="18">
        <v>-4.5</v>
      </c>
      <c r="G124" s="18">
        <v>1.742</v>
      </c>
      <c r="H124" s="18">
        <v>1.2999999999999999E-2</v>
      </c>
      <c r="I124" s="18">
        <v>-14.05</v>
      </c>
      <c r="J124" s="18">
        <v>-2.5710000000000002</v>
      </c>
      <c r="K124" s="18">
        <v>1.0999999999999999E-2</v>
      </c>
      <c r="L124" s="18" t="s">
        <v>136</v>
      </c>
      <c r="M124" s="18">
        <v>3</v>
      </c>
      <c r="N124" s="18">
        <v>720</v>
      </c>
      <c r="O124" s="18">
        <v>90</v>
      </c>
      <c r="P124" s="18">
        <v>1</v>
      </c>
      <c r="Q124" s="18" t="s">
        <v>70</v>
      </c>
      <c r="R124" s="18" t="s">
        <v>140</v>
      </c>
      <c r="S124" s="18" t="s">
        <v>141</v>
      </c>
      <c r="T124" s="18" t="s">
        <v>142</v>
      </c>
      <c r="AQ124">
        <v>944</v>
      </c>
      <c r="AR124">
        <v>5355</v>
      </c>
      <c r="AS124">
        <v>4762</v>
      </c>
      <c r="AT124">
        <v>4425</v>
      </c>
      <c r="AU124">
        <f t="shared" si="10"/>
        <v>337</v>
      </c>
      <c r="AV124">
        <f t="shared" si="9"/>
        <v>36</v>
      </c>
    </row>
    <row r="125" spans="1:48" x14ac:dyDescent="0.25">
      <c r="A125" s="18">
        <v>7</v>
      </c>
      <c r="B125" s="18" t="s">
        <v>68</v>
      </c>
      <c r="C125" s="18" t="s">
        <v>50</v>
      </c>
      <c r="E125" s="18" t="s">
        <v>50</v>
      </c>
      <c r="F125" s="18">
        <v>-4.5</v>
      </c>
      <c r="G125" s="18">
        <v>1.782</v>
      </c>
      <c r="H125" s="18">
        <v>8.9999999999999993E-3</v>
      </c>
      <c r="I125" s="18">
        <v>-14.05</v>
      </c>
      <c r="J125" s="18">
        <v>-2.6469999999999998</v>
      </c>
      <c r="K125" s="18">
        <v>1.2999999999999999E-2</v>
      </c>
      <c r="L125" s="18" t="s">
        <v>69</v>
      </c>
      <c r="M125" s="18">
        <v>3</v>
      </c>
      <c r="N125" s="18">
        <v>480</v>
      </c>
      <c r="O125" s="18">
        <v>135</v>
      </c>
      <c r="P125" s="18">
        <v>1</v>
      </c>
      <c r="Q125" s="18" t="s">
        <v>70</v>
      </c>
      <c r="R125" s="18" t="s">
        <v>71</v>
      </c>
      <c r="S125" s="18" t="s">
        <v>72</v>
      </c>
      <c r="T125" s="18" t="s">
        <v>73</v>
      </c>
      <c r="AQ125">
        <v>884</v>
      </c>
      <c r="AR125">
        <v>4647</v>
      </c>
      <c r="AS125">
        <v>4160</v>
      </c>
      <c r="AT125">
        <v>3867</v>
      </c>
      <c r="AU125">
        <f t="shared" si="10"/>
        <v>293</v>
      </c>
      <c r="AV125">
        <f t="shared" si="9"/>
        <v>36</v>
      </c>
    </row>
    <row r="126" spans="1:48" x14ac:dyDescent="0.25">
      <c r="A126" s="18">
        <v>8</v>
      </c>
      <c r="B126" s="18" t="s">
        <v>74</v>
      </c>
      <c r="C126" s="18" t="s">
        <v>50</v>
      </c>
      <c r="E126" s="18" t="s">
        <v>50</v>
      </c>
      <c r="F126" s="18">
        <v>-4.5</v>
      </c>
      <c r="G126" s="18">
        <v>1.863</v>
      </c>
      <c r="H126" s="18">
        <v>1.6E-2</v>
      </c>
      <c r="I126" s="18">
        <v>-14.05</v>
      </c>
      <c r="J126" s="18">
        <v>-2.67</v>
      </c>
      <c r="K126" s="18">
        <v>1.4999999999999999E-2</v>
      </c>
      <c r="L126" s="18" t="s">
        <v>69</v>
      </c>
      <c r="M126" s="18">
        <v>3</v>
      </c>
      <c r="N126" s="18">
        <v>480</v>
      </c>
      <c r="O126" s="18">
        <v>135</v>
      </c>
      <c r="P126" s="18">
        <v>1</v>
      </c>
      <c r="Q126" s="18" t="s">
        <v>70</v>
      </c>
      <c r="R126" s="18" t="s">
        <v>75</v>
      </c>
      <c r="S126" s="18" t="s">
        <v>76</v>
      </c>
      <c r="T126" s="18" t="s">
        <v>77</v>
      </c>
      <c r="AQ126">
        <v>809</v>
      </c>
      <c r="AR126">
        <v>3561</v>
      </c>
      <c r="AS126">
        <v>3144</v>
      </c>
      <c r="AT126">
        <v>2921</v>
      </c>
      <c r="AU126">
        <f t="shared" si="10"/>
        <v>223</v>
      </c>
      <c r="AV126">
        <f t="shared" si="9"/>
        <v>36</v>
      </c>
    </row>
    <row r="127" spans="1:48" x14ac:dyDescent="0.25">
      <c r="A127" s="18">
        <v>9</v>
      </c>
      <c r="B127" s="18" t="s">
        <v>78</v>
      </c>
      <c r="C127" s="18" t="s">
        <v>50</v>
      </c>
      <c r="E127" s="18" t="s">
        <v>50</v>
      </c>
      <c r="F127" s="18">
        <v>-4.5</v>
      </c>
      <c r="G127" s="18">
        <v>1.754</v>
      </c>
      <c r="H127" s="18">
        <v>8.0000000000000002E-3</v>
      </c>
      <c r="I127" s="18">
        <v>-14.05</v>
      </c>
      <c r="J127" s="18">
        <v>-2.577</v>
      </c>
      <c r="K127" s="18">
        <v>5.0000000000000001E-3</v>
      </c>
      <c r="L127" s="18" t="s">
        <v>69</v>
      </c>
      <c r="M127" s="18">
        <v>3</v>
      </c>
      <c r="N127" s="18">
        <v>480</v>
      </c>
      <c r="O127" s="18">
        <v>135</v>
      </c>
      <c r="P127" s="18">
        <v>1</v>
      </c>
      <c r="Q127" s="18" t="s">
        <v>70</v>
      </c>
      <c r="R127" s="18" t="s">
        <v>79</v>
      </c>
      <c r="S127" s="18" t="s">
        <v>80</v>
      </c>
      <c r="T127" s="18" t="s">
        <v>81</v>
      </c>
      <c r="AQ127">
        <v>852</v>
      </c>
      <c r="AR127">
        <v>3770</v>
      </c>
      <c r="AS127">
        <v>3333</v>
      </c>
      <c r="AT127">
        <v>3101</v>
      </c>
      <c r="AU127">
        <f t="shared" si="10"/>
        <v>232</v>
      </c>
      <c r="AV127">
        <f t="shared" si="9"/>
        <v>36</v>
      </c>
    </row>
    <row r="128" spans="1:48" x14ac:dyDescent="0.25">
      <c r="A128" s="18">
        <v>10</v>
      </c>
      <c r="B128" s="18" t="s">
        <v>82</v>
      </c>
      <c r="C128" s="18" t="s">
        <v>50</v>
      </c>
      <c r="E128" s="18" t="s">
        <v>50</v>
      </c>
      <c r="F128" s="18">
        <v>-4.5</v>
      </c>
      <c r="G128" s="18">
        <v>1.837</v>
      </c>
      <c r="H128" s="18">
        <v>7.0000000000000001E-3</v>
      </c>
      <c r="I128" s="18">
        <v>-14.05</v>
      </c>
      <c r="J128" s="18">
        <v>-2.5190000000000001</v>
      </c>
      <c r="K128" s="18">
        <v>1.6E-2</v>
      </c>
      <c r="L128" s="18" t="s">
        <v>69</v>
      </c>
      <c r="M128" s="18">
        <v>3</v>
      </c>
      <c r="N128" s="18">
        <v>480</v>
      </c>
      <c r="O128" s="18">
        <v>135</v>
      </c>
      <c r="P128" s="18">
        <v>1</v>
      </c>
      <c r="Q128" s="18" t="s">
        <v>70</v>
      </c>
      <c r="R128" s="18" t="s">
        <v>83</v>
      </c>
      <c r="S128" s="18" t="s">
        <v>84</v>
      </c>
      <c r="T128" s="18" t="s">
        <v>85</v>
      </c>
      <c r="AQ128">
        <v>876</v>
      </c>
      <c r="AR128">
        <v>4508</v>
      </c>
      <c r="AS128">
        <v>4045</v>
      </c>
      <c r="AT128">
        <v>3760</v>
      </c>
      <c r="AU128">
        <f t="shared" si="10"/>
        <v>285</v>
      </c>
      <c r="AV128">
        <f t="shared" si="9"/>
        <v>36</v>
      </c>
    </row>
    <row r="129" spans="1:61" x14ac:dyDescent="0.25">
      <c r="A129" s="18">
        <v>12</v>
      </c>
      <c r="B129" s="18" t="s">
        <v>124</v>
      </c>
      <c r="C129" s="18" t="s">
        <v>50</v>
      </c>
      <c r="E129" s="18" t="s">
        <v>50</v>
      </c>
      <c r="F129" s="18">
        <v>-4.5</v>
      </c>
      <c r="G129" s="18">
        <v>1.766</v>
      </c>
      <c r="H129" s="18">
        <v>1.9E-2</v>
      </c>
      <c r="I129" s="18">
        <v>-14.05</v>
      </c>
      <c r="J129" s="18">
        <v>-2.6579999999999999</v>
      </c>
      <c r="K129" s="18">
        <v>6.0000000000000001E-3</v>
      </c>
      <c r="L129" s="18" t="s">
        <v>119</v>
      </c>
      <c r="M129" s="18">
        <v>3</v>
      </c>
      <c r="N129" s="18">
        <v>600</v>
      </c>
      <c r="O129" s="18">
        <v>135</v>
      </c>
      <c r="P129" s="18">
        <v>1</v>
      </c>
      <c r="Q129" s="18" t="s">
        <v>70</v>
      </c>
      <c r="R129" s="18" t="s">
        <v>125</v>
      </c>
      <c r="S129" s="18" t="s">
        <v>126</v>
      </c>
      <c r="T129" s="18" t="s">
        <v>127</v>
      </c>
      <c r="AQ129">
        <v>752</v>
      </c>
      <c r="AR129">
        <v>3089</v>
      </c>
      <c r="AS129">
        <v>2726</v>
      </c>
      <c r="AT129">
        <v>2536</v>
      </c>
      <c r="AU129">
        <f>AS129-AT129</f>
        <v>190</v>
      </c>
      <c r="AV129">
        <f t="shared" si="9"/>
        <v>36</v>
      </c>
    </row>
    <row r="130" spans="1:61" x14ac:dyDescent="0.25">
      <c r="A130" s="18">
        <v>13</v>
      </c>
      <c r="B130" s="18" t="s">
        <v>128</v>
      </c>
      <c r="C130" s="18" t="s">
        <v>50</v>
      </c>
      <c r="E130" s="18" t="s">
        <v>50</v>
      </c>
      <c r="F130" s="18">
        <v>-4.5</v>
      </c>
      <c r="G130" s="18">
        <v>1.7869999999999999</v>
      </c>
      <c r="H130" s="18">
        <v>8.9999999999999993E-3</v>
      </c>
      <c r="I130" s="18">
        <v>-14.05</v>
      </c>
      <c r="J130" s="18">
        <v>-2.5059999999999998</v>
      </c>
      <c r="K130" s="18">
        <v>2.7E-2</v>
      </c>
      <c r="L130" s="18" t="s">
        <v>119</v>
      </c>
      <c r="M130" s="18">
        <v>3</v>
      </c>
      <c r="N130" s="18">
        <v>600</v>
      </c>
      <c r="O130" s="18">
        <v>135</v>
      </c>
      <c r="P130" s="18">
        <v>1</v>
      </c>
      <c r="Q130" s="18" t="s">
        <v>70</v>
      </c>
      <c r="R130" s="18" t="s">
        <v>129</v>
      </c>
      <c r="S130" s="18" t="s">
        <v>130</v>
      </c>
      <c r="T130" s="18" t="s">
        <v>131</v>
      </c>
      <c r="AQ130">
        <v>834</v>
      </c>
      <c r="AR130">
        <v>4146</v>
      </c>
      <c r="AS130">
        <v>3730</v>
      </c>
      <c r="AT130">
        <v>3473</v>
      </c>
      <c r="AU130">
        <f t="shared" si="10"/>
        <v>257</v>
      </c>
      <c r="AV130">
        <f t="shared" si="9"/>
        <v>36</v>
      </c>
    </row>
    <row r="131" spans="1:61" x14ac:dyDescent="0.25">
      <c r="A131" s="18">
        <v>14</v>
      </c>
      <c r="B131" s="18" t="s">
        <v>132</v>
      </c>
      <c r="C131" s="18" t="s">
        <v>50</v>
      </c>
      <c r="E131" s="18" t="s">
        <v>50</v>
      </c>
      <c r="F131" s="18">
        <v>-4.5</v>
      </c>
      <c r="G131" s="18">
        <v>1.8420000000000001</v>
      </c>
      <c r="H131" s="18">
        <v>6.0000000000000001E-3</v>
      </c>
      <c r="I131" s="18">
        <v>-14.05</v>
      </c>
      <c r="J131" s="18">
        <v>-2.5750000000000002</v>
      </c>
      <c r="K131" s="18">
        <v>0.03</v>
      </c>
      <c r="L131" s="18" t="s">
        <v>119</v>
      </c>
      <c r="M131" s="18">
        <v>3</v>
      </c>
      <c r="N131" s="18">
        <v>600</v>
      </c>
      <c r="O131" s="18">
        <v>135</v>
      </c>
      <c r="P131" s="18">
        <v>1</v>
      </c>
      <c r="Q131" s="18" t="s">
        <v>70</v>
      </c>
      <c r="R131" s="18" t="s">
        <v>133</v>
      </c>
      <c r="S131" s="18" t="s">
        <v>134</v>
      </c>
      <c r="T131" s="18" t="s">
        <v>135</v>
      </c>
      <c r="AQ131" s="46">
        <v>873</v>
      </c>
      <c r="AR131">
        <v>4515</v>
      </c>
      <c r="AS131">
        <v>4005</v>
      </c>
      <c r="AT131">
        <v>3722</v>
      </c>
      <c r="AU131">
        <f t="shared" si="10"/>
        <v>283</v>
      </c>
      <c r="AV131">
        <f t="shared" si="9"/>
        <v>36</v>
      </c>
    </row>
    <row r="132" spans="1:61" x14ac:dyDescent="0.25">
      <c r="A132" s="18">
        <v>15</v>
      </c>
      <c r="B132" s="18" t="s">
        <v>143</v>
      </c>
      <c r="C132" s="18" t="s">
        <v>50</v>
      </c>
      <c r="E132" s="18" t="s">
        <v>50</v>
      </c>
      <c r="F132" s="18">
        <v>-4.5</v>
      </c>
      <c r="G132" s="18">
        <v>1.8120000000000001</v>
      </c>
      <c r="H132" s="18">
        <v>1.6E-2</v>
      </c>
      <c r="I132" s="18">
        <v>-14.05</v>
      </c>
      <c r="J132" s="18">
        <v>-2.5329999999999999</v>
      </c>
      <c r="K132" s="18">
        <v>2.4E-2</v>
      </c>
      <c r="L132" s="18" t="s">
        <v>144</v>
      </c>
      <c r="M132" s="18">
        <v>3</v>
      </c>
      <c r="N132" s="18">
        <v>720</v>
      </c>
      <c r="O132" s="18">
        <v>135</v>
      </c>
      <c r="P132" s="18">
        <v>1</v>
      </c>
      <c r="Q132" s="18" t="s">
        <v>70</v>
      </c>
      <c r="R132" s="18" t="s">
        <v>145</v>
      </c>
      <c r="S132" s="18" t="s">
        <v>146</v>
      </c>
      <c r="T132" s="18" t="s">
        <v>147</v>
      </c>
      <c r="AQ132">
        <v>859</v>
      </c>
      <c r="AR132">
        <v>4345</v>
      </c>
      <c r="AS132">
        <v>3918</v>
      </c>
      <c r="AT132">
        <v>3647</v>
      </c>
      <c r="AU132">
        <f t="shared" si="10"/>
        <v>271</v>
      </c>
      <c r="AV132">
        <f t="shared" si="9"/>
        <v>36</v>
      </c>
    </row>
    <row r="133" spans="1:61" x14ac:dyDescent="0.25">
      <c r="A133" s="18">
        <v>16</v>
      </c>
      <c r="B133" s="18" t="s">
        <v>148</v>
      </c>
      <c r="C133" s="18" t="s">
        <v>50</v>
      </c>
      <c r="E133" s="18" t="s">
        <v>50</v>
      </c>
      <c r="F133" s="18">
        <v>-4.5</v>
      </c>
      <c r="G133" s="18">
        <v>1.7390000000000001</v>
      </c>
      <c r="H133" s="18">
        <v>5.0000000000000001E-3</v>
      </c>
      <c r="I133" s="18">
        <v>-14.05</v>
      </c>
      <c r="J133" s="18">
        <v>-2.782</v>
      </c>
      <c r="K133" s="18">
        <v>2.5999999999999999E-2</v>
      </c>
      <c r="L133" s="18" t="s">
        <v>144</v>
      </c>
      <c r="M133" s="18">
        <v>3</v>
      </c>
      <c r="N133" s="18">
        <v>720</v>
      </c>
      <c r="O133" s="18">
        <v>135</v>
      </c>
      <c r="P133" s="18">
        <v>1</v>
      </c>
      <c r="Q133" s="18" t="s">
        <v>70</v>
      </c>
      <c r="R133" s="18" t="s">
        <v>149</v>
      </c>
      <c r="S133" s="18" t="s">
        <v>150</v>
      </c>
      <c r="T133" s="18" t="s">
        <v>151</v>
      </c>
      <c r="AQ133">
        <v>749</v>
      </c>
      <c r="AR133">
        <v>3012</v>
      </c>
      <c r="AS133">
        <v>2752</v>
      </c>
      <c r="AT133">
        <v>2561</v>
      </c>
      <c r="AU133">
        <f t="shared" si="10"/>
        <v>191</v>
      </c>
      <c r="AV133">
        <f t="shared" si="9"/>
        <v>36</v>
      </c>
    </row>
    <row r="134" spans="1:61" x14ac:dyDescent="0.25">
      <c r="A134" s="18">
        <v>17</v>
      </c>
      <c r="B134" s="18" t="s">
        <v>152</v>
      </c>
      <c r="C134" s="18" t="s">
        <v>50</v>
      </c>
      <c r="E134" s="18" t="s">
        <v>50</v>
      </c>
      <c r="F134" s="18">
        <v>-4.5</v>
      </c>
      <c r="G134" s="18">
        <v>1.7809999999999999</v>
      </c>
      <c r="H134" s="18">
        <v>1.0999999999999999E-2</v>
      </c>
      <c r="I134" s="18">
        <v>-14.05</v>
      </c>
      <c r="J134" s="18">
        <v>-2.5409999999999999</v>
      </c>
      <c r="K134" s="18">
        <v>1.2E-2</v>
      </c>
      <c r="L134" s="18" t="s">
        <v>144</v>
      </c>
      <c r="M134" s="18">
        <v>3</v>
      </c>
      <c r="N134" s="18">
        <v>720</v>
      </c>
      <c r="O134" s="18">
        <v>135</v>
      </c>
      <c r="P134" s="18">
        <v>1</v>
      </c>
      <c r="Q134" s="18" t="s">
        <v>70</v>
      </c>
      <c r="R134" s="18" t="s">
        <v>153</v>
      </c>
      <c r="S134" s="18" t="s">
        <v>154</v>
      </c>
      <c r="T134" s="18" t="s">
        <v>155</v>
      </c>
      <c r="AQ134" s="46">
        <v>873</v>
      </c>
      <c r="AR134">
        <v>4495</v>
      </c>
      <c r="AS134">
        <v>4051</v>
      </c>
      <c r="AT134">
        <v>3770</v>
      </c>
      <c r="AU134">
        <f t="shared" si="10"/>
        <v>281</v>
      </c>
      <c r="AV134">
        <f t="shared" si="9"/>
        <v>36</v>
      </c>
    </row>
    <row r="135" spans="1:61" x14ac:dyDescent="0.25">
      <c r="A135" s="18">
        <v>18</v>
      </c>
      <c r="B135" s="18" t="s">
        <v>156</v>
      </c>
      <c r="C135" s="18" t="s">
        <v>50</v>
      </c>
      <c r="E135" s="18" t="s">
        <v>50</v>
      </c>
      <c r="F135" s="18">
        <v>-4.5</v>
      </c>
      <c r="G135" s="18">
        <v>1.7490000000000001</v>
      </c>
      <c r="H135" s="18">
        <v>6.0000000000000001E-3</v>
      </c>
      <c r="I135" s="18">
        <v>-14.05</v>
      </c>
      <c r="J135" s="18">
        <v>-2.734</v>
      </c>
      <c r="K135" s="18">
        <v>2.3E-2</v>
      </c>
      <c r="L135" s="18" t="s">
        <v>144</v>
      </c>
      <c r="M135" s="18">
        <v>3</v>
      </c>
      <c r="N135" s="18">
        <v>720</v>
      </c>
      <c r="O135" s="18">
        <v>135</v>
      </c>
      <c r="P135" s="18">
        <v>1</v>
      </c>
      <c r="Q135" s="18" t="s">
        <v>70</v>
      </c>
      <c r="R135" s="18" t="s">
        <v>157</v>
      </c>
      <c r="S135" s="18" t="s">
        <v>158</v>
      </c>
      <c r="T135" s="18" t="s">
        <v>159</v>
      </c>
      <c r="AQ135">
        <v>827</v>
      </c>
      <c r="AR135">
        <v>3785</v>
      </c>
      <c r="AS135">
        <v>3404</v>
      </c>
      <c r="AT135">
        <v>3167</v>
      </c>
      <c r="AU135">
        <f t="shared" si="10"/>
        <v>237</v>
      </c>
      <c r="AV135">
        <f t="shared" si="9"/>
        <v>36</v>
      </c>
    </row>
    <row r="136" spans="1:61" x14ac:dyDescent="0.25">
      <c r="A136" s="18">
        <v>20</v>
      </c>
      <c r="B136" s="18" t="s">
        <v>165</v>
      </c>
      <c r="C136" s="18" t="s">
        <v>50</v>
      </c>
      <c r="E136" s="18" t="s">
        <v>50</v>
      </c>
      <c r="F136" s="18">
        <v>-4.5</v>
      </c>
      <c r="G136" s="18">
        <v>1.6</v>
      </c>
      <c r="H136" s="18">
        <v>1.7000000000000001E-2</v>
      </c>
      <c r="I136" s="18">
        <v>-14.05</v>
      </c>
      <c r="J136" s="18">
        <v>-2.887</v>
      </c>
      <c r="K136" s="18">
        <v>1.7999999999999999E-2</v>
      </c>
      <c r="L136" s="18" t="s">
        <v>161</v>
      </c>
      <c r="M136" s="18">
        <v>4</v>
      </c>
      <c r="N136" s="18">
        <v>480</v>
      </c>
      <c r="O136" s="18">
        <v>90</v>
      </c>
      <c r="P136" s="18">
        <v>1</v>
      </c>
      <c r="Q136" s="18" t="s">
        <v>70</v>
      </c>
      <c r="R136" s="18" t="s">
        <v>166</v>
      </c>
      <c r="S136" s="18" t="s">
        <v>167</v>
      </c>
      <c r="T136" s="18" t="s">
        <v>168</v>
      </c>
      <c r="AQ136">
        <v>813</v>
      </c>
      <c r="AR136">
        <v>3597</v>
      </c>
      <c r="AS136">
        <v>3199</v>
      </c>
      <c r="AT136">
        <v>2974</v>
      </c>
      <c r="AU136">
        <f t="shared" si="10"/>
        <v>225</v>
      </c>
      <c r="AV136">
        <f t="shared" si="9"/>
        <v>36</v>
      </c>
    </row>
    <row r="137" spans="1:61" x14ac:dyDescent="0.25">
      <c r="A137" s="18">
        <v>21</v>
      </c>
      <c r="B137" s="18" t="s">
        <v>169</v>
      </c>
      <c r="C137" s="18" t="s">
        <v>50</v>
      </c>
      <c r="E137" s="18" t="s">
        <v>50</v>
      </c>
      <c r="F137" s="18">
        <v>-4.5</v>
      </c>
      <c r="G137" s="18">
        <v>1.7829999999999999</v>
      </c>
      <c r="H137" s="18">
        <v>1.0999999999999999E-2</v>
      </c>
      <c r="I137" s="18">
        <v>-14.05</v>
      </c>
      <c r="J137" s="18">
        <v>-2.7130000000000001</v>
      </c>
      <c r="K137" s="18">
        <v>2.1999999999999999E-2</v>
      </c>
      <c r="L137" s="18" t="s">
        <v>161</v>
      </c>
      <c r="M137" s="18">
        <v>4</v>
      </c>
      <c r="N137" s="18">
        <v>480</v>
      </c>
      <c r="O137" s="18">
        <v>90</v>
      </c>
      <c r="P137" s="18">
        <v>1</v>
      </c>
      <c r="Q137" s="18" t="s">
        <v>70</v>
      </c>
      <c r="R137" s="18" t="s">
        <v>170</v>
      </c>
      <c r="S137" s="18" t="s">
        <v>171</v>
      </c>
      <c r="T137" s="18" t="s">
        <v>172</v>
      </c>
      <c r="AQ137">
        <v>791</v>
      </c>
      <c r="AR137">
        <v>3476</v>
      </c>
      <c r="AS137">
        <v>3067</v>
      </c>
      <c r="AT137">
        <v>2852</v>
      </c>
      <c r="AU137">
        <f t="shared" si="10"/>
        <v>215</v>
      </c>
      <c r="AV137">
        <f t="shared" si="9"/>
        <v>36</v>
      </c>
    </row>
    <row r="138" spans="1:61" x14ac:dyDescent="0.25">
      <c r="A138" s="18">
        <v>22</v>
      </c>
      <c r="B138" s="18" t="s">
        <v>173</v>
      </c>
      <c r="C138" s="18" t="s">
        <v>50</v>
      </c>
      <c r="E138" s="18" t="s">
        <v>50</v>
      </c>
      <c r="F138" s="18">
        <v>-4.5</v>
      </c>
      <c r="G138" s="18">
        <v>1.788</v>
      </c>
      <c r="H138" s="18">
        <v>1.0999999999999999E-2</v>
      </c>
      <c r="I138" s="18">
        <v>-14.05</v>
      </c>
      <c r="J138" s="18">
        <v>-2.633</v>
      </c>
      <c r="K138" s="18">
        <v>1.0999999999999999E-2</v>
      </c>
      <c r="L138" s="18" t="s">
        <v>161</v>
      </c>
      <c r="M138" s="18">
        <v>4</v>
      </c>
      <c r="N138" s="18">
        <v>480</v>
      </c>
      <c r="O138" s="18">
        <v>90</v>
      </c>
      <c r="P138" s="18">
        <v>1</v>
      </c>
      <c r="Q138" s="18" t="s">
        <v>70</v>
      </c>
      <c r="R138" s="18" t="s">
        <v>174</v>
      </c>
      <c r="S138" s="18" t="s">
        <v>175</v>
      </c>
      <c r="T138" s="18" t="s">
        <v>176</v>
      </c>
      <c r="AQ138">
        <v>745</v>
      </c>
      <c r="AR138">
        <v>2934</v>
      </c>
      <c r="AS138">
        <v>2679</v>
      </c>
      <c r="AT138">
        <v>2497</v>
      </c>
      <c r="AU138">
        <f t="shared" si="10"/>
        <v>182</v>
      </c>
      <c r="AV138">
        <f t="shared" si="9"/>
        <v>36</v>
      </c>
    </row>
    <row r="139" spans="1:61" x14ac:dyDescent="0.25">
      <c r="A139" s="18">
        <v>23</v>
      </c>
      <c r="B139" s="18" t="s">
        <v>177</v>
      </c>
      <c r="C139" s="18" t="s">
        <v>50</v>
      </c>
      <c r="E139" s="18" t="s">
        <v>50</v>
      </c>
      <c r="F139" s="18">
        <v>-4.5</v>
      </c>
      <c r="G139" s="18">
        <v>1.7529999999999999</v>
      </c>
      <c r="H139" s="18">
        <v>1.2999999999999999E-2</v>
      </c>
      <c r="I139" s="18">
        <v>-14.05</v>
      </c>
      <c r="J139" s="18">
        <v>-2.7050000000000001</v>
      </c>
      <c r="K139" s="18">
        <v>7.0000000000000001E-3</v>
      </c>
      <c r="L139" s="18" t="s">
        <v>178</v>
      </c>
      <c r="M139" s="18">
        <v>4</v>
      </c>
      <c r="N139" s="18">
        <v>600</v>
      </c>
      <c r="O139" s="18">
        <v>90</v>
      </c>
      <c r="P139" s="18">
        <v>1</v>
      </c>
      <c r="Q139" s="18" t="s">
        <v>96</v>
      </c>
      <c r="R139" s="18" t="s">
        <v>179</v>
      </c>
      <c r="S139" s="18" t="s">
        <v>180</v>
      </c>
      <c r="T139" s="18" t="s">
        <v>181</v>
      </c>
      <c r="AQ139">
        <v>905</v>
      </c>
      <c r="AR139">
        <v>5007</v>
      </c>
      <c r="AS139">
        <v>4464</v>
      </c>
      <c r="AT139">
        <v>4149</v>
      </c>
      <c r="AU139">
        <f t="shared" si="10"/>
        <v>315</v>
      </c>
      <c r="AV139">
        <f t="shared" si="9"/>
        <v>36</v>
      </c>
    </row>
    <row r="140" spans="1:61" x14ac:dyDescent="0.25">
      <c r="A140" s="18">
        <v>24</v>
      </c>
      <c r="B140" s="18" t="s">
        <v>182</v>
      </c>
      <c r="C140" s="18" t="s">
        <v>50</v>
      </c>
      <c r="E140" s="18" t="s">
        <v>50</v>
      </c>
      <c r="F140" s="18">
        <v>-4.5</v>
      </c>
      <c r="G140" s="18">
        <v>1.7829999999999999</v>
      </c>
      <c r="H140" s="18">
        <v>1.0999999999999999E-2</v>
      </c>
      <c r="I140" s="18">
        <v>-14.05</v>
      </c>
      <c r="J140" s="18">
        <v>-2.7519999999999998</v>
      </c>
      <c r="K140" s="18">
        <v>1.4E-2</v>
      </c>
      <c r="L140" s="18" t="s">
        <v>178</v>
      </c>
      <c r="M140" s="18">
        <v>4</v>
      </c>
      <c r="N140" s="18">
        <v>600</v>
      </c>
      <c r="O140" s="18">
        <v>90</v>
      </c>
      <c r="P140" s="18">
        <v>1</v>
      </c>
      <c r="Q140" s="18" t="s">
        <v>96</v>
      </c>
      <c r="R140" s="18" t="s">
        <v>183</v>
      </c>
      <c r="S140" s="18" t="s">
        <v>184</v>
      </c>
      <c r="T140" s="18" t="s">
        <v>185</v>
      </c>
      <c r="AQ140">
        <v>837</v>
      </c>
      <c r="AR140">
        <v>3959</v>
      </c>
      <c r="AS140">
        <v>3556</v>
      </c>
      <c r="AT140">
        <v>3308</v>
      </c>
      <c r="AU140">
        <f t="shared" si="10"/>
        <v>248</v>
      </c>
      <c r="AV140">
        <f t="shared" si="9"/>
        <v>36</v>
      </c>
    </row>
    <row r="141" spans="1:61" x14ac:dyDescent="0.25">
      <c r="A141" s="18">
        <v>25</v>
      </c>
      <c r="B141" s="18" t="s">
        <v>186</v>
      </c>
      <c r="C141" s="18" t="s">
        <v>50</v>
      </c>
      <c r="E141" s="18" t="s">
        <v>50</v>
      </c>
      <c r="F141" s="18">
        <v>-4.5</v>
      </c>
      <c r="G141" s="18">
        <v>1.8129999999999999</v>
      </c>
      <c r="H141" s="18">
        <v>6.0000000000000001E-3</v>
      </c>
      <c r="I141" s="18">
        <v>-14.05</v>
      </c>
      <c r="J141" s="18">
        <v>-2.581</v>
      </c>
      <c r="K141" s="18">
        <v>1.0999999999999999E-2</v>
      </c>
      <c r="L141" s="18" t="s">
        <v>178</v>
      </c>
      <c r="M141" s="18">
        <v>4</v>
      </c>
      <c r="N141" s="18">
        <v>600</v>
      </c>
      <c r="O141" s="18">
        <v>90</v>
      </c>
      <c r="P141" s="18">
        <v>1</v>
      </c>
      <c r="Q141" s="18" t="s">
        <v>96</v>
      </c>
      <c r="R141" s="18" t="s">
        <v>187</v>
      </c>
      <c r="S141" s="18" t="s">
        <v>188</v>
      </c>
      <c r="T141" s="18" t="s">
        <v>189</v>
      </c>
      <c r="AQ141">
        <v>866</v>
      </c>
      <c r="AR141">
        <v>4431</v>
      </c>
      <c r="AS141">
        <v>3987</v>
      </c>
      <c r="AT141">
        <v>3709</v>
      </c>
      <c r="AU141">
        <f t="shared" si="10"/>
        <v>278</v>
      </c>
      <c r="AV141">
        <f t="shared" si="9"/>
        <v>36</v>
      </c>
      <c r="BD141" s="48" t="s">
        <v>733</v>
      </c>
      <c r="BE141" s="31"/>
      <c r="BF141" s="31"/>
      <c r="BG141" s="31"/>
    </row>
    <row r="142" spans="1:61" x14ac:dyDescent="0.25">
      <c r="A142" s="18">
        <v>26</v>
      </c>
      <c r="B142" s="18" t="s">
        <v>190</v>
      </c>
      <c r="C142" s="18" t="s">
        <v>50</v>
      </c>
      <c r="E142" s="18" t="s">
        <v>50</v>
      </c>
      <c r="F142" s="18">
        <v>-4.5</v>
      </c>
      <c r="G142" s="18">
        <v>1.831</v>
      </c>
      <c r="H142" s="18">
        <v>8.9999999999999993E-3</v>
      </c>
      <c r="I142" s="18">
        <v>-14.05</v>
      </c>
      <c r="J142" s="18">
        <v>-2.5259999999999998</v>
      </c>
      <c r="K142" s="18">
        <v>1.2999999999999999E-2</v>
      </c>
      <c r="L142" s="18" t="s">
        <v>178</v>
      </c>
      <c r="M142" s="18">
        <v>4</v>
      </c>
      <c r="N142" s="18">
        <v>600</v>
      </c>
      <c r="O142" s="18">
        <v>90</v>
      </c>
      <c r="P142" s="18">
        <v>1</v>
      </c>
      <c r="Q142" s="18" t="s">
        <v>96</v>
      </c>
      <c r="R142" s="18" t="s">
        <v>191</v>
      </c>
      <c r="S142" s="18" t="s">
        <v>192</v>
      </c>
      <c r="T142" s="18" t="s">
        <v>193</v>
      </c>
      <c r="AQ142">
        <v>862</v>
      </c>
      <c r="AR142">
        <v>4278</v>
      </c>
      <c r="AS142">
        <v>3817</v>
      </c>
      <c r="AT142">
        <v>3553</v>
      </c>
      <c r="AU142">
        <f t="shared" si="10"/>
        <v>264</v>
      </c>
      <c r="AV142">
        <f t="shared" si="9"/>
        <v>36</v>
      </c>
      <c r="AX142" t="s">
        <v>505</v>
      </c>
      <c r="BA142" t="s">
        <v>607</v>
      </c>
      <c r="BD142" t="s">
        <v>734</v>
      </c>
    </row>
    <row r="143" spans="1:61" x14ac:dyDescent="0.25">
      <c r="A143" s="18">
        <v>28</v>
      </c>
      <c r="B143" s="18" t="s">
        <v>203</v>
      </c>
      <c r="C143" s="18" t="s">
        <v>50</v>
      </c>
      <c r="E143" s="18" t="s">
        <v>50</v>
      </c>
      <c r="F143" s="18">
        <v>-4.5</v>
      </c>
      <c r="G143" s="18">
        <v>1.762</v>
      </c>
      <c r="H143" s="18">
        <v>5.0000000000000001E-3</v>
      </c>
      <c r="I143" s="18">
        <v>-14.05</v>
      </c>
      <c r="J143" s="18">
        <v>-2.6240000000000001</v>
      </c>
      <c r="K143" s="18">
        <v>1.2999999999999999E-2</v>
      </c>
      <c r="L143" s="18" t="s">
        <v>199</v>
      </c>
      <c r="M143" s="18">
        <v>4</v>
      </c>
      <c r="N143" s="18">
        <v>720</v>
      </c>
      <c r="O143" s="18">
        <v>90</v>
      </c>
      <c r="P143" s="18">
        <v>1</v>
      </c>
      <c r="Q143" s="18" t="s">
        <v>96</v>
      </c>
      <c r="R143" s="18" t="s">
        <v>204</v>
      </c>
      <c r="S143" s="18" t="s">
        <v>205</v>
      </c>
      <c r="T143" s="18" t="s">
        <v>206</v>
      </c>
      <c r="AQ143">
        <v>905</v>
      </c>
      <c r="AR143">
        <v>4776</v>
      </c>
      <c r="AS143">
        <v>4246</v>
      </c>
      <c r="AT143">
        <v>3948</v>
      </c>
      <c r="AU143">
        <f t="shared" si="10"/>
        <v>298</v>
      </c>
      <c r="AV143">
        <f t="shared" si="9"/>
        <v>36</v>
      </c>
      <c r="AX143" s="36"/>
      <c r="AY143" s="36" t="s">
        <v>351</v>
      </c>
      <c r="AZ143" s="36" t="s">
        <v>352</v>
      </c>
      <c r="BA143" s="36"/>
      <c r="BB143" s="36" t="s">
        <v>351</v>
      </c>
      <c r="BC143" s="36" t="s">
        <v>352</v>
      </c>
      <c r="BD143" s="36"/>
      <c r="BE143" s="36" t="s">
        <v>351</v>
      </c>
      <c r="BF143" s="36" t="s">
        <v>352</v>
      </c>
      <c r="BG143" s="52" t="s">
        <v>739</v>
      </c>
      <c r="BH143" s="51"/>
      <c r="BI143" s="52" t="s">
        <v>740</v>
      </c>
    </row>
    <row r="144" spans="1:61" x14ac:dyDescent="0.25">
      <c r="A144" s="18">
        <v>29</v>
      </c>
      <c r="B144" s="18" t="s">
        <v>207</v>
      </c>
      <c r="C144" s="18" t="s">
        <v>50</v>
      </c>
      <c r="E144" s="18" t="s">
        <v>50</v>
      </c>
      <c r="F144" s="18">
        <v>-4.5</v>
      </c>
      <c r="G144" s="18">
        <v>1.78</v>
      </c>
      <c r="H144" s="18">
        <v>7.0000000000000001E-3</v>
      </c>
      <c r="I144" s="18">
        <v>-14.05</v>
      </c>
      <c r="J144" s="18">
        <v>-2.5680000000000001</v>
      </c>
      <c r="K144" s="18">
        <v>1.2E-2</v>
      </c>
      <c r="L144" s="18" t="s">
        <v>199</v>
      </c>
      <c r="M144" s="18">
        <v>4</v>
      </c>
      <c r="N144" s="18">
        <v>720</v>
      </c>
      <c r="O144" s="18">
        <v>90</v>
      </c>
      <c r="P144" s="18">
        <v>1</v>
      </c>
      <c r="Q144" s="18" t="s">
        <v>96</v>
      </c>
      <c r="R144" s="18" t="s">
        <v>208</v>
      </c>
      <c r="S144" s="18" t="s">
        <v>209</v>
      </c>
      <c r="T144" s="18" t="s">
        <v>210</v>
      </c>
      <c r="AQ144">
        <v>866</v>
      </c>
      <c r="AR144">
        <v>4317</v>
      </c>
      <c r="AS144">
        <v>3896</v>
      </c>
      <c r="AT144">
        <v>3626</v>
      </c>
      <c r="AU144">
        <f t="shared" si="10"/>
        <v>270</v>
      </c>
      <c r="AV144">
        <f t="shared" si="9"/>
        <v>36</v>
      </c>
      <c r="AX144" s="36" t="s">
        <v>502</v>
      </c>
      <c r="AY144" s="37">
        <f>AVERAGE(J113:J146)</f>
        <v>-2.5736666666666661</v>
      </c>
      <c r="AZ144" s="37">
        <f>AVERAGE(G113:G146)</f>
        <v>1.7876666666666667</v>
      </c>
      <c r="BA144" s="36" t="s">
        <v>502</v>
      </c>
      <c r="BB144" s="37">
        <f>AVERAGE(F7:F33,J37:J66,H70:H107,J113:J146)</f>
        <v>-2.5263359375000003</v>
      </c>
      <c r="BC144" s="37">
        <f>AVERAGE(C7:C33,G37:G66,F70:F107,G113:G146)</f>
        <v>1.8054765624999993</v>
      </c>
      <c r="BD144" s="36" t="s">
        <v>502</v>
      </c>
      <c r="BE144" s="37">
        <f>AVERAGE(F28:F33,J47:J66,H70:H103,J113:J146)</f>
        <v>-2.5143225806451608</v>
      </c>
      <c r="BF144" s="37">
        <f>AVERAGE(C28:C33,G47:G66,F70:F103,G113:G146)</f>
        <v>1.7954731182795693</v>
      </c>
      <c r="BG144" s="36" t="s">
        <v>351</v>
      </c>
      <c r="BH144" s="36" t="s">
        <v>352</v>
      </c>
      <c r="BI144" s="53">
        <f>AVERAGE(AH7:AH33,AQ70:AQ107,AU113:AU146)</f>
        <v>256.27551020408163</v>
      </c>
    </row>
    <row r="145" spans="1:61" x14ac:dyDescent="0.25">
      <c r="A145" s="18">
        <v>30</v>
      </c>
      <c r="B145" s="18" t="s">
        <v>211</v>
      </c>
      <c r="C145" s="18" t="s">
        <v>50</v>
      </c>
      <c r="E145" s="18" t="s">
        <v>50</v>
      </c>
      <c r="F145" s="18">
        <v>-4.5</v>
      </c>
      <c r="G145" s="18">
        <v>1.903</v>
      </c>
      <c r="H145" s="18">
        <v>8.0000000000000002E-3</v>
      </c>
      <c r="I145" s="18">
        <v>-14.05</v>
      </c>
      <c r="J145" s="18">
        <v>-2.1389999999999998</v>
      </c>
      <c r="K145" s="18">
        <v>3.2000000000000001E-2</v>
      </c>
      <c r="L145" s="18" t="s">
        <v>199</v>
      </c>
      <c r="M145" s="18">
        <v>4</v>
      </c>
      <c r="N145" s="18">
        <v>720</v>
      </c>
      <c r="O145" s="18">
        <v>90</v>
      </c>
      <c r="P145" s="18">
        <v>1</v>
      </c>
      <c r="Q145" s="18" t="s">
        <v>96</v>
      </c>
      <c r="R145" s="18" t="s">
        <v>212</v>
      </c>
      <c r="S145" s="18" t="s">
        <v>213</v>
      </c>
      <c r="T145" s="18" t="s">
        <v>214</v>
      </c>
      <c r="AQ145">
        <v>834</v>
      </c>
      <c r="AR145">
        <v>3916</v>
      </c>
      <c r="AS145">
        <v>3538</v>
      </c>
      <c r="AT145">
        <v>3293</v>
      </c>
      <c r="AU145">
        <f t="shared" si="10"/>
        <v>245</v>
      </c>
      <c r="AV145">
        <f t="shared" si="9"/>
        <v>36</v>
      </c>
      <c r="AX145" s="36" t="s">
        <v>503</v>
      </c>
      <c r="AY145" s="37">
        <f>_xlfn.STDEV.S(J113:J146)</f>
        <v>0.13703823979702409</v>
      </c>
      <c r="AZ145" s="37">
        <f>_xlfn.STDEV.S(G113:G146)</f>
        <v>5.3898438443675395E-2</v>
      </c>
      <c r="BA145" s="36" t="s">
        <v>503</v>
      </c>
      <c r="BB145" s="37">
        <f>_xlfn.STDEV.S(F7:F33,J37:J66,H70:H107,J113:J146)</f>
        <v>0.12512156465782093</v>
      </c>
      <c r="BC145" s="37">
        <f>_xlfn.STDEV.S(C7:C33,G37:G66,F70:F107,G113:G146)</f>
        <v>6.3090731421026933E-2</v>
      </c>
      <c r="BD145" s="36" t="s">
        <v>503</v>
      </c>
      <c r="BE145" s="37">
        <f>_xlfn.STDEV.S(F28:F33,J47:J66,H70:H103,J113:J146)</f>
        <v>0.11404481968776885</v>
      </c>
      <c r="BF145" s="37">
        <f>_xlfn.STDEV.S(C28:C33,G47:G66,F70:F103,G113:G146)</f>
        <v>6.7540743162255557E-2</v>
      </c>
      <c r="BG145" s="37">
        <f>AVERAGE(G7:G33,K37:K66,I70:I107,K113:K146)</f>
        <v>1.9445312499999985E-2</v>
      </c>
      <c r="BH145" s="37">
        <f>AVERAGE(D7:D33,H37:H66,G70:G107,H113:H146)</f>
        <v>1.0109374999999988E-2</v>
      </c>
      <c r="BI145" s="51" t="s">
        <v>741</v>
      </c>
    </row>
    <row r="146" spans="1:61" x14ac:dyDescent="0.25">
      <c r="A146" s="18">
        <v>31</v>
      </c>
      <c r="B146" s="18" t="s">
        <v>194</v>
      </c>
      <c r="C146" s="18" t="s">
        <v>50</v>
      </c>
      <c r="E146" s="18" t="s">
        <v>50</v>
      </c>
      <c r="F146" s="18">
        <v>-4.5</v>
      </c>
      <c r="G146" s="18">
        <v>1.8069999999999999</v>
      </c>
      <c r="H146" s="18">
        <v>8.9999999999999993E-3</v>
      </c>
      <c r="I146" s="18">
        <v>-14.05</v>
      </c>
      <c r="J146" s="18">
        <v>-2.68</v>
      </c>
      <c r="K146" s="18">
        <v>1.2999999999999999E-2</v>
      </c>
      <c r="L146" s="18" t="s">
        <v>178</v>
      </c>
      <c r="M146" s="18">
        <v>4</v>
      </c>
      <c r="N146" s="18">
        <v>600</v>
      </c>
      <c r="O146" s="18">
        <v>90</v>
      </c>
      <c r="P146" s="18">
        <v>1</v>
      </c>
      <c r="Q146" s="18" t="s">
        <v>96</v>
      </c>
      <c r="R146" s="18" t="s">
        <v>195</v>
      </c>
      <c r="S146" s="18" t="s">
        <v>196</v>
      </c>
      <c r="T146" s="18" t="s">
        <v>197</v>
      </c>
      <c r="AQ146">
        <v>791</v>
      </c>
      <c r="AR146">
        <v>3332</v>
      </c>
      <c r="AS146">
        <v>2998</v>
      </c>
      <c r="AT146">
        <v>2789</v>
      </c>
      <c r="AU146">
        <f t="shared" si="10"/>
        <v>209</v>
      </c>
      <c r="AV146">
        <f t="shared" si="9"/>
        <v>36</v>
      </c>
      <c r="AX146" s="36" t="s">
        <v>504</v>
      </c>
      <c r="AY146" s="36">
        <f>COUNT(J113:J146)</f>
        <v>33</v>
      </c>
      <c r="AZ146" s="36">
        <f>AY146</f>
        <v>33</v>
      </c>
      <c r="BA146" s="36" t="s">
        <v>504</v>
      </c>
      <c r="BB146" s="36">
        <f>COUNT(F7:F33,J37:J66,H70:H107,J113:J146)</f>
        <v>128</v>
      </c>
      <c r="BC146" s="36">
        <f>BB146</f>
        <v>128</v>
      </c>
      <c r="BD146" s="36" t="s">
        <v>504</v>
      </c>
      <c r="BE146" s="36">
        <f>COUNT(F28:F33,J47:J66,H70:H103,J113:J146)</f>
        <v>93</v>
      </c>
      <c r="BF146" s="36">
        <f>COUNT(G28:G33,K47:K66,I70:I103,K113:K146)</f>
        <v>93</v>
      </c>
      <c r="BG146" s="36">
        <f>BB146</f>
        <v>128</v>
      </c>
      <c r="BH146" s="36">
        <f>BG146</f>
        <v>128</v>
      </c>
      <c r="BI146" s="53">
        <f>MEDIAN(AH7:AH33,AQ70:AQ107,AU113:AU146)</f>
        <v>256.5</v>
      </c>
    </row>
    <row r="147" spans="1:61" x14ac:dyDescent="0.25">
      <c r="A147" s="18"/>
      <c r="B147" s="18"/>
      <c r="C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AX147" s="36"/>
      <c r="AY147" s="36"/>
      <c r="AZ147" s="36"/>
      <c r="BA147" s="36"/>
      <c r="BB147" s="36"/>
      <c r="BC147" s="36"/>
      <c r="BD147" s="36"/>
      <c r="BE147" s="36"/>
      <c r="BF147" s="36"/>
      <c r="BG147" s="36"/>
      <c r="BH147" s="36"/>
      <c r="BI147" s="53"/>
    </row>
    <row r="148" spans="1:61" x14ac:dyDescent="0.25">
      <c r="A148" s="48" t="s">
        <v>811</v>
      </c>
      <c r="B148" s="56"/>
      <c r="C148" s="31"/>
      <c r="BI148" s="35"/>
    </row>
    <row r="149" spans="1:61" x14ac:dyDescent="0.25">
      <c r="A149" s="22" t="s">
        <v>742</v>
      </c>
    </row>
    <row r="150" spans="1:61" x14ac:dyDescent="0.25">
      <c r="A150" t="s">
        <v>24</v>
      </c>
      <c r="B150" t="s">
        <v>25</v>
      </c>
      <c r="C150" t="s">
        <v>26</v>
      </c>
      <c r="D150" t="s">
        <v>36</v>
      </c>
      <c r="E150" t="s">
        <v>743</v>
      </c>
      <c r="F150" t="s">
        <v>29</v>
      </c>
      <c r="G150" t="s">
        <v>30</v>
      </c>
      <c r="H150" t="s">
        <v>744</v>
      </c>
      <c r="I150" t="s">
        <v>32</v>
      </c>
      <c r="J150" t="s">
        <v>33</v>
      </c>
      <c r="K150" t="s">
        <v>745</v>
      </c>
      <c r="L150" t="s">
        <v>35</v>
      </c>
      <c r="M150" t="s">
        <v>39</v>
      </c>
      <c r="N150" t="s">
        <v>40</v>
      </c>
      <c r="O150" t="s">
        <v>41</v>
      </c>
      <c r="P150" t="s">
        <v>42</v>
      </c>
      <c r="Q150" t="s">
        <v>43</v>
      </c>
      <c r="AO150" t="s">
        <v>746</v>
      </c>
      <c r="AP150" t="s">
        <v>747</v>
      </c>
      <c r="AQ150" t="s">
        <v>45</v>
      </c>
      <c r="AR150" t="s">
        <v>46</v>
      </c>
      <c r="AS150" t="s">
        <v>47</v>
      </c>
      <c r="AT150" t="s">
        <v>748</v>
      </c>
      <c r="AU150" t="s">
        <v>749</v>
      </c>
      <c r="AV150" t="s">
        <v>36</v>
      </c>
    </row>
    <row r="151" spans="1:61" x14ac:dyDescent="0.25">
      <c r="A151">
        <v>1</v>
      </c>
      <c r="B151" t="s">
        <v>49</v>
      </c>
      <c r="C151" t="s">
        <v>750</v>
      </c>
      <c r="D151">
        <v>3</v>
      </c>
      <c r="E151" t="s">
        <v>750</v>
      </c>
      <c r="F151">
        <v>-4.3460000000000001</v>
      </c>
      <c r="G151">
        <v>1.9039999999999999</v>
      </c>
      <c r="H151">
        <v>2.7E-2</v>
      </c>
      <c r="I151">
        <v>-13.739000000000001</v>
      </c>
      <c r="J151">
        <v>-1.8440000000000001</v>
      </c>
      <c r="K151">
        <v>8.3000000000000004E-2</v>
      </c>
      <c r="L151" t="s">
        <v>751</v>
      </c>
      <c r="M151">
        <v>1</v>
      </c>
      <c r="N151" s="7">
        <v>42243</v>
      </c>
      <c r="O151" s="8">
        <v>1462.6783912037038</v>
      </c>
      <c r="P151" t="s">
        <v>752</v>
      </c>
      <c r="Q151" t="s">
        <v>753</v>
      </c>
      <c r="AO151">
        <v>607</v>
      </c>
      <c r="AP151">
        <v>607</v>
      </c>
      <c r="AQ151">
        <v>2123</v>
      </c>
      <c r="AR151">
        <v>1828</v>
      </c>
      <c r="AS151">
        <v>1699</v>
      </c>
      <c r="AT151">
        <v>129</v>
      </c>
      <c r="AU151" s="54">
        <f>2*8</f>
        <v>16</v>
      </c>
      <c r="AV151">
        <v>3</v>
      </c>
    </row>
    <row r="152" spans="1:61" x14ac:dyDescent="0.25">
      <c r="A152">
        <v>2</v>
      </c>
      <c r="B152" t="s">
        <v>56</v>
      </c>
      <c r="C152" t="s">
        <v>750</v>
      </c>
      <c r="D152">
        <v>3</v>
      </c>
      <c r="E152" t="s">
        <v>750</v>
      </c>
      <c r="F152">
        <v>-4.3460000000000001</v>
      </c>
      <c r="G152">
        <v>1.853</v>
      </c>
      <c r="H152">
        <v>1.2E-2</v>
      </c>
      <c r="I152">
        <v>-13.739000000000001</v>
      </c>
      <c r="J152">
        <v>-2.2429999999999999</v>
      </c>
      <c r="K152">
        <v>3.5000000000000003E-2</v>
      </c>
      <c r="L152" t="s">
        <v>751</v>
      </c>
      <c r="M152">
        <v>1</v>
      </c>
      <c r="N152" s="7">
        <v>42243</v>
      </c>
      <c r="O152" s="8" t="s">
        <v>754</v>
      </c>
      <c r="P152" t="s">
        <v>755</v>
      </c>
      <c r="Q152" t="s">
        <v>756</v>
      </c>
      <c r="AO152">
        <v>551</v>
      </c>
      <c r="AP152">
        <v>551</v>
      </c>
      <c r="AQ152">
        <v>1687</v>
      </c>
      <c r="AR152">
        <v>1484</v>
      </c>
      <c r="AS152">
        <v>1381</v>
      </c>
      <c r="AT152">
        <v>103</v>
      </c>
      <c r="AU152" s="54">
        <f t="shared" ref="AU152:AU155" si="11">2*8</f>
        <v>16</v>
      </c>
      <c r="AV152">
        <v>3</v>
      </c>
    </row>
    <row r="153" spans="1:61" x14ac:dyDescent="0.25">
      <c r="A153">
        <v>3</v>
      </c>
      <c r="B153" t="s">
        <v>60</v>
      </c>
      <c r="C153" t="s">
        <v>750</v>
      </c>
      <c r="D153">
        <v>3</v>
      </c>
      <c r="E153" t="s">
        <v>750</v>
      </c>
      <c r="F153">
        <v>-4.3460000000000001</v>
      </c>
      <c r="G153">
        <v>1.968</v>
      </c>
      <c r="H153">
        <v>1.2999999999999999E-2</v>
      </c>
      <c r="I153">
        <v>-13.739000000000001</v>
      </c>
      <c r="J153">
        <v>-2.0859999999999999</v>
      </c>
      <c r="K153">
        <v>5.2999999999999999E-2</v>
      </c>
      <c r="L153" t="s">
        <v>751</v>
      </c>
      <c r="M153">
        <v>1</v>
      </c>
      <c r="N153" s="7">
        <v>42243</v>
      </c>
      <c r="O153" s="8">
        <v>1462.7228009259259</v>
      </c>
      <c r="P153" t="s">
        <v>757</v>
      </c>
      <c r="Q153" t="s">
        <v>758</v>
      </c>
      <c r="AO153">
        <v>476</v>
      </c>
      <c r="AP153">
        <v>476</v>
      </c>
      <c r="AQ153">
        <v>1283</v>
      </c>
      <c r="AR153">
        <v>1147</v>
      </c>
      <c r="AS153">
        <v>1069</v>
      </c>
      <c r="AT153">
        <v>78</v>
      </c>
      <c r="AU153" s="54">
        <f t="shared" si="11"/>
        <v>16</v>
      </c>
      <c r="AV153">
        <v>3</v>
      </c>
    </row>
    <row r="154" spans="1:61" x14ac:dyDescent="0.25">
      <c r="A154">
        <v>4</v>
      </c>
      <c r="B154" t="s">
        <v>64</v>
      </c>
      <c r="C154" t="s">
        <v>750</v>
      </c>
      <c r="D154">
        <v>3</v>
      </c>
      <c r="E154" t="s">
        <v>750</v>
      </c>
      <c r="F154">
        <v>-4.3460000000000001</v>
      </c>
      <c r="G154">
        <v>1.9019999999999999</v>
      </c>
      <c r="H154">
        <v>2.9000000000000001E-2</v>
      </c>
      <c r="I154">
        <v>-13.739000000000001</v>
      </c>
      <c r="J154">
        <v>-2.3580000000000001</v>
      </c>
      <c r="K154">
        <v>3.3000000000000002E-2</v>
      </c>
      <c r="L154" t="s">
        <v>751</v>
      </c>
      <c r="M154">
        <v>1</v>
      </c>
      <c r="N154" s="7">
        <v>42243</v>
      </c>
      <c r="O154" s="8">
        <v>1462.7448726851851</v>
      </c>
      <c r="P154" t="s">
        <v>759</v>
      </c>
      <c r="Q154" t="s">
        <v>760</v>
      </c>
      <c r="AO154">
        <v>536</v>
      </c>
      <c r="AP154">
        <v>536</v>
      </c>
      <c r="AQ154">
        <v>1588</v>
      </c>
      <c r="AR154">
        <v>1410</v>
      </c>
      <c r="AS154">
        <v>1313</v>
      </c>
      <c r="AT154">
        <v>97</v>
      </c>
      <c r="AU154" s="54">
        <f t="shared" si="11"/>
        <v>16</v>
      </c>
      <c r="AV154">
        <v>3</v>
      </c>
    </row>
    <row r="155" spans="1:61" x14ac:dyDescent="0.25">
      <c r="A155">
        <v>5</v>
      </c>
      <c r="B155" t="s">
        <v>110</v>
      </c>
      <c r="C155" t="s">
        <v>750</v>
      </c>
      <c r="D155">
        <v>3</v>
      </c>
      <c r="E155" t="s">
        <v>750</v>
      </c>
      <c r="F155">
        <v>-4.3460000000000001</v>
      </c>
      <c r="G155">
        <v>1.9610000000000001</v>
      </c>
      <c r="H155">
        <v>1.4E-2</v>
      </c>
      <c r="I155">
        <v>-13.739000000000001</v>
      </c>
      <c r="J155">
        <v>-2.2559999999999998</v>
      </c>
      <c r="K155">
        <v>3.5000000000000003E-2</v>
      </c>
      <c r="L155" t="s">
        <v>751</v>
      </c>
      <c r="M155">
        <v>1</v>
      </c>
      <c r="N155" s="7">
        <v>42243</v>
      </c>
      <c r="O155" s="8">
        <v>1462.7685532407406</v>
      </c>
      <c r="P155" t="s">
        <v>761</v>
      </c>
      <c r="Q155" t="s">
        <v>762</v>
      </c>
      <c r="AO155">
        <v>575</v>
      </c>
      <c r="AP155">
        <v>575</v>
      </c>
      <c r="AQ155">
        <v>1755</v>
      </c>
      <c r="AR155">
        <v>1525</v>
      </c>
      <c r="AS155">
        <v>1444</v>
      </c>
      <c r="AT155">
        <v>81</v>
      </c>
      <c r="AU155" s="54">
        <f t="shared" si="11"/>
        <v>16</v>
      </c>
      <c r="AV155">
        <v>3</v>
      </c>
      <c r="AX155" t="s">
        <v>505</v>
      </c>
    </row>
    <row r="156" spans="1:61" x14ac:dyDescent="0.25">
      <c r="A156">
        <v>6</v>
      </c>
      <c r="B156" t="s">
        <v>114</v>
      </c>
      <c r="C156" t="s">
        <v>763</v>
      </c>
      <c r="D156">
        <v>3</v>
      </c>
      <c r="E156" t="s">
        <v>763</v>
      </c>
      <c r="F156">
        <v>-4.3460000000000001</v>
      </c>
      <c r="G156">
        <v>1.97</v>
      </c>
      <c r="H156">
        <v>6.0000000000000001E-3</v>
      </c>
      <c r="I156">
        <v>-13.739000000000001</v>
      </c>
      <c r="J156">
        <v>-2.278</v>
      </c>
      <c r="K156">
        <v>2.9000000000000001E-2</v>
      </c>
      <c r="L156" t="s">
        <v>751</v>
      </c>
      <c r="M156">
        <v>1</v>
      </c>
      <c r="N156" s="7">
        <v>42243</v>
      </c>
      <c r="O156" s="8">
        <v>1462.7922106481481</v>
      </c>
      <c r="P156" t="s">
        <v>764</v>
      </c>
      <c r="Q156" t="s">
        <v>765</v>
      </c>
      <c r="AO156">
        <v>625</v>
      </c>
      <c r="AP156">
        <v>625</v>
      </c>
      <c r="AQ156">
        <v>2192</v>
      </c>
      <c r="AR156">
        <v>2004</v>
      </c>
      <c r="AS156">
        <v>1868</v>
      </c>
      <c r="AT156">
        <v>136</v>
      </c>
      <c r="AU156" s="54">
        <f>2*10</f>
        <v>20</v>
      </c>
      <c r="AV156">
        <v>3</v>
      </c>
      <c r="AX156" s="36"/>
      <c r="AY156" s="36" t="s">
        <v>351</v>
      </c>
      <c r="AZ156" s="36" t="s">
        <v>352</v>
      </c>
    </row>
    <row r="157" spans="1:61" x14ac:dyDescent="0.25">
      <c r="A157">
        <v>7</v>
      </c>
      <c r="B157" t="s">
        <v>68</v>
      </c>
      <c r="C157" t="s">
        <v>763</v>
      </c>
      <c r="D157">
        <v>3</v>
      </c>
      <c r="E157" t="s">
        <v>763</v>
      </c>
      <c r="F157">
        <v>-4.3460000000000001</v>
      </c>
      <c r="G157">
        <v>1.6160000000000001</v>
      </c>
      <c r="H157">
        <v>1.0999999999999999E-2</v>
      </c>
      <c r="I157">
        <v>-13.739000000000001</v>
      </c>
      <c r="J157">
        <v>-2.6850000000000001</v>
      </c>
      <c r="K157">
        <v>2.1000000000000001E-2</v>
      </c>
      <c r="L157" t="s">
        <v>751</v>
      </c>
      <c r="M157">
        <v>1</v>
      </c>
      <c r="N157" s="7">
        <v>42243</v>
      </c>
      <c r="O157" s="8">
        <v>1462.8150115740741</v>
      </c>
      <c r="P157" t="s">
        <v>766</v>
      </c>
      <c r="Q157" t="s">
        <v>767</v>
      </c>
      <c r="AO157">
        <v>650</v>
      </c>
      <c r="AP157">
        <v>650</v>
      </c>
      <c r="AQ157">
        <v>2259</v>
      </c>
      <c r="AR157">
        <v>2063</v>
      </c>
      <c r="AS157">
        <v>1920</v>
      </c>
      <c r="AT157">
        <v>143</v>
      </c>
      <c r="AU157" s="54">
        <f t="shared" ref="AU157:AU160" si="12">2*10</f>
        <v>20</v>
      </c>
      <c r="AV157">
        <v>3</v>
      </c>
      <c r="AX157" s="36" t="s">
        <v>502</v>
      </c>
      <c r="AY157" s="37">
        <f>AVERAGE(J151:J160)</f>
        <v>-2.2755999999999998</v>
      </c>
      <c r="AZ157" s="37">
        <f>AVERAGE(G151:G160)</f>
        <v>1.9090999999999998</v>
      </c>
    </row>
    <row r="158" spans="1:61" x14ac:dyDescent="0.25">
      <c r="A158">
        <v>8</v>
      </c>
      <c r="B158" t="s">
        <v>74</v>
      </c>
      <c r="C158" t="s">
        <v>763</v>
      </c>
      <c r="D158">
        <v>3</v>
      </c>
      <c r="E158" t="s">
        <v>763</v>
      </c>
      <c r="F158">
        <v>-4.3460000000000001</v>
      </c>
      <c r="G158">
        <v>1.915</v>
      </c>
      <c r="H158">
        <v>6.0000000000000001E-3</v>
      </c>
      <c r="I158">
        <v>-13.739000000000001</v>
      </c>
      <c r="J158">
        <v>-2.2919999999999998</v>
      </c>
      <c r="K158">
        <v>1.7000000000000001E-2</v>
      </c>
      <c r="L158" t="s">
        <v>751</v>
      </c>
      <c r="M158">
        <v>1</v>
      </c>
      <c r="N158" s="7">
        <v>42243</v>
      </c>
      <c r="O158" s="8">
        <v>1462.8384953703703</v>
      </c>
      <c r="P158" t="s">
        <v>768</v>
      </c>
      <c r="Q158" t="s">
        <v>769</v>
      </c>
      <c r="AO158">
        <v>639</v>
      </c>
      <c r="AP158">
        <v>639</v>
      </c>
      <c r="AQ158">
        <v>2137</v>
      </c>
      <c r="AR158">
        <v>1951</v>
      </c>
      <c r="AS158">
        <v>1817</v>
      </c>
      <c r="AT158">
        <v>134</v>
      </c>
      <c r="AU158" s="54">
        <f t="shared" si="12"/>
        <v>20</v>
      </c>
      <c r="AV158">
        <v>3</v>
      </c>
      <c r="AX158" s="36" t="s">
        <v>503</v>
      </c>
      <c r="AY158" s="37">
        <f>_xlfn.STDEV.S(J151:J160)</f>
        <v>0.21683337176530532</v>
      </c>
      <c r="AZ158" s="37">
        <f>_xlfn.STDEV.S(G151:G160)</f>
        <v>0.11455561482916878</v>
      </c>
    </row>
    <row r="159" spans="1:61" x14ac:dyDescent="0.25">
      <c r="A159">
        <v>9</v>
      </c>
      <c r="B159" t="s">
        <v>78</v>
      </c>
      <c r="C159" t="s">
        <v>763</v>
      </c>
      <c r="D159">
        <v>3</v>
      </c>
      <c r="E159" t="s">
        <v>763</v>
      </c>
      <c r="F159">
        <v>-4.3460000000000001</v>
      </c>
      <c r="G159">
        <v>2.0339999999999998</v>
      </c>
      <c r="H159">
        <v>2.5999999999999999E-2</v>
      </c>
      <c r="I159">
        <v>-13.739000000000001</v>
      </c>
      <c r="J159">
        <v>-2.4329999999999998</v>
      </c>
      <c r="K159">
        <v>4.3999999999999997E-2</v>
      </c>
      <c r="L159" t="s">
        <v>751</v>
      </c>
      <c r="M159">
        <v>1</v>
      </c>
      <c r="N159" s="7">
        <v>42243</v>
      </c>
      <c r="O159" s="8">
        <v>1462.8620601851851</v>
      </c>
      <c r="P159" t="s">
        <v>770</v>
      </c>
      <c r="Q159" t="s">
        <v>771</v>
      </c>
      <c r="AO159">
        <v>572</v>
      </c>
      <c r="AP159">
        <v>572</v>
      </c>
      <c r="AQ159">
        <v>1756</v>
      </c>
      <c r="AR159">
        <v>1525</v>
      </c>
      <c r="AS159">
        <v>1440</v>
      </c>
      <c r="AT159">
        <v>85</v>
      </c>
      <c r="AU159" s="54">
        <f t="shared" si="12"/>
        <v>20</v>
      </c>
      <c r="AV159">
        <v>3</v>
      </c>
      <c r="AX159" s="36" t="s">
        <v>504</v>
      </c>
      <c r="AY159" s="36">
        <f>COUNT(J151:J160)</f>
        <v>10</v>
      </c>
      <c r="AZ159" s="36">
        <f>AY159</f>
        <v>10</v>
      </c>
    </row>
    <row r="160" spans="1:61" x14ac:dyDescent="0.25">
      <c r="A160">
        <v>10</v>
      </c>
      <c r="B160" t="s">
        <v>82</v>
      </c>
      <c r="C160" t="s">
        <v>763</v>
      </c>
      <c r="D160">
        <v>3</v>
      </c>
      <c r="E160" t="s">
        <v>763</v>
      </c>
      <c r="F160">
        <v>-4.3460000000000001</v>
      </c>
      <c r="G160">
        <v>1.968</v>
      </c>
      <c r="H160">
        <v>1.6E-2</v>
      </c>
      <c r="I160">
        <v>-13.739000000000001</v>
      </c>
      <c r="J160">
        <v>-2.2810000000000001</v>
      </c>
      <c r="K160">
        <v>5.5E-2</v>
      </c>
      <c r="L160" t="s">
        <v>751</v>
      </c>
      <c r="M160">
        <v>1</v>
      </c>
      <c r="N160" s="7">
        <v>42243</v>
      </c>
      <c r="O160" s="8">
        <v>1462.8849074074074</v>
      </c>
      <c r="P160" t="s">
        <v>772</v>
      </c>
      <c r="Q160" t="s">
        <v>773</v>
      </c>
      <c r="AO160">
        <v>632</v>
      </c>
      <c r="AP160">
        <v>632</v>
      </c>
      <c r="AQ160">
        <v>2078</v>
      </c>
      <c r="AR160">
        <v>1908</v>
      </c>
      <c r="AS160">
        <v>1777</v>
      </c>
      <c r="AT160">
        <v>131</v>
      </c>
      <c r="AU160" s="54">
        <f t="shared" si="12"/>
        <v>20</v>
      </c>
      <c r="AV160">
        <v>3</v>
      </c>
      <c r="AX160" s="36"/>
      <c r="AY160" s="36"/>
      <c r="AZ160" s="36"/>
    </row>
  </sheetData>
  <pageMargins left="0.511811024" right="0.511811024" top="0.78740157499999996" bottom="0.78740157499999996" header="0.31496062000000002" footer="0.31496062000000002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177"/>
  <sheetViews>
    <sheetView topLeftCell="A168" workbookViewId="0">
      <selection activeCell="A148" sqref="A148:C148"/>
    </sheetView>
  </sheetViews>
  <sheetFormatPr defaultColWidth="11.42578125" defaultRowHeight="15" x14ac:dyDescent="0.25"/>
  <sheetData>
    <row r="1" spans="1:38" x14ac:dyDescent="0.25">
      <c r="A1" t="s">
        <v>218</v>
      </c>
    </row>
    <row r="2" spans="1:38" x14ac:dyDescent="0.25">
      <c r="A2" t="s">
        <v>501</v>
      </c>
    </row>
    <row r="4" spans="1:38" x14ac:dyDescent="0.25">
      <c r="A4" s="23">
        <v>42215</v>
      </c>
    </row>
    <row r="5" spans="1:38" x14ac:dyDescent="0.25">
      <c r="A5" t="s">
        <v>219</v>
      </c>
      <c r="B5" s="18" t="s">
        <v>29</v>
      </c>
      <c r="C5" s="18" t="s">
        <v>30</v>
      </c>
      <c r="D5" s="18" t="s">
        <v>31</v>
      </c>
      <c r="E5" s="18" t="s">
        <v>32</v>
      </c>
      <c r="F5" s="18" t="s">
        <v>33</v>
      </c>
      <c r="G5" s="18" t="s">
        <v>34</v>
      </c>
      <c r="H5" s="18" t="s">
        <v>35</v>
      </c>
    </row>
    <row r="6" spans="1:38" x14ac:dyDescent="0.25">
      <c r="B6" s="18"/>
      <c r="C6" s="18"/>
      <c r="D6" s="18"/>
      <c r="E6" s="18"/>
      <c r="F6" s="18"/>
      <c r="G6" s="18"/>
      <c r="H6" s="18"/>
      <c r="AB6" t="s">
        <v>36</v>
      </c>
      <c r="AC6" t="s">
        <v>44</v>
      </c>
      <c r="AD6" t="s">
        <v>45</v>
      </c>
      <c r="AE6" t="s">
        <v>46</v>
      </c>
      <c r="AF6" t="s">
        <v>47</v>
      </c>
      <c r="AG6" t="s">
        <v>220</v>
      </c>
      <c r="AH6" t="s">
        <v>48</v>
      </c>
    </row>
    <row r="7" spans="1:38" x14ac:dyDescent="0.25">
      <c r="A7" t="s">
        <v>222</v>
      </c>
      <c r="B7" s="18">
        <v>-4.5</v>
      </c>
      <c r="C7" s="18">
        <v>1.8360000000000001</v>
      </c>
      <c r="D7" s="18">
        <v>5.0000000000000001E-3</v>
      </c>
      <c r="E7" s="18">
        <v>-14.05</v>
      </c>
      <c r="F7" s="18">
        <v>-2.3879999999999999</v>
      </c>
      <c r="G7" s="18">
        <v>2.1000000000000001E-2</v>
      </c>
      <c r="H7" s="18" t="s">
        <v>223</v>
      </c>
      <c r="I7" t="s">
        <v>224</v>
      </c>
      <c r="J7" t="s">
        <v>225</v>
      </c>
      <c r="K7" t="s">
        <v>226</v>
      </c>
      <c r="L7" t="s">
        <v>227</v>
      </c>
      <c r="M7" t="s">
        <v>228</v>
      </c>
      <c r="N7" t="s">
        <v>229</v>
      </c>
      <c r="O7" t="s">
        <v>230</v>
      </c>
      <c r="P7" t="s">
        <v>231</v>
      </c>
      <c r="Q7" t="s">
        <v>232</v>
      </c>
      <c r="R7" t="s">
        <v>233</v>
      </c>
      <c r="S7" t="s">
        <v>234</v>
      </c>
      <c r="T7" t="s">
        <v>235</v>
      </c>
      <c r="U7" t="s">
        <v>236</v>
      </c>
      <c r="V7" t="s">
        <v>237</v>
      </c>
      <c r="W7" t="s">
        <v>238</v>
      </c>
      <c r="X7" t="s">
        <v>239</v>
      </c>
      <c r="AB7">
        <v>3</v>
      </c>
      <c r="AC7">
        <v>795</v>
      </c>
      <c r="AD7">
        <v>3536</v>
      </c>
      <c r="AE7">
        <v>3173</v>
      </c>
      <c r="AF7">
        <v>2949</v>
      </c>
      <c r="AG7">
        <v>27</v>
      </c>
      <c r="AH7" s="35">
        <f>AE7-AF7</f>
        <v>224</v>
      </c>
    </row>
    <row r="8" spans="1:38" x14ac:dyDescent="0.25">
      <c r="A8" t="s">
        <v>240</v>
      </c>
      <c r="B8" s="18">
        <v>-4.5</v>
      </c>
      <c r="C8" s="18">
        <v>1.8049999999999999</v>
      </c>
      <c r="D8" s="18">
        <v>1.7999999999999999E-2</v>
      </c>
      <c r="E8" s="18">
        <v>-14.05</v>
      </c>
      <c r="F8" s="18">
        <v>-2.427</v>
      </c>
      <c r="G8" s="18">
        <v>2.5000000000000001E-2</v>
      </c>
      <c r="H8" s="18" t="s">
        <v>223</v>
      </c>
      <c r="I8" t="s">
        <v>241</v>
      </c>
      <c r="J8" t="s">
        <v>242</v>
      </c>
      <c r="K8" t="s">
        <v>243</v>
      </c>
      <c r="L8" t="s">
        <v>244</v>
      </c>
      <c r="M8" t="s">
        <v>229</v>
      </c>
      <c r="N8" t="s">
        <v>245</v>
      </c>
      <c r="O8" t="s">
        <v>246</v>
      </c>
      <c r="P8" t="s">
        <v>247</v>
      </c>
      <c r="Q8" t="s">
        <v>248</v>
      </c>
      <c r="R8" t="s">
        <v>249</v>
      </c>
      <c r="S8" t="s">
        <v>250</v>
      </c>
      <c r="T8" t="s">
        <v>251</v>
      </c>
      <c r="U8" t="s">
        <v>252</v>
      </c>
      <c r="V8" t="s">
        <v>253</v>
      </c>
      <c r="AB8">
        <v>3</v>
      </c>
      <c r="AC8">
        <v>841</v>
      </c>
      <c r="AD8">
        <v>4302</v>
      </c>
      <c r="AE8">
        <v>3851</v>
      </c>
      <c r="AF8">
        <v>3580</v>
      </c>
      <c r="AG8">
        <v>27</v>
      </c>
      <c r="AH8" s="35">
        <f t="shared" ref="AH8:AH33" si="0">AE8-AF8</f>
        <v>271</v>
      </c>
    </row>
    <row r="9" spans="1:38" x14ac:dyDescent="0.25">
      <c r="A9" t="s">
        <v>254</v>
      </c>
      <c r="B9" s="18">
        <v>-4.5</v>
      </c>
      <c r="C9" s="18">
        <v>1.8220000000000001</v>
      </c>
      <c r="D9" s="18">
        <v>2.3E-2</v>
      </c>
      <c r="E9" s="18">
        <v>-14.05</v>
      </c>
      <c r="F9" s="18">
        <v>-2.238</v>
      </c>
      <c r="G9" s="18">
        <v>2.5000000000000001E-2</v>
      </c>
      <c r="H9" s="18" t="s">
        <v>255</v>
      </c>
      <c r="I9" t="s">
        <v>256</v>
      </c>
      <c r="J9" t="s">
        <v>242</v>
      </c>
      <c r="K9" t="s">
        <v>257</v>
      </c>
      <c r="L9" t="s">
        <v>258</v>
      </c>
      <c r="M9" t="s">
        <v>229</v>
      </c>
      <c r="N9" t="s">
        <v>259</v>
      </c>
      <c r="O9" t="s">
        <v>260</v>
      </c>
      <c r="P9" t="s">
        <v>261</v>
      </c>
      <c r="Q9" t="s">
        <v>233</v>
      </c>
      <c r="R9" t="s">
        <v>234</v>
      </c>
      <c r="S9" t="s">
        <v>262</v>
      </c>
      <c r="T9" t="s">
        <v>263</v>
      </c>
      <c r="U9" t="s">
        <v>264</v>
      </c>
      <c r="V9" t="s">
        <v>265</v>
      </c>
      <c r="W9" t="s">
        <v>266</v>
      </c>
      <c r="AB9">
        <v>3</v>
      </c>
      <c r="AC9">
        <v>466</v>
      </c>
      <c r="AD9">
        <v>1138</v>
      </c>
      <c r="AE9">
        <v>1063</v>
      </c>
      <c r="AF9">
        <v>992</v>
      </c>
      <c r="AG9">
        <v>9</v>
      </c>
      <c r="AH9" s="35">
        <f t="shared" si="0"/>
        <v>71</v>
      </c>
    </row>
    <row r="10" spans="1:38" x14ac:dyDescent="0.25">
      <c r="A10" s="27" t="s">
        <v>267</v>
      </c>
      <c r="B10" s="28">
        <v>1.804</v>
      </c>
      <c r="C10" s="28">
        <v>1.798</v>
      </c>
      <c r="D10" s="28">
        <v>8.9999999999999993E-3</v>
      </c>
      <c r="E10" s="28">
        <v>-3.0859999999999999</v>
      </c>
      <c r="F10" s="28">
        <v>-2.8780000000000001</v>
      </c>
      <c r="G10" s="28">
        <v>6.6000000000000003E-2</v>
      </c>
      <c r="H10" s="28" t="s">
        <v>255</v>
      </c>
      <c r="I10" s="27" t="s">
        <v>268</v>
      </c>
      <c r="J10" s="27" t="s">
        <v>242</v>
      </c>
      <c r="K10" s="27" t="s">
        <v>269</v>
      </c>
      <c r="L10" s="27" t="s">
        <v>270</v>
      </c>
      <c r="M10" s="27" t="s">
        <v>229</v>
      </c>
      <c r="N10" s="27" t="s">
        <v>271</v>
      </c>
      <c r="O10" s="27" t="s">
        <v>272</v>
      </c>
      <c r="P10" s="27" t="s">
        <v>273</v>
      </c>
      <c r="Q10" s="27" t="s">
        <v>234</v>
      </c>
      <c r="R10" s="27" t="s">
        <v>274</v>
      </c>
      <c r="S10" s="27" t="s">
        <v>275</v>
      </c>
      <c r="T10" s="27" t="s">
        <v>276</v>
      </c>
      <c r="U10" s="27" t="s">
        <v>277</v>
      </c>
      <c r="V10" s="27" t="s">
        <v>278</v>
      </c>
      <c r="W10" s="27"/>
      <c r="X10" s="27"/>
      <c r="Y10" s="27"/>
      <c r="Z10" s="27"/>
      <c r="AA10" s="27"/>
      <c r="AB10">
        <v>3</v>
      </c>
      <c r="AC10" s="27">
        <v>434</v>
      </c>
      <c r="AD10" s="27">
        <v>929</v>
      </c>
      <c r="AE10" s="27">
        <v>872</v>
      </c>
      <c r="AF10" s="27">
        <v>897</v>
      </c>
      <c r="AG10" s="27">
        <v>9</v>
      </c>
      <c r="AH10" s="35">
        <f t="shared" si="0"/>
        <v>-25</v>
      </c>
      <c r="AI10" s="27"/>
      <c r="AJ10" s="27"/>
      <c r="AK10" s="27"/>
      <c r="AL10" s="27"/>
    </row>
    <row r="11" spans="1:38" x14ac:dyDescent="0.25">
      <c r="A11" t="s">
        <v>286</v>
      </c>
      <c r="B11" s="18">
        <v>-4.5</v>
      </c>
      <c r="C11" s="18">
        <v>1.865</v>
      </c>
      <c r="D11" s="18">
        <v>1.6E-2</v>
      </c>
      <c r="E11" s="18">
        <v>-14.05</v>
      </c>
      <c r="F11" s="18">
        <v>-2.6259999999999999</v>
      </c>
      <c r="G11" s="18">
        <v>7.3999999999999996E-2</v>
      </c>
      <c r="H11" s="18" t="s">
        <v>255</v>
      </c>
      <c r="I11" t="s">
        <v>287</v>
      </c>
      <c r="J11" t="s">
        <v>242</v>
      </c>
      <c r="K11" t="s">
        <v>288</v>
      </c>
      <c r="L11" t="s">
        <v>289</v>
      </c>
      <c r="M11" t="s">
        <v>229</v>
      </c>
      <c r="N11" t="s">
        <v>290</v>
      </c>
      <c r="O11" t="s">
        <v>291</v>
      </c>
      <c r="P11" t="s">
        <v>292</v>
      </c>
      <c r="Q11" t="s">
        <v>273</v>
      </c>
      <c r="R11" t="s">
        <v>282</v>
      </c>
      <c r="S11" t="s">
        <v>293</v>
      </c>
      <c r="T11" t="s">
        <v>294</v>
      </c>
      <c r="U11" t="s">
        <v>295</v>
      </c>
      <c r="V11" t="s">
        <v>296</v>
      </c>
      <c r="W11" t="s">
        <v>297</v>
      </c>
      <c r="AB11">
        <v>3</v>
      </c>
      <c r="AC11">
        <v>558</v>
      </c>
      <c r="AD11">
        <v>1564</v>
      </c>
      <c r="AE11">
        <v>1364</v>
      </c>
      <c r="AF11">
        <v>1269</v>
      </c>
      <c r="AG11">
        <v>9</v>
      </c>
      <c r="AH11" s="35">
        <f t="shared" si="0"/>
        <v>95</v>
      </c>
    </row>
    <row r="12" spans="1:38" x14ac:dyDescent="0.25">
      <c r="A12" t="s">
        <v>299</v>
      </c>
      <c r="B12" s="18">
        <v>-4.5</v>
      </c>
      <c r="C12" s="18">
        <v>1.8340000000000001</v>
      </c>
      <c r="D12" s="18">
        <v>2.4E-2</v>
      </c>
      <c r="E12" s="18">
        <v>-14.05</v>
      </c>
      <c r="F12" s="18">
        <v>-2.9790000000000001</v>
      </c>
      <c r="G12" s="18">
        <v>3.7999999999999999E-2</v>
      </c>
      <c r="H12" s="18" t="s">
        <v>255</v>
      </c>
      <c r="I12" t="s">
        <v>300</v>
      </c>
      <c r="J12" t="s">
        <v>242</v>
      </c>
      <c r="K12" t="s">
        <v>257</v>
      </c>
      <c r="L12" t="s">
        <v>301</v>
      </c>
      <c r="M12" t="s">
        <v>229</v>
      </c>
      <c r="N12" t="s">
        <v>302</v>
      </c>
      <c r="O12" t="s">
        <v>303</v>
      </c>
      <c r="P12" t="s">
        <v>247</v>
      </c>
      <c r="Q12" t="s">
        <v>282</v>
      </c>
      <c r="R12" t="s">
        <v>304</v>
      </c>
      <c r="S12" t="s">
        <v>305</v>
      </c>
      <c r="T12" t="s">
        <v>306</v>
      </c>
      <c r="U12" t="s">
        <v>307</v>
      </c>
      <c r="V12" t="s">
        <v>308</v>
      </c>
      <c r="AB12">
        <v>3</v>
      </c>
      <c r="AC12">
        <v>402</v>
      </c>
      <c r="AD12">
        <v>896</v>
      </c>
      <c r="AE12">
        <v>840</v>
      </c>
      <c r="AF12">
        <v>867</v>
      </c>
      <c r="AG12">
        <v>9</v>
      </c>
      <c r="AH12" s="35">
        <f t="shared" si="0"/>
        <v>-27</v>
      </c>
    </row>
    <row r="13" spans="1:38" x14ac:dyDescent="0.25">
      <c r="A13" t="s">
        <v>309</v>
      </c>
      <c r="B13" s="18">
        <v>-4.5</v>
      </c>
      <c r="C13" s="18">
        <v>1.871</v>
      </c>
      <c r="D13" s="18">
        <v>1.9E-2</v>
      </c>
      <c r="E13" s="18">
        <v>-14.05</v>
      </c>
      <c r="F13" s="18">
        <v>-2.4540000000000002</v>
      </c>
      <c r="G13" s="18">
        <v>2.9000000000000001E-2</v>
      </c>
      <c r="H13" s="18" t="s">
        <v>255</v>
      </c>
      <c r="I13" t="s">
        <v>298</v>
      </c>
      <c r="J13" t="s">
        <v>242</v>
      </c>
      <c r="K13" t="s">
        <v>257</v>
      </c>
      <c r="L13" t="s">
        <v>310</v>
      </c>
      <c r="M13" t="s">
        <v>229</v>
      </c>
      <c r="N13" t="s">
        <v>311</v>
      </c>
      <c r="O13" t="s">
        <v>312</v>
      </c>
      <c r="P13" t="s">
        <v>273</v>
      </c>
      <c r="Q13" t="s">
        <v>234</v>
      </c>
      <c r="R13" t="s">
        <v>283</v>
      </c>
      <c r="S13" t="s">
        <v>284</v>
      </c>
      <c r="T13" t="s">
        <v>306</v>
      </c>
      <c r="U13" t="s">
        <v>313</v>
      </c>
      <c r="V13" t="s">
        <v>314</v>
      </c>
      <c r="AB13">
        <v>3</v>
      </c>
      <c r="AC13">
        <v>554</v>
      </c>
      <c r="AD13">
        <v>1580</v>
      </c>
      <c r="AE13">
        <v>1413</v>
      </c>
      <c r="AF13">
        <v>1315</v>
      </c>
      <c r="AG13">
        <v>18</v>
      </c>
      <c r="AH13" s="35">
        <f t="shared" si="0"/>
        <v>98</v>
      </c>
    </row>
    <row r="14" spans="1:38" x14ac:dyDescent="0.25">
      <c r="A14" t="s">
        <v>315</v>
      </c>
      <c r="B14" s="18">
        <v>-4.5</v>
      </c>
      <c r="C14" s="18">
        <v>1.84</v>
      </c>
      <c r="D14" s="18">
        <v>0.02</v>
      </c>
      <c r="E14" s="18">
        <v>-14.05</v>
      </c>
      <c r="F14" s="18">
        <v>-2.702</v>
      </c>
      <c r="G14" s="18">
        <v>5.5E-2</v>
      </c>
      <c r="H14" s="18" t="s">
        <v>255</v>
      </c>
      <c r="I14" t="s">
        <v>316</v>
      </c>
      <c r="J14" t="s">
        <v>242</v>
      </c>
      <c r="K14" t="s">
        <v>257</v>
      </c>
      <c r="L14" t="s">
        <v>317</v>
      </c>
      <c r="M14" t="s">
        <v>229</v>
      </c>
      <c r="N14" t="s">
        <v>318</v>
      </c>
      <c r="O14" t="s">
        <v>319</v>
      </c>
      <c r="P14" t="s">
        <v>320</v>
      </c>
      <c r="Q14" t="s">
        <v>282</v>
      </c>
      <c r="R14" t="s">
        <v>321</v>
      </c>
      <c r="S14" t="s">
        <v>322</v>
      </c>
      <c r="T14" t="s">
        <v>323</v>
      </c>
      <c r="U14" t="s">
        <v>324</v>
      </c>
      <c r="V14" t="s">
        <v>325</v>
      </c>
      <c r="AB14">
        <v>3</v>
      </c>
      <c r="AC14">
        <v>593</v>
      </c>
      <c r="AD14">
        <v>1821</v>
      </c>
      <c r="AE14">
        <v>1582</v>
      </c>
      <c r="AF14">
        <v>1489</v>
      </c>
      <c r="AG14">
        <v>18</v>
      </c>
      <c r="AH14" s="35">
        <f t="shared" si="0"/>
        <v>93</v>
      </c>
    </row>
    <row r="15" spans="1:38" x14ac:dyDescent="0.25">
      <c r="A15" t="s">
        <v>328</v>
      </c>
      <c r="B15" s="18">
        <v>-4.5</v>
      </c>
      <c r="C15" s="18">
        <v>1.8440000000000001</v>
      </c>
      <c r="D15" s="18">
        <v>1.2E-2</v>
      </c>
      <c r="E15" s="18">
        <v>-14.05</v>
      </c>
      <c r="F15" s="18">
        <v>-2.4990000000000001</v>
      </c>
      <c r="G15" s="18">
        <v>3.1E-2</v>
      </c>
      <c r="H15" s="18" t="s">
        <v>255</v>
      </c>
      <c r="I15" t="s">
        <v>268</v>
      </c>
      <c r="J15" t="s">
        <v>242</v>
      </c>
      <c r="K15" t="s">
        <v>243</v>
      </c>
      <c r="L15" t="s">
        <v>329</v>
      </c>
      <c r="M15" t="s">
        <v>229</v>
      </c>
      <c r="N15" t="s">
        <v>330</v>
      </c>
      <c r="O15" t="s">
        <v>281</v>
      </c>
      <c r="P15" t="s">
        <v>327</v>
      </c>
      <c r="Q15" t="s">
        <v>234</v>
      </c>
      <c r="R15" t="s">
        <v>283</v>
      </c>
      <c r="S15" t="s">
        <v>305</v>
      </c>
      <c r="T15" t="s">
        <v>331</v>
      </c>
      <c r="U15" t="s">
        <v>332</v>
      </c>
      <c r="V15" t="s">
        <v>333</v>
      </c>
      <c r="AB15">
        <v>3</v>
      </c>
      <c r="AC15">
        <v>621</v>
      </c>
      <c r="AD15">
        <v>1962</v>
      </c>
      <c r="AE15">
        <v>1704</v>
      </c>
      <c r="AF15">
        <v>1590</v>
      </c>
      <c r="AG15">
        <v>18</v>
      </c>
      <c r="AH15" s="35">
        <f t="shared" si="0"/>
        <v>114</v>
      </c>
    </row>
    <row r="16" spans="1:38" x14ac:dyDescent="0.25">
      <c r="A16" t="s">
        <v>334</v>
      </c>
      <c r="B16" s="18">
        <v>-4.5</v>
      </c>
      <c r="C16" s="18">
        <v>1.6859999999999999</v>
      </c>
      <c r="D16" s="18">
        <v>1.2999999999999999E-2</v>
      </c>
      <c r="E16" s="18">
        <v>-14.05</v>
      </c>
      <c r="F16" s="18">
        <v>-2.7919999999999998</v>
      </c>
      <c r="G16" s="18">
        <v>1.4E-2</v>
      </c>
      <c r="H16" s="18" t="s">
        <v>255</v>
      </c>
      <c r="I16" t="s">
        <v>285</v>
      </c>
      <c r="J16" t="s">
        <v>242</v>
      </c>
      <c r="K16" t="s">
        <v>243</v>
      </c>
      <c r="L16" t="s">
        <v>335</v>
      </c>
      <c r="M16" t="s">
        <v>229</v>
      </c>
      <c r="N16" t="s">
        <v>336</v>
      </c>
      <c r="O16" t="s">
        <v>337</v>
      </c>
      <c r="P16" t="s">
        <v>273</v>
      </c>
      <c r="Q16" t="s">
        <v>234</v>
      </c>
      <c r="R16" t="s">
        <v>274</v>
      </c>
      <c r="S16" t="s">
        <v>338</v>
      </c>
      <c r="T16" t="s">
        <v>251</v>
      </c>
      <c r="U16" t="s">
        <v>339</v>
      </c>
      <c r="V16" t="s">
        <v>340</v>
      </c>
      <c r="AB16">
        <v>3</v>
      </c>
      <c r="AC16">
        <v>618</v>
      </c>
      <c r="AD16">
        <v>2070</v>
      </c>
      <c r="AE16">
        <v>1876</v>
      </c>
      <c r="AF16">
        <v>1746</v>
      </c>
      <c r="AG16">
        <v>18</v>
      </c>
      <c r="AH16" s="35">
        <f t="shared" si="0"/>
        <v>130</v>
      </c>
    </row>
    <row r="17" spans="1:34" x14ac:dyDescent="0.25">
      <c r="A17" t="s">
        <v>341</v>
      </c>
      <c r="B17" s="18">
        <v>-4.5</v>
      </c>
      <c r="C17" s="18">
        <v>1.823</v>
      </c>
      <c r="D17" s="18">
        <v>5.0000000000000001E-3</v>
      </c>
      <c r="E17" s="18">
        <v>-14.05</v>
      </c>
      <c r="F17" s="18">
        <v>-2.407</v>
      </c>
      <c r="G17" s="18">
        <v>3.3000000000000002E-2</v>
      </c>
      <c r="H17" s="18" t="s">
        <v>255</v>
      </c>
      <c r="I17" t="s">
        <v>342</v>
      </c>
      <c r="J17" t="s">
        <v>242</v>
      </c>
      <c r="K17" t="s">
        <v>269</v>
      </c>
      <c r="L17" t="s">
        <v>343</v>
      </c>
      <c r="M17" t="s">
        <v>229</v>
      </c>
      <c r="N17" t="s">
        <v>344</v>
      </c>
      <c r="O17" t="s">
        <v>345</v>
      </c>
      <c r="P17" t="s">
        <v>247</v>
      </c>
      <c r="Q17" t="s">
        <v>234</v>
      </c>
      <c r="R17" t="s">
        <v>346</v>
      </c>
      <c r="S17" t="s">
        <v>347</v>
      </c>
      <c r="T17" t="s">
        <v>348</v>
      </c>
      <c r="U17" t="s">
        <v>349</v>
      </c>
      <c r="V17" t="s">
        <v>350</v>
      </c>
      <c r="AB17">
        <v>3</v>
      </c>
      <c r="AC17">
        <v>568</v>
      </c>
      <c r="AD17">
        <v>1576</v>
      </c>
      <c r="AE17">
        <v>1400</v>
      </c>
      <c r="AF17">
        <v>1303</v>
      </c>
      <c r="AG17">
        <v>18</v>
      </c>
      <c r="AH17" s="35">
        <f t="shared" si="0"/>
        <v>97</v>
      </c>
    </row>
    <row r="18" spans="1:34" x14ac:dyDescent="0.25">
      <c r="A18" t="s">
        <v>353</v>
      </c>
      <c r="B18" s="18">
        <v>-4.5</v>
      </c>
      <c r="C18" s="18">
        <v>1.8480000000000001</v>
      </c>
      <c r="D18" s="18">
        <v>1.0999999999999999E-2</v>
      </c>
      <c r="E18" s="18">
        <v>-14.05</v>
      </c>
      <c r="F18" s="18">
        <v>-2.6280000000000001</v>
      </c>
      <c r="G18" s="18">
        <v>2.3E-2</v>
      </c>
      <c r="H18" s="18" t="s">
        <v>255</v>
      </c>
      <c r="I18" t="s">
        <v>354</v>
      </c>
      <c r="J18" t="s">
        <v>242</v>
      </c>
      <c r="K18" t="s">
        <v>243</v>
      </c>
      <c r="L18" t="s">
        <v>355</v>
      </c>
      <c r="M18" t="s">
        <v>229</v>
      </c>
      <c r="N18" t="s">
        <v>356</v>
      </c>
      <c r="O18" t="s">
        <v>357</v>
      </c>
      <c r="P18" t="s">
        <v>327</v>
      </c>
      <c r="Q18" t="s">
        <v>234</v>
      </c>
      <c r="R18" t="s">
        <v>358</v>
      </c>
      <c r="S18" t="s">
        <v>275</v>
      </c>
      <c r="T18" t="s">
        <v>359</v>
      </c>
      <c r="U18" t="s">
        <v>360</v>
      </c>
      <c r="V18" t="s">
        <v>361</v>
      </c>
      <c r="AB18">
        <v>3</v>
      </c>
      <c r="AC18">
        <v>660</v>
      </c>
      <c r="AD18">
        <v>2249</v>
      </c>
      <c r="AE18">
        <v>1970</v>
      </c>
      <c r="AF18">
        <v>1829</v>
      </c>
      <c r="AG18">
        <v>18</v>
      </c>
      <c r="AH18" s="35">
        <f t="shared" si="0"/>
        <v>141</v>
      </c>
    </row>
    <row r="19" spans="1:34" x14ac:dyDescent="0.25">
      <c r="A19" t="s">
        <v>362</v>
      </c>
      <c r="B19" s="18">
        <v>-4.5</v>
      </c>
      <c r="C19" s="18">
        <v>1.855</v>
      </c>
      <c r="D19" s="18">
        <v>8.9999999999999993E-3</v>
      </c>
      <c r="E19" s="18">
        <v>-14.05</v>
      </c>
      <c r="F19" s="18">
        <v>-2.5179999999999998</v>
      </c>
      <c r="G19" s="18">
        <v>2.7E-2</v>
      </c>
      <c r="H19" s="18" t="s">
        <v>255</v>
      </c>
      <c r="I19" t="s">
        <v>363</v>
      </c>
      <c r="J19" t="s">
        <v>242</v>
      </c>
      <c r="K19" t="s">
        <v>326</v>
      </c>
      <c r="L19" t="s">
        <v>364</v>
      </c>
      <c r="M19" t="s">
        <v>229</v>
      </c>
      <c r="N19" t="s">
        <v>365</v>
      </c>
      <c r="O19" t="s">
        <v>366</v>
      </c>
      <c r="P19" t="s">
        <v>233</v>
      </c>
      <c r="Q19" t="s">
        <v>234</v>
      </c>
      <c r="R19" t="s">
        <v>367</v>
      </c>
      <c r="S19" t="s">
        <v>347</v>
      </c>
      <c r="T19" t="s">
        <v>368</v>
      </c>
      <c r="U19" t="s">
        <v>369</v>
      </c>
      <c r="V19" t="s">
        <v>370</v>
      </c>
      <c r="AB19">
        <v>3</v>
      </c>
      <c r="AC19">
        <v>636</v>
      </c>
      <c r="AD19">
        <v>1873</v>
      </c>
      <c r="AE19">
        <v>1664</v>
      </c>
      <c r="AF19">
        <v>1553</v>
      </c>
      <c r="AG19">
        <v>18</v>
      </c>
      <c r="AH19" s="35">
        <f t="shared" si="0"/>
        <v>111</v>
      </c>
    </row>
    <row r="20" spans="1:34" x14ac:dyDescent="0.25">
      <c r="A20" t="s">
        <v>371</v>
      </c>
      <c r="B20" s="18">
        <v>-4.5</v>
      </c>
      <c r="C20" s="18">
        <v>1.8819999999999999</v>
      </c>
      <c r="D20" s="18">
        <v>0.01</v>
      </c>
      <c r="E20" s="18">
        <v>-14.05</v>
      </c>
      <c r="F20" s="18">
        <v>-2.4089999999999998</v>
      </c>
      <c r="G20" s="18">
        <v>2.1000000000000001E-2</v>
      </c>
      <c r="H20" s="18" t="s">
        <v>102</v>
      </c>
      <c r="I20" t="s">
        <v>354</v>
      </c>
      <c r="J20" t="s">
        <v>242</v>
      </c>
      <c r="K20" t="s">
        <v>257</v>
      </c>
      <c r="L20" t="s">
        <v>372</v>
      </c>
      <c r="M20" t="s">
        <v>229</v>
      </c>
      <c r="N20" t="s">
        <v>373</v>
      </c>
      <c r="O20" t="s">
        <v>374</v>
      </c>
      <c r="P20" t="s">
        <v>375</v>
      </c>
      <c r="Q20" t="s">
        <v>233</v>
      </c>
      <c r="R20" t="s">
        <v>234</v>
      </c>
      <c r="S20" t="s">
        <v>376</v>
      </c>
      <c r="T20" t="s">
        <v>377</v>
      </c>
      <c r="U20" t="s">
        <v>378</v>
      </c>
      <c r="V20" t="s">
        <v>379</v>
      </c>
      <c r="W20" t="s">
        <v>380</v>
      </c>
      <c r="AB20">
        <v>3</v>
      </c>
      <c r="AC20">
        <v>760</v>
      </c>
      <c r="AD20">
        <v>2967</v>
      </c>
      <c r="AE20">
        <v>2593</v>
      </c>
      <c r="AF20">
        <v>2411</v>
      </c>
      <c r="AG20">
        <v>27</v>
      </c>
      <c r="AH20" s="35">
        <f t="shared" si="0"/>
        <v>182</v>
      </c>
    </row>
    <row r="21" spans="1:34" x14ac:dyDescent="0.25">
      <c r="A21" t="s">
        <v>381</v>
      </c>
      <c r="B21" s="18">
        <v>-4.5</v>
      </c>
      <c r="C21" s="18">
        <v>1.867</v>
      </c>
      <c r="D21" s="18">
        <v>6.0000000000000001E-3</v>
      </c>
      <c r="E21" s="18">
        <v>-14.05</v>
      </c>
      <c r="F21" s="18">
        <v>-2.431</v>
      </c>
      <c r="G21" s="18">
        <v>1.0999999999999999E-2</v>
      </c>
      <c r="H21" s="18" t="s">
        <v>102</v>
      </c>
      <c r="I21" t="s">
        <v>382</v>
      </c>
      <c r="J21" t="s">
        <v>242</v>
      </c>
      <c r="K21" t="s">
        <v>269</v>
      </c>
      <c r="L21" t="s">
        <v>383</v>
      </c>
      <c r="M21" t="s">
        <v>229</v>
      </c>
      <c r="N21" t="s">
        <v>384</v>
      </c>
      <c r="O21" t="s">
        <v>385</v>
      </c>
      <c r="P21" t="s">
        <v>273</v>
      </c>
      <c r="Q21" t="s">
        <v>234</v>
      </c>
      <c r="R21" t="s">
        <v>386</v>
      </c>
      <c r="S21" t="s">
        <v>387</v>
      </c>
      <c r="T21" t="s">
        <v>388</v>
      </c>
      <c r="U21" t="s">
        <v>389</v>
      </c>
      <c r="V21" t="s">
        <v>390</v>
      </c>
      <c r="AB21">
        <v>3</v>
      </c>
      <c r="AC21">
        <v>728</v>
      </c>
      <c r="AD21">
        <v>2588</v>
      </c>
      <c r="AE21">
        <v>2272</v>
      </c>
      <c r="AF21">
        <v>2112</v>
      </c>
      <c r="AG21">
        <v>27</v>
      </c>
      <c r="AH21" s="35">
        <f t="shared" si="0"/>
        <v>160</v>
      </c>
    </row>
    <row r="22" spans="1:34" x14ac:dyDescent="0.25">
      <c r="A22" t="s">
        <v>391</v>
      </c>
      <c r="B22" s="18">
        <v>-4.5</v>
      </c>
      <c r="C22" s="18">
        <v>1.841</v>
      </c>
      <c r="D22" s="18">
        <v>8.0000000000000002E-3</v>
      </c>
      <c r="E22" s="18">
        <v>-14.05</v>
      </c>
      <c r="F22" s="18">
        <v>-2.4969999999999999</v>
      </c>
      <c r="G22" s="18">
        <v>2.1999999999999999E-2</v>
      </c>
      <c r="H22" s="18" t="s">
        <v>102</v>
      </c>
      <c r="I22" t="s">
        <v>354</v>
      </c>
      <c r="J22" t="s">
        <v>242</v>
      </c>
      <c r="K22" t="s">
        <v>269</v>
      </c>
      <c r="L22" t="s">
        <v>392</v>
      </c>
      <c r="M22" t="s">
        <v>229</v>
      </c>
      <c r="N22" t="s">
        <v>393</v>
      </c>
      <c r="O22" t="s">
        <v>394</v>
      </c>
      <c r="P22" t="s">
        <v>233</v>
      </c>
      <c r="Q22" t="s">
        <v>234</v>
      </c>
      <c r="R22" t="s">
        <v>395</v>
      </c>
      <c r="S22" t="s">
        <v>396</v>
      </c>
      <c r="T22" t="s">
        <v>397</v>
      </c>
      <c r="U22" t="s">
        <v>398</v>
      </c>
      <c r="V22" t="s">
        <v>399</v>
      </c>
      <c r="AB22">
        <v>3</v>
      </c>
      <c r="AC22">
        <v>823</v>
      </c>
      <c r="AD22">
        <v>3470</v>
      </c>
      <c r="AE22">
        <v>3082</v>
      </c>
      <c r="AF22">
        <v>2867</v>
      </c>
      <c r="AG22">
        <v>27</v>
      </c>
      <c r="AH22" s="35">
        <f t="shared" si="0"/>
        <v>215</v>
      </c>
    </row>
    <row r="23" spans="1:34" x14ac:dyDescent="0.25">
      <c r="A23" t="s">
        <v>400</v>
      </c>
      <c r="B23" s="18">
        <v>-4.5</v>
      </c>
      <c r="C23" s="18">
        <v>1.8169999999999999</v>
      </c>
      <c r="D23" s="18">
        <v>1.2E-2</v>
      </c>
      <c r="E23" s="18">
        <v>-14.05</v>
      </c>
      <c r="F23" s="18">
        <v>-2.6080000000000001</v>
      </c>
      <c r="G23" s="18">
        <v>2.8000000000000001E-2</v>
      </c>
      <c r="H23" s="18" t="s">
        <v>102</v>
      </c>
      <c r="I23" t="s">
        <v>401</v>
      </c>
      <c r="J23" t="s">
        <v>242</v>
      </c>
      <c r="K23" t="s">
        <v>326</v>
      </c>
      <c r="L23" t="s">
        <v>402</v>
      </c>
      <c r="M23" t="s">
        <v>229</v>
      </c>
      <c r="N23" t="s">
        <v>403</v>
      </c>
      <c r="O23" t="s">
        <v>404</v>
      </c>
      <c r="P23" t="s">
        <v>233</v>
      </c>
      <c r="Q23" t="s">
        <v>234</v>
      </c>
      <c r="R23" t="s">
        <v>405</v>
      </c>
      <c r="S23" t="s">
        <v>406</v>
      </c>
      <c r="T23" t="s">
        <v>407</v>
      </c>
      <c r="U23" t="s">
        <v>408</v>
      </c>
      <c r="V23" t="s">
        <v>409</v>
      </c>
      <c r="AB23">
        <v>3</v>
      </c>
      <c r="AC23">
        <v>714</v>
      </c>
      <c r="AD23">
        <v>2395</v>
      </c>
      <c r="AE23">
        <v>2100</v>
      </c>
      <c r="AF23">
        <v>1953</v>
      </c>
      <c r="AG23">
        <v>27</v>
      </c>
      <c r="AH23" s="35">
        <f t="shared" si="0"/>
        <v>147</v>
      </c>
    </row>
    <row r="24" spans="1:34" x14ac:dyDescent="0.25">
      <c r="A24" t="s">
        <v>410</v>
      </c>
      <c r="B24" s="18">
        <v>-4.5</v>
      </c>
      <c r="C24" s="18">
        <v>1.833</v>
      </c>
      <c r="D24" s="18">
        <v>1.2999999999999999E-2</v>
      </c>
      <c r="E24" s="18">
        <v>-14.05</v>
      </c>
      <c r="F24" s="18">
        <v>-2.431</v>
      </c>
      <c r="G24" s="18">
        <v>1.9E-2</v>
      </c>
      <c r="H24" s="18" t="s">
        <v>102</v>
      </c>
      <c r="I24" t="s">
        <v>285</v>
      </c>
      <c r="J24" t="s">
        <v>242</v>
      </c>
      <c r="K24" t="s">
        <v>326</v>
      </c>
      <c r="L24" t="s">
        <v>392</v>
      </c>
      <c r="M24" t="s">
        <v>229</v>
      </c>
      <c r="N24" t="s">
        <v>393</v>
      </c>
      <c r="O24" t="s">
        <v>411</v>
      </c>
      <c r="P24" t="s">
        <v>412</v>
      </c>
      <c r="Q24" t="s">
        <v>234</v>
      </c>
      <c r="R24" t="s">
        <v>413</v>
      </c>
      <c r="S24" t="s">
        <v>414</v>
      </c>
      <c r="T24" t="s">
        <v>415</v>
      </c>
      <c r="U24" t="s">
        <v>416</v>
      </c>
      <c r="V24" t="s">
        <v>417</v>
      </c>
      <c r="AB24">
        <v>3</v>
      </c>
      <c r="AC24">
        <v>823</v>
      </c>
      <c r="AD24">
        <v>3492</v>
      </c>
      <c r="AE24">
        <v>3086</v>
      </c>
      <c r="AF24">
        <v>2872</v>
      </c>
      <c r="AG24">
        <v>27</v>
      </c>
      <c r="AH24" s="35">
        <f t="shared" si="0"/>
        <v>214</v>
      </c>
    </row>
    <row r="25" spans="1:34" x14ac:dyDescent="0.25">
      <c r="A25" t="s">
        <v>418</v>
      </c>
      <c r="B25" s="18">
        <v>-4.5</v>
      </c>
      <c r="C25" s="18">
        <v>1.825</v>
      </c>
      <c r="D25" s="18">
        <v>7.0000000000000001E-3</v>
      </c>
      <c r="E25" s="18">
        <v>-14.05</v>
      </c>
      <c r="F25" s="18">
        <v>-2.46</v>
      </c>
      <c r="G25" s="18">
        <v>2.8000000000000001E-2</v>
      </c>
      <c r="H25" s="18" t="s">
        <v>102</v>
      </c>
      <c r="I25" t="s">
        <v>419</v>
      </c>
      <c r="J25" t="s">
        <v>242</v>
      </c>
      <c r="K25" t="s">
        <v>326</v>
      </c>
      <c r="L25" t="s">
        <v>420</v>
      </c>
      <c r="M25" t="s">
        <v>229</v>
      </c>
      <c r="N25" t="s">
        <v>421</v>
      </c>
      <c r="O25" t="s">
        <v>422</v>
      </c>
      <c r="P25" t="s">
        <v>273</v>
      </c>
      <c r="Q25" t="s">
        <v>234</v>
      </c>
      <c r="R25" t="s">
        <v>423</v>
      </c>
      <c r="S25" t="s">
        <v>424</v>
      </c>
      <c r="T25" t="s">
        <v>425</v>
      </c>
      <c r="U25" t="s">
        <v>426</v>
      </c>
      <c r="V25" t="s">
        <v>427</v>
      </c>
      <c r="AB25">
        <v>3</v>
      </c>
      <c r="AC25">
        <v>742</v>
      </c>
      <c r="AD25">
        <v>2649</v>
      </c>
      <c r="AE25">
        <v>2397</v>
      </c>
      <c r="AF25">
        <v>2231</v>
      </c>
      <c r="AG25">
        <v>27</v>
      </c>
      <c r="AH25" s="35">
        <f t="shared" si="0"/>
        <v>166</v>
      </c>
    </row>
    <row r="26" spans="1:34" x14ac:dyDescent="0.25">
      <c r="A26" t="s">
        <v>428</v>
      </c>
      <c r="B26" s="18">
        <v>-4.5</v>
      </c>
      <c r="C26" s="18">
        <v>1.8580000000000001</v>
      </c>
      <c r="D26" s="18">
        <v>1.0999999999999999E-2</v>
      </c>
      <c r="E26" s="18">
        <v>-14.05</v>
      </c>
      <c r="F26" s="18">
        <v>-2.4609999999999999</v>
      </c>
      <c r="G26" s="18">
        <v>1.4E-2</v>
      </c>
      <c r="H26" s="18" t="s">
        <v>102</v>
      </c>
      <c r="I26" t="s">
        <v>285</v>
      </c>
      <c r="J26" t="s">
        <v>242</v>
      </c>
      <c r="K26" t="s">
        <v>326</v>
      </c>
      <c r="L26" t="s">
        <v>429</v>
      </c>
      <c r="M26" t="s">
        <v>229</v>
      </c>
      <c r="N26" t="s">
        <v>430</v>
      </c>
      <c r="O26" t="s">
        <v>431</v>
      </c>
      <c r="P26" t="s">
        <v>375</v>
      </c>
      <c r="Q26" t="s">
        <v>412</v>
      </c>
      <c r="R26" t="s">
        <v>234</v>
      </c>
      <c r="S26" t="s">
        <v>432</v>
      </c>
      <c r="T26" t="s">
        <v>433</v>
      </c>
      <c r="U26" t="s">
        <v>434</v>
      </c>
      <c r="V26" t="s">
        <v>435</v>
      </c>
      <c r="W26" t="s">
        <v>436</v>
      </c>
      <c r="AB26">
        <v>3</v>
      </c>
      <c r="AC26">
        <v>827</v>
      </c>
      <c r="AD26">
        <v>3509</v>
      </c>
      <c r="AE26">
        <v>3110</v>
      </c>
      <c r="AF26">
        <v>2893</v>
      </c>
      <c r="AG26">
        <v>27</v>
      </c>
      <c r="AH26" s="35">
        <f t="shared" si="0"/>
        <v>217</v>
      </c>
    </row>
    <row r="27" spans="1:34" x14ac:dyDescent="0.25">
      <c r="A27" t="s">
        <v>437</v>
      </c>
      <c r="B27" s="18">
        <v>-4.5</v>
      </c>
      <c r="C27" s="18">
        <v>1.772</v>
      </c>
      <c r="D27" s="18">
        <v>0.02</v>
      </c>
      <c r="E27" s="18">
        <v>-14.05</v>
      </c>
      <c r="F27" s="18">
        <v>-2.7360000000000002</v>
      </c>
      <c r="G27" s="18">
        <v>1.6E-2</v>
      </c>
      <c r="H27" s="18" t="s">
        <v>102</v>
      </c>
      <c r="I27" t="s">
        <v>363</v>
      </c>
      <c r="J27" t="s">
        <v>242</v>
      </c>
      <c r="K27" t="s">
        <v>326</v>
      </c>
      <c r="L27" t="s">
        <v>438</v>
      </c>
      <c r="M27" t="s">
        <v>229</v>
      </c>
      <c r="N27" t="s">
        <v>439</v>
      </c>
      <c r="O27" t="s">
        <v>440</v>
      </c>
      <c r="P27" t="s">
        <v>412</v>
      </c>
      <c r="Q27" t="s">
        <v>234</v>
      </c>
      <c r="R27" t="s">
        <v>441</v>
      </c>
      <c r="S27" t="s">
        <v>442</v>
      </c>
      <c r="T27" t="s">
        <v>443</v>
      </c>
      <c r="U27" t="s">
        <v>444</v>
      </c>
      <c r="V27" t="s">
        <v>445</v>
      </c>
      <c r="AB27">
        <v>3</v>
      </c>
      <c r="AC27">
        <v>752</v>
      </c>
      <c r="AD27">
        <v>2735</v>
      </c>
      <c r="AE27">
        <v>2365</v>
      </c>
      <c r="AF27">
        <v>2198</v>
      </c>
      <c r="AG27">
        <v>27</v>
      </c>
      <c r="AH27" s="35">
        <f t="shared" si="0"/>
        <v>167</v>
      </c>
    </row>
    <row r="28" spans="1:34" x14ac:dyDescent="0.25">
      <c r="A28" s="32" t="s">
        <v>446</v>
      </c>
      <c r="B28" s="33">
        <v>1.768</v>
      </c>
      <c r="C28" s="33">
        <v>1.7709999999999999</v>
      </c>
      <c r="D28" s="33">
        <v>6.0000000000000001E-3</v>
      </c>
      <c r="E28" s="33">
        <v>-2.6419999999999999</v>
      </c>
      <c r="F28" s="33">
        <v>-2.5840000000000001</v>
      </c>
      <c r="G28" s="33">
        <v>4.1000000000000002E-2</v>
      </c>
      <c r="H28" s="33" t="s">
        <v>102</v>
      </c>
      <c r="I28" s="32" t="s">
        <v>354</v>
      </c>
      <c r="J28" s="32" t="s">
        <v>242</v>
      </c>
      <c r="K28" s="32" t="s">
        <v>288</v>
      </c>
      <c r="L28" s="32" t="s">
        <v>447</v>
      </c>
      <c r="M28" s="32" t="s">
        <v>229</v>
      </c>
      <c r="N28" s="32" t="s">
        <v>448</v>
      </c>
      <c r="O28" s="32" t="s">
        <v>394</v>
      </c>
      <c r="P28" s="32" t="s">
        <v>233</v>
      </c>
      <c r="Q28" s="32" t="s">
        <v>234</v>
      </c>
      <c r="R28" s="32" t="s">
        <v>405</v>
      </c>
      <c r="S28" s="32" t="s">
        <v>406</v>
      </c>
      <c r="T28" s="32" t="s">
        <v>449</v>
      </c>
      <c r="U28" s="32" t="s">
        <v>450</v>
      </c>
      <c r="V28" s="32" t="s">
        <v>451</v>
      </c>
      <c r="W28" s="32"/>
      <c r="X28" s="32"/>
      <c r="Y28" s="32"/>
      <c r="Z28" s="32"/>
      <c r="AA28" s="32"/>
      <c r="AB28">
        <v>3</v>
      </c>
      <c r="AC28" s="32">
        <v>880</v>
      </c>
      <c r="AD28" s="32">
        <v>3965</v>
      </c>
      <c r="AE28" s="32">
        <v>3585</v>
      </c>
      <c r="AF28" s="32">
        <v>3335</v>
      </c>
      <c r="AG28" s="32">
        <v>36</v>
      </c>
      <c r="AH28" s="35">
        <f t="shared" si="0"/>
        <v>250</v>
      </c>
    </row>
    <row r="29" spans="1:34" x14ac:dyDescent="0.25">
      <c r="A29" t="s">
        <v>452</v>
      </c>
      <c r="B29" s="18">
        <v>-4.5</v>
      </c>
      <c r="C29" s="18">
        <v>1.7010000000000001</v>
      </c>
      <c r="D29" s="18">
        <v>1.9E-2</v>
      </c>
      <c r="E29" s="18">
        <v>-14.05</v>
      </c>
      <c r="F29" s="18">
        <v>-2.4790000000000001</v>
      </c>
      <c r="G29" s="18">
        <v>1.7000000000000001E-2</v>
      </c>
      <c r="H29" s="18" t="s">
        <v>102</v>
      </c>
      <c r="I29" t="s">
        <v>363</v>
      </c>
      <c r="J29" t="s">
        <v>242</v>
      </c>
      <c r="K29" t="s">
        <v>269</v>
      </c>
      <c r="L29" t="s">
        <v>453</v>
      </c>
      <c r="M29" t="s">
        <v>229</v>
      </c>
      <c r="N29" t="s">
        <v>454</v>
      </c>
      <c r="O29" t="s">
        <v>411</v>
      </c>
      <c r="P29" t="s">
        <v>455</v>
      </c>
      <c r="Q29" t="s">
        <v>234</v>
      </c>
      <c r="R29" t="s">
        <v>456</v>
      </c>
      <c r="S29" t="s">
        <v>457</v>
      </c>
      <c r="T29" t="s">
        <v>458</v>
      </c>
      <c r="U29" t="s">
        <v>459</v>
      </c>
      <c r="V29" t="s">
        <v>460</v>
      </c>
      <c r="AB29">
        <v>3</v>
      </c>
      <c r="AC29">
        <v>891</v>
      </c>
      <c r="AD29">
        <v>4012</v>
      </c>
      <c r="AE29">
        <v>3603</v>
      </c>
      <c r="AF29">
        <v>3348</v>
      </c>
      <c r="AG29">
        <v>36</v>
      </c>
      <c r="AH29" s="35">
        <f t="shared" si="0"/>
        <v>255</v>
      </c>
    </row>
    <row r="30" spans="1:34" x14ac:dyDescent="0.25">
      <c r="A30" t="s">
        <v>462</v>
      </c>
      <c r="B30" s="18">
        <v>-4.5</v>
      </c>
      <c r="C30" s="18">
        <v>1.796</v>
      </c>
      <c r="D30" s="18">
        <v>1.4E-2</v>
      </c>
      <c r="E30" s="18">
        <v>-14.05</v>
      </c>
      <c r="F30" s="18">
        <v>-2.4929999999999999</v>
      </c>
      <c r="G30" s="18">
        <v>1.4999999999999999E-2</v>
      </c>
      <c r="H30" s="18" t="s">
        <v>102</v>
      </c>
      <c r="I30" t="s">
        <v>342</v>
      </c>
      <c r="J30" t="s">
        <v>242</v>
      </c>
      <c r="K30" t="s">
        <v>269</v>
      </c>
      <c r="L30" t="s">
        <v>463</v>
      </c>
      <c r="M30" t="s">
        <v>229</v>
      </c>
      <c r="N30" t="s">
        <v>464</v>
      </c>
      <c r="O30" t="s">
        <v>374</v>
      </c>
      <c r="P30" t="s">
        <v>465</v>
      </c>
      <c r="Q30" t="s">
        <v>466</v>
      </c>
      <c r="R30" t="s">
        <v>234</v>
      </c>
      <c r="S30" t="s">
        <v>467</v>
      </c>
      <c r="T30" t="s">
        <v>396</v>
      </c>
      <c r="U30" t="s">
        <v>468</v>
      </c>
      <c r="V30" t="s">
        <v>469</v>
      </c>
      <c r="W30" t="s">
        <v>470</v>
      </c>
      <c r="AB30">
        <v>3</v>
      </c>
      <c r="AC30">
        <v>876</v>
      </c>
      <c r="AD30">
        <v>4099</v>
      </c>
      <c r="AE30">
        <v>3673</v>
      </c>
      <c r="AF30">
        <v>3414</v>
      </c>
      <c r="AG30">
        <v>36</v>
      </c>
      <c r="AH30" s="35">
        <f t="shared" si="0"/>
        <v>259</v>
      </c>
    </row>
    <row r="31" spans="1:34" x14ac:dyDescent="0.25">
      <c r="A31" t="s">
        <v>471</v>
      </c>
      <c r="B31" s="18">
        <v>-4.5</v>
      </c>
      <c r="C31" s="18">
        <v>1.8360000000000001</v>
      </c>
      <c r="D31" s="18">
        <v>4.0000000000000001E-3</v>
      </c>
      <c r="E31" s="18">
        <v>-14.05</v>
      </c>
      <c r="F31" s="18">
        <v>-2.4550000000000001</v>
      </c>
      <c r="G31" s="18">
        <v>2.3E-2</v>
      </c>
      <c r="H31" s="18" t="s">
        <v>102</v>
      </c>
      <c r="I31" t="s">
        <v>472</v>
      </c>
      <c r="J31" t="s">
        <v>242</v>
      </c>
      <c r="K31" t="s">
        <v>288</v>
      </c>
      <c r="L31" t="s">
        <v>473</v>
      </c>
      <c r="M31" t="s">
        <v>229</v>
      </c>
      <c r="N31" t="s">
        <v>474</v>
      </c>
      <c r="O31" t="s">
        <v>475</v>
      </c>
      <c r="P31" t="s">
        <v>233</v>
      </c>
      <c r="Q31" t="s">
        <v>234</v>
      </c>
      <c r="R31" t="s">
        <v>461</v>
      </c>
      <c r="S31" t="s">
        <v>476</v>
      </c>
      <c r="T31" t="s">
        <v>477</v>
      </c>
      <c r="U31" t="s">
        <v>478</v>
      </c>
      <c r="V31" t="s">
        <v>479</v>
      </c>
      <c r="AB31">
        <v>3</v>
      </c>
      <c r="AC31">
        <v>919</v>
      </c>
      <c r="AD31">
        <v>4548</v>
      </c>
      <c r="AE31">
        <v>4059</v>
      </c>
      <c r="AF31">
        <v>3772</v>
      </c>
      <c r="AG31">
        <v>36</v>
      </c>
      <c r="AH31" s="35">
        <f t="shared" si="0"/>
        <v>287</v>
      </c>
    </row>
    <row r="32" spans="1:34" x14ac:dyDescent="0.25">
      <c r="A32" t="s">
        <v>480</v>
      </c>
      <c r="B32" s="18">
        <v>-4.5</v>
      </c>
      <c r="C32" s="18">
        <v>1.8480000000000001</v>
      </c>
      <c r="D32" s="18">
        <v>1.0999999999999999E-2</v>
      </c>
      <c r="E32" s="18">
        <v>-14.05</v>
      </c>
      <c r="F32" s="18">
        <v>-2.4990000000000001</v>
      </c>
      <c r="G32" s="18">
        <v>2.1999999999999999E-2</v>
      </c>
      <c r="H32" s="18" t="s">
        <v>102</v>
      </c>
      <c r="I32" t="s">
        <v>342</v>
      </c>
      <c r="J32" t="s">
        <v>242</v>
      </c>
      <c r="K32" t="s">
        <v>269</v>
      </c>
      <c r="L32" t="s">
        <v>481</v>
      </c>
      <c r="M32" t="s">
        <v>229</v>
      </c>
      <c r="N32" t="s">
        <v>482</v>
      </c>
      <c r="O32" t="s">
        <v>404</v>
      </c>
      <c r="P32" t="s">
        <v>273</v>
      </c>
      <c r="Q32" t="s">
        <v>234</v>
      </c>
      <c r="R32" t="s">
        <v>483</v>
      </c>
      <c r="S32" t="s">
        <v>484</v>
      </c>
      <c r="T32" t="s">
        <v>485</v>
      </c>
      <c r="U32" t="s">
        <v>486</v>
      </c>
      <c r="V32" t="s">
        <v>487</v>
      </c>
      <c r="AB32">
        <v>3</v>
      </c>
      <c r="AC32">
        <v>855</v>
      </c>
      <c r="AD32">
        <v>3813</v>
      </c>
      <c r="AE32">
        <v>3331</v>
      </c>
      <c r="AF32">
        <v>3095</v>
      </c>
      <c r="AG32">
        <v>36</v>
      </c>
      <c r="AH32" s="35">
        <f t="shared" si="0"/>
        <v>236</v>
      </c>
    </row>
    <row r="33" spans="1:37" x14ac:dyDescent="0.25">
      <c r="A33" t="s">
        <v>488</v>
      </c>
      <c r="B33" s="18">
        <v>-4.5</v>
      </c>
      <c r="C33" s="18">
        <v>1.8120000000000001</v>
      </c>
      <c r="D33" s="18">
        <v>1.0999999999999999E-2</v>
      </c>
      <c r="E33" s="18">
        <v>-14.05</v>
      </c>
      <c r="F33" s="18">
        <v>-2.552</v>
      </c>
      <c r="G33" s="18">
        <v>1.7999999999999999E-2</v>
      </c>
      <c r="H33" s="18" t="s">
        <v>102</v>
      </c>
      <c r="I33" t="s">
        <v>489</v>
      </c>
      <c r="J33" t="s">
        <v>242</v>
      </c>
      <c r="K33" t="s">
        <v>326</v>
      </c>
      <c r="L33" t="s">
        <v>490</v>
      </c>
      <c r="M33" t="s">
        <v>229</v>
      </c>
      <c r="N33" t="s">
        <v>491</v>
      </c>
      <c r="O33" t="s">
        <v>492</v>
      </c>
      <c r="P33" t="s">
        <v>233</v>
      </c>
      <c r="Q33" t="s">
        <v>282</v>
      </c>
      <c r="R33" t="s">
        <v>493</v>
      </c>
      <c r="S33" t="s">
        <v>494</v>
      </c>
      <c r="T33" t="s">
        <v>495</v>
      </c>
      <c r="U33" t="s">
        <v>496</v>
      </c>
      <c r="V33" t="s">
        <v>497</v>
      </c>
      <c r="AB33">
        <v>3</v>
      </c>
      <c r="AC33">
        <v>852</v>
      </c>
      <c r="AD33">
        <v>3677</v>
      </c>
      <c r="AE33">
        <v>3253</v>
      </c>
      <c r="AF33">
        <v>3025</v>
      </c>
      <c r="AG33">
        <v>36</v>
      </c>
      <c r="AH33" s="35">
        <f t="shared" si="0"/>
        <v>228</v>
      </c>
    </row>
    <row r="35" spans="1:37" x14ac:dyDescent="0.25">
      <c r="A35" s="38">
        <v>42219</v>
      </c>
      <c r="B35" s="34"/>
      <c r="C35" s="34"/>
      <c r="D35" s="34"/>
      <c r="E35" s="34"/>
      <c r="F35" s="34"/>
      <c r="G35" s="34"/>
      <c r="I35" s="35"/>
    </row>
    <row r="36" spans="1:37" x14ac:dyDescent="0.25">
      <c r="A36" s="18" t="s">
        <v>24</v>
      </c>
      <c r="B36" s="18" t="s">
        <v>25</v>
      </c>
      <c r="C36" s="21" t="s">
        <v>26</v>
      </c>
      <c r="D36" s="18" t="s">
        <v>27</v>
      </c>
      <c r="E36" s="18" t="s">
        <v>28</v>
      </c>
      <c r="F36" s="18" t="s">
        <v>29</v>
      </c>
      <c r="G36" s="18" t="s">
        <v>30</v>
      </c>
      <c r="H36" s="18" t="s">
        <v>31</v>
      </c>
      <c r="I36" s="18" t="s">
        <v>32</v>
      </c>
      <c r="J36" s="18" t="s">
        <v>33</v>
      </c>
      <c r="K36" s="18" t="s">
        <v>34</v>
      </c>
      <c r="L36" s="18" t="s">
        <v>35</v>
      </c>
      <c r="M36" s="18" t="s">
        <v>39</v>
      </c>
      <c r="N36" s="18" t="s">
        <v>40</v>
      </c>
      <c r="O36" s="18" t="s">
        <v>41</v>
      </c>
      <c r="P36" s="18" t="s">
        <v>42</v>
      </c>
      <c r="Q36" s="18" t="s">
        <v>43</v>
      </c>
      <c r="AH36" t="s">
        <v>36</v>
      </c>
      <c r="AI36" t="s">
        <v>44</v>
      </c>
      <c r="AJ36" t="s">
        <v>506</v>
      </c>
      <c r="AK36" t="s">
        <v>45</v>
      </c>
    </row>
    <row r="37" spans="1:37" x14ac:dyDescent="0.25">
      <c r="A37" s="18">
        <v>1</v>
      </c>
      <c r="B37" s="18" t="s">
        <v>49</v>
      </c>
      <c r="C37" s="18" t="s">
        <v>500</v>
      </c>
      <c r="D37" s="18" t="s">
        <v>19</v>
      </c>
      <c r="E37" s="39" t="s">
        <v>500</v>
      </c>
      <c r="F37" s="18">
        <v>-4.5</v>
      </c>
      <c r="G37" s="18">
        <v>1.859</v>
      </c>
      <c r="H37" s="18">
        <v>3.0000000000000001E-3</v>
      </c>
      <c r="I37" s="18">
        <v>-14.05</v>
      </c>
      <c r="J37" s="18">
        <v>-2.5609999999999999</v>
      </c>
      <c r="K37" s="18">
        <v>2.3E-2</v>
      </c>
      <c r="L37" s="18" t="s">
        <v>102</v>
      </c>
      <c r="M37" s="18">
        <v>1</v>
      </c>
      <c r="N37" s="18" t="s">
        <v>507</v>
      </c>
      <c r="O37" s="18" t="s">
        <v>508</v>
      </c>
      <c r="P37" s="18" t="s">
        <v>509</v>
      </c>
      <c r="Q37" s="18" t="s">
        <v>510</v>
      </c>
      <c r="AH37" s="4">
        <v>3</v>
      </c>
      <c r="AI37">
        <v>731</v>
      </c>
      <c r="AJ37" s="18">
        <f>3*9</f>
        <v>27</v>
      </c>
      <c r="AK37">
        <v>3008</v>
      </c>
    </row>
    <row r="38" spans="1:37" x14ac:dyDescent="0.25">
      <c r="A38" s="18">
        <v>2</v>
      </c>
      <c r="B38" s="18" t="s">
        <v>56</v>
      </c>
      <c r="C38" s="18" t="s">
        <v>500</v>
      </c>
      <c r="D38" s="18" t="s">
        <v>19</v>
      </c>
      <c r="E38" s="39" t="s">
        <v>500</v>
      </c>
      <c r="F38" s="18">
        <v>-4.5</v>
      </c>
      <c r="G38" s="18">
        <v>1.88</v>
      </c>
      <c r="H38" s="18">
        <v>1.9E-2</v>
      </c>
      <c r="I38" s="18">
        <v>-14.05</v>
      </c>
      <c r="J38" s="18">
        <v>-2.5870000000000002</v>
      </c>
      <c r="K38" s="18">
        <v>2.1999999999999999E-2</v>
      </c>
      <c r="L38" s="18" t="s">
        <v>102</v>
      </c>
      <c r="M38" s="18">
        <v>1</v>
      </c>
      <c r="N38" s="18" t="s">
        <v>507</v>
      </c>
      <c r="O38" s="18" t="s">
        <v>511</v>
      </c>
      <c r="P38" s="18" t="s">
        <v>512</v>
      </c>
      <c r="Q38" s="18" t="s">
        <v>513</v>
      </c>
      <c r="AH38" s="4">
        <v>3</v>
      </c>
      <c r="AI38">
        <v>529</v>
      </c>
      <c r="AJ38" s="18">
        <f t="shared" ref="AJ38:AJ46" si="1">3*9</f>
        <v>27</v>
      </c>
      <c r="AK38">
        <v>1408</v>
      </c>
    </row>
    <row r="39" spans="1:37" x14ac:dyDescent="0.25">
      <c r="A39" s="18">
        <v>3</v>
      </c>
      <c r="B39" s="18" t="s">
        <v>514</v>
      </c>
      <c r="C39" s="18" t="s">
        <v>500</v>
      </c>
      <c r="D39" s="18" t="s">
        <v>19</v>
      </c>
      <c r="E39" s="39" t="s">
        <v>498</v>
      </c>
      <c r="F39" s="18">
        <v>-4.5</v>
      </c>
      <c r="G39" s="18">
        <v>1.831</v>
      </c>
      <c r="H39" s="18">
        <v>1.6E-2</v>
      </c>
      <c r="I39" s="18">
        <v>-14.05</v>
      </c>
      <c r="J39" s="18">
        <v>-2.609</v>
      </c>
      <c r="K39" s="18">
        <v>1.6E-2</v>
      </c>
      <c r="L39" s="18" t="s">
        <v>102</v>
      </c>
      <c r="M39" s="18">
        <v>1</v>
      </c>
      <c r="N39" s="18" t="s">
        <v>507</v>
      </c>
      <c r="O39" s="18" t="s">
        <v>515</v>
      </c>
      <c r="P39" s="18" t="s">
        <v>516</v>
      </c>
      <c r="Q39" s="18" t="s">
        <v>517</v>
      </c>
      <c r="AH39" s="4">
        <v>3</v>
      </c>
      <c r="AI39">
        <v>710</v>
      </c>
      <c r="AJ39" s="18">
        <f t="shared" si="1"/>
        <v>27</v>
      </c>
      <c r="AK39">
        <v>2777</v>
      </c>
    </row>
    <row r="40" spans="1:37" x14ac:dyDescent="0.25">
      <c r="A40" s="18">
        <v>4</v>
      </c>
      <c r="B40" s="18" t="s">
        <v>518</v>
      </c>
      <c r="C40" s="18" t="s">
        <v>500</v>
      </c>
      <c r="D40" s="18" t="s">
        <v>19</v>
      </c>
      <c r="E40" s="39" t="s">
        <v>498</v>
      </c>
      <c r="F40" s="18">
        <v>-4.5</v>
      </c>
      <c r="G40" s="18">
        <v>1.776</v>
      </c>
      <c r="H40" s="18">
        <v>1.2999999999999999E-2</v>
      </c>
      <c r="I40" s="18">
        <v>-14.05</v>
      </c>
      <c r="J40" s="18">
        <v>-2.698</v>
      </c>
      <c r="K40" s="18">
        <v>0.04</v>
      </c>
      <c r="L40" s="18" t="s">
        <v>102</v>
      </c>
      <c r="M40" s="18">
        <v>1</v>
      </c>
      <c r="N40" s="18" t="s">
        <v>507</v>
      </c>
      <c r="O40" s="18" t="s">
        <v>519</v>
      </c>
      <c r="P40" s="18" t="s">
        <v>520</v>
      </c>
      <c r="Q40" s="18" t="s">
        <v>521</v>
      </c>
      <c r="AH40" s="4">
        <v>3</v>
      </c>
      <c r="AI40">
        <v>671</v>
      </c>
      <c r="AJ40" s="18">
        <f t="shared" si="1"/>
        <v>27</v>
      </c>
      <c r="AK40">
        <v>2438</v>
      </c>
    </row>
    <row r="41" spans="1:37" x14ac:dyDescent="0.25">
      <c r="A41" s="18">
        <v>5</v>
      </c>
      <c r="B41" s="18" t="s">
        <v>522</v>
      </c>
      <c r="C41" s="18" t="s">
        <v>500</v>
      </c>
      <c r="D41" s="18" t="s">
        <v>19</v>
      </c>
      <c r="E41" s="39" t="s">
        <v>498</v>
      </c>
      <c r="F41" s="18">
        <v>-4.5</v>
      </c>
      <c r="G41" s="18">
        <v>1.8720000000000001</v>
      </c>
      <c r="H41" s="18">
        <v>1.2999999999999999E-2</v>
      </c>
      <c r="I41" s="18">
        <v>-14.05</v>
      </c>
      <c r="J41" s="18">
        <v>-2.4780000000000002</v>
      </c>
      <c r="K41" s="18">
        <v>1.9E-2</v>
      </c>
      <c r="L41" s="18" t="s">
        <v>102</v>
      </c>
      <c r="M41" s="18">
        <v>1</v>
      </c>
      <c r="N41" s="18" t="s">
        <v>507</v>
      </c>
      <c r="O41" s="18" t="s">
        <v>523</v>
      </c>
      <c r="P41" s="18" t="s">
        <v>524</v>
      </c>
      <c r="Q41" s="18" t="s">
        <v>525</v>
      </c>
      <c r="AH41" s="4">
        <v>3</v>
      </c>
      <c r="AI41">
        <v>678</v>
      </c>
      <c r="AJ41" s="18">
        <f t="shared" si="1"/>
        <v>27</v>
      </c>
      <c r="AK41">
        <v>2354</v>
      </c>
    </row>
    <row r="42" spans="1:37" x14ac:dyDescent="0.25">
      <c r="A42" s="18">
        <v>6</v>
      </c>
      <c r="B42" s="18" t="s">
        <v>114</v>
      </c>
      <c r="C42" s="18" t="s">
        <v>500</v>
      </c>
      <c r="D42" s="18" t="s">
        <v>20</v>
      </c>
      <c r="E42" s="39" t="s">
        <v>498</v>
      </c>
      <c r="F42" s="18">
        <v>-4.5</v>
      </c>
      <c r="G42" s="18">
        <v>1.8280000000000001</v>
      </c>
      <c r="H42" s="18">
        <v>0.01</v>
      </c>
      <c r="I42" s="18">
        <v>-14.05</v>
      </c>
      <c r="J42" s="18">
        <v>-2.484</v>
      </c>
      <c r="K42" s="18">
        <v>1.7000000000000001E-2</v>
      </c>
      <c r="L42" s="18" t="s">
        <v>223</v>
      </c>
      <c r="M42" s="18">
        <v>1</v>
      </c>
      <c r="N42" s="18" t="s">
        <v>526</v>
      </c>
      <c r="O42" s="18" t="s">
        <v>527</v>
      </c>
      <c r="P42" s="18" t="s">
        <v>528</v>
      </c>
      <c r="Q42" s="18" t="s">
        <v>529</v>
      </c>
      <c r="AH42" s="4">
        <v>3</v>
      </c>
      <c r="AI42">
        <v>813</v>
      </c>
      <c r="AJ42" s="18">
        <f t="shared" si="1"/>
        <v>27</v>
      </c>
      <c r="AK42">
        <v>3878</v>
      </c>
    </row>
    <row r="43" spans="1:37" x14ac:dyDescent="0.25">
      <c r="A43" s="18">
        <v>7</v>
      </c>
      <c r="B43" s="18" t="s">
        <v>530</v>
      </c>
      <c r="C43" s="18" t="s">
        <v>500</v>
      </c>
      <c r="D43" s="18" t="s">
        <v>19</v>
      </c>
      <c r="E43" s="39" t="s">
        <v>498</v>
      </c>
      <c r="F43" s="18">
        <v>-4.5</v>
      </c>
      <c r="G43" s="18">
        <v>1.8460000000000001</v>
      </c>
      <c r="H43" s="18">
        <v>1.0999999999999999E-2</v>
      </c>
      <c r="I43" s="18">
        <v>-14.05</v>
      </c>
      <c r="J43" s="18">
        <v>-2.532</v>
      </c>
      <c r="K43" s="18">
        <v>1.6E-2</v>
      </c>
      <c r="L43" s="18" t="s">
        <v>102</v>
      </c>
      <c r="M43" s="18">
        <v>1</v>
      </c>
      <c r="N43" s="18" t="s">
        <v>507</v>
      </c>
      <c r="O43" s="18" t="s">
        <v>531</v>
      </c>
      <c r="P43" s="18" t="s">
        <v>532</v>
      </c>
      <c r="Q43" s="18" t="s">
        <v>533</v>
      </c>
      <c r="AH43" s="4">
        <v>3</v>
      </c>
      <c r="AI43">
        <v>721</v>
      </c>
      <c r="AJ43" s="18">
        <f t="shared" si="1"/>
        <v>27</v>
      </c>
      <c r="AK43">
        <v>2482</v>
      </c>
    </row>
    <row r="44" spans="1:37" x14ac:dyDescent="0.25">
      <c r="A44" s="18">
        <v>8</v>
      </c>
      <c r="B44" s="18" t="s">
        <v>534</v>
      </c>
      <c r="C44" s="18" t="s">
        <v>500</v>
      </c>
      <c r="D44" s="18" t="s">
        <v>19</v>
      </c>
      <c r="E44" s="39" t="s">
        <v>498</v>
      </c>
      <c r="F44" s="18">
        <v>-4.5</v>
      </c>
      <c r="G44" s="18">
        <v>1.8180000000000001</v>
      </c>
      <c r="H44" s="18">
        <v>1.2E-2</v>
      </c>
      <c r="I44" s="18">
        <v>-14.05</v>
      </c>
      <c r="J44" s="18">
        <v>-2.661</v>
      </c>
      <c r="K44" s="18">
        <v>1.0999999999999999E-2</v>
      </c>
      <c r="L44" s="18" t="s">
        <v>102</v>
      </c>
      <c r="M44" s="18">
        <v>1</v>
      </c>
      <c r="N44" s="18" t="s">
        <v>507</v>
      </c>
      <c r="O44" s="18" t="s">
        <v>535</v>
      </c>
      <c r="P44" s="18" t="s">
        <v>536</v>
      </c>
      <c r="Q44" s="18" t="s">
        <v>537</v>
      </c>
      <c r="AH44" s="4">
        <v>3</v>
      </c>
      <c r="AI44">
        <v>671</v>
      </c>
      <c r="AJ44" s="18">
        <f t="shared" si="1"/>
        <v>27</v>
      </c>
      <c r="AK44">
        <v>2312</v>
      </c>
    </row>
    <row r="45" spans="1:37" x14ac:dyDescent="0.25">
      <c r="A45" s="18">
        <v>9</v>
      </c>
      <c r="B45" s="18" t="s">
        <v>538</v>
      </c>
      <c r="C45" s="18" t="s">
        <v>500</v>
      </c>
      <c r="D45" s="18" t="s">
        <v>19</v>
      </c>
      <c r="E45" s="39" t="s">
        <v>498</v>
      </c>
      <c r="F45" s="18">
        <v>-4.5</v>
      </c>
      <c r="G45" s="18">
        <v>1.841</v>
      </c>
      <c r="H45" s="18">
        <v>0.01</v>
      </c>
      <c r="I45" s="18">
        <v>-14.05</v>
      </c>
      <c r="J45" s="18">
        <v>-2.5840000000000001</v>
      </c>
      <c r="K45" s="18">
        <v>3.4000000000000002E-2</v>
      </c>
      <c r="L45" s="18" t="s">
        <v>102</v>
      </c>
      <c r="M45" s="18">
        <v>1</v>
      </c>
      <c r="N45" s="18" t="s">
        <v>507</v>
      </c>
      <c r="O45" s="18" t="s">
        <v>539</v>
      </c>
      <c r="P45" s="18" t="s">
        <v>540</v>
      </c>
      <c r="Q45" s="18" t="s">
        <v>541</v>
      </c>
      <c r="AH45" s="4">
        <v>3</v>
      </c>
      <c r="AI45">
        <v>710</v>
      </c>
      <c r="AJ45" s="18">
        <f t="shared" si="1"/>
        <v>27</v>
      </c>
      <c r="AK45">
        <v>2521</v>
      </c>
    </row>
    <row r="46" spans="1:37" x14ac:dyDescent="0.25">
      <c r="A46" s="18">
        <v>10</v>
      </c>
      <c r="B46" s="18" t="s">
        <v>82</v>
      </c>
      <c r="C46" s="18" t="s">
        <v>500</v>
      </c>
      <c r="D46" s="18" t="s">
        <v>19</v>
      </c>
      <c r="E46" s="39" t="s">
        <v>498</v>
      </c>
      <c r="F46" s="18">
        <v>-4.5</v>
      </c>
      <c r="G46" s="18">
        <v>1.8129999999999999</v>
      </c>
      <c r="H46" s="18">
        <v>1.0999999999999999E-2</v>
      </c>
      <c r="I46" s="18">
        <v>-14.05</v>
      </c>
      <c r="J46" s="18">
        <v>-2.621</v>
      </c>
      <c r="K46" s="18">
        <v>2.7E-2</v>
      </c>
      <c r="L46" s="18" t="s">
        <v>102</v>
      </c>
      <c r="M46" s="18">
        <v>1</v>
      </c>
      <c r="N46" s="18" t="s">
        <v>507</v>
      </c>
      <c r="O46" s="18" t="s">
        <v>542</v>
      </c>
      <c r="P46" s="18" t="s">
        <v>543</v>
      </c>
      <c r="Q46" s="18" t="s">
        <v>544</v>
      </c>
      <c r="AH46" s="4">
        <v>3</v>
      </c>
      <c r="AI46">
        <v>745</v>
      </c>
      <c r="AJ46" s="18">
        <f t="shared" si="1"/>
        <v>27</v>
      </c>
      <c r="AK46">
        <v>2964</v>
      </c>
    </row>
    <row r="47" spans="1:37" x14ac:dyDescent="0.25">
      <c r="A47" s="18">
        <v>11</v>
      </c>
      <c r="B47" s="18" t="s">
        <v>118</v>
      </c>
      <c r="C47" s="18" t="s">
        <v>50</v>
      </c>
      <c r="D47" s="18" t="s">
        <v>19</v>
      </c>
      <c r="E47" s="39" t="s">
        <v>499</v>
      </c>
      <c r="F47" s="18">
        <v>-4.5</v>
      </c>
      <c r="G47" s="18">
        <v>1.859</v>
      </c>
      <c r="H47" s="18">
        <v>1.0999999999999999E-2</v>
      </c>
      <c r="I47" s="18">
        <v>-14.05</v>
      </c>
      <c r="J47" s="18">
        <v>-2.4609999999999999</v>
      </c>
      <c r="K47" s="18">
        <v>8.9999999999999993E-3</v>
      </c>
      <c r="L47" s="18" t="s">
        <v>102</v>
      </c>
      <c r="M47" s="18">
        <v>1</v>
      </c>
      <c r="N47" s="18" t="s">
        <v>507</v>
      </c>
      <c r="O47" s="18" t="s">
        <v>545</v>
      </c>
      <c r="P47" s="18" t="s">
        <v>546</v>
      </c>
      <c r="Q47" s="18" t="s">
        <v>547</v>
      </c>
      <c r="AH47" s="4">
        <v>3</v>
      </c>
      <c r="AI47">
        <v>908</v>
      </c>
      <c r="AJ47" s="18">
        <f>4*9</f>
        <v>36</v>
      </c>
      <c r="AK47">
        <v>5338</v>
      </c>
    </row>
    <row r="48" spans="1:37" x14ac:dyDescent="0.25">
      <c r="A48" s="18">
        <v>12</v>
      </c>
      <c r="B48" s="18" t="s">
        <v>124</v>
      </c>
      <c r="C48" s="18" t="s">
        <v>50</v>
      </c>
      <c r="D48" s="18" t="s">
        <v>19</v>
      </c>
      <c r="E48" s="39" t="s">
        <v>499</v>
      </c>
      <c r="F48" s="18">
        <v>-4.5</v>
      </c>
      <c r="G48" s="18">
        <v>1.8160000000000001</v>
      </c>
      <c r="H48" s="18">
        <v>1.4999999999999999E-2</v>
      </c>
      <c r="I48" s="18">
        <v>-14.05</v>
      </c>
      <c r="J48" s="18">
        <v>-2.548</v>
      </c>
      <c r="K48" s="18">
        <v>2.5999999999999999E-2</v>
      </c>
      <c r="L48" s="18" t="s">
        <v>102</v>
      </c>
      <c r="M48" s="18">
        <v>1</v>
      </c>
      <c r="N48" s="18" t="s">
        <v>507</v>
      </c>
      <c r="O48" s="18" t="s">
        <v>548</v>
      </c>
      <c r="P48" s="18" t="s">
        <v>549</v>
      </c>
      <c r="Q48" s="18" t="s">
        <v>550</v>
      </c>
      <c r="AH48" s="4">
        <v>3</v>
      </c>
      <c r="AI48">
        <v>845</v>
      </c>
      <c r="AJ48" s="18">
        <f t="shared" ref="AJ48:AJ56" si="2">4*9</f>
        <v>36</v>
      </c>
      <c r="AK48">
        <v>4035</v>
      </c>
    </row>
    <row r="49" spans="1:37" x14ac:dyDescent="0.25">
      <c r="A49" s="18">
        <v>13</v>
      </c>
      <c r="B49" s="18" t="s">
        <v>128</v>
      </c>
      <c r="C49" s="18" t="s">
        <v>50</v>
      </c>
      <c r="D49" s="18" t="s">
        <v>19</v>
      </c>
      <c r="E49" s="39" t="s">
        <v>499</v>
      </c>
      <c r="F49" s="18">
        <v>-4.5</v>
      </c>
      <c r="G49" s="18">
        <v>1.825</v>
      </c>
      <c r="H49" s="18">
        <v>1.2E-2</v>
      </c>
      <c r="I49" s="18">
        <v>-14.05</v>
      </c>
      <c r="J49" s="18">
        <v>-2.5139999999999998</v>
      </c>
      <c r="K49" s="18">
        <v>1.7000000000000001E-2</v>
      </c>
      <c r="L49" s="18" t="s">
        <v>102</v>
      </c>
      <c r="M49" s="18">
        <v>1</v>
      </c>
      <c r="N49" s="18" t="s">
        <v>507</v>
      </c>
      <c r="O49" s="18" t="s">
        <v>551</v>
      </c>
      <c r="P49" s="18" t="s">
        <v>552</v>
      </c>
      <c r="Q49" s="18" t="s">
        <v>553</v>
      </c>
      <c r="AH49" s="4">
        <v>3</v>
      </c>
      <c r="AI49">
        <v>894</v>
      </c>
      <c r="AJ49" s="18">
        <f t="shared" si="2"/>
        <v>36</v>
      </c>
      <c r="AK49">
        <v>4700</v>
      </c>
    </row>
    <row r="50" spans="1:37" x14ac:dyDescent="0.25">
      <c r="A50" s="18">
        <v>14</v>
      </c>
      <c r="B50" s="18" t="s">
        <v>132</v>
      </c>
      <c r="C50" s="18" t="s">
        <v>50</v>
      </c>
      <c r="D50" s="18" t="s">
        <v>19</v>
      </c>
      <c r="E50" s="39" t="s">
        <v>499</v>
      </c>
      <c r="F50" s="18">
        <v>-4.5</v>
      </c>
      <c r="G50" s="18">
        <v>1.861</v>
      </c>
      <c r="H50" s="18">
        <v>8.0000000000000002E-3</v>
      </c>
      <c r="I50" s="18">
        <v>-14.05</v>
      </c>
      <c r="J50" s="18">
        <v>-2.4929999999999999</v>
      </c>
      <c r="K50" s="18">
        <v>2.8000000000000001E-2</v>
      </c>
      <c r="L50" s="18" t="s">
        <v>102</v>
      </c>
      <c r="M50" s="18">
        <v>1</v>
      </c>
      <c r="N50" s="18" t="s">
        <v>507</v>
      </c>
      <c r="O50" s="18" t="s">
        <v>554</v>
      </c>
      <c r="P50" s="18" t="s">
        <v>555</v>
      </c>
      <c r="Q50" s="18" t="s">
        <v>556</v>
      </c>
      <c r="AH50" s="4">
        <v>3</v>
      </c>
      <c r="AI50">
        <v>816</v>
      </c>
      <c r="AJ50" s="18">
        <f t="shared" si="2"/>
        <v>36</v>
      </c>
      <c r="AK50">
        <v>3735</v>
      </c>
    </row>
    <row r="51" spans="1:37" x14ac:dyDescent="0.25">
      <c r="A51" s="18">
        <v>15</v>
      </c>
      <c r="B51" s="18" t="s">
        <v>143</v>
      </c>
      <c r="C51" s="18" t="s">
        <v>50</v>
      </c>
      <c r="D51" s="18" t="s">
        <v>19</v>
      </c>
      <c r="E51" s="39" t="s">
        <v>499</v>
      </c>
      <c r="F51" s="18">
        <v>-4.5</v>
      </c>
      <c r="G51" s="18">
        <v>1.794</v>
      </c>
      <c r="H51" s="18">
        <v>8.9999999999999993E-3</v>
      </c>
      <c r="I51" s="18">
        <v>-14.05</v>
      </c>
      <c r="J51" s="18">
        <v>-2.4990000000000001</v>
      </c>
      <c r="K51" s="18">
        <v>5.0000000000000001E-3</v>
      </c>
      <c r="L51" s="18" t="s">
        <v>102</v>
      </c>
      <c r="M51" s="18">
        <v>1</v>
      </c>
      <c r="N51" s="18" t="s">
        <v>507</v>
      </c>
      <c r="O51" s="18" t="s">
        <v>557</v>
      </c>
      <c r="P51" s="18" t="s">
        <v>558</v>
      </c>
      <c r="Q51" s="18" t="s">
        <v>559</v>
      </c>
      <c r="AH51" s="4">
        <v>3</v>
      </c>
      <c r="AI51">
        <v>873</v>
      </c>
      <c r="AJ51" s="18">
        <f t="shared" si="2"/>
        <v>36</v>
      </c>
      <c r="AK51">
        <v>4962</v>
      </c>
    </row>
    <row r="52" spans="1:37" x14ac:dyDescent="0.25">
      <c r="A52" s="18">
        <v>16</v>
      </c>
      <c r="B52" s="18" t="s">
        <v>148</v>
      </c>
      <c r="C52" s="18" t="s">
        <v>50</v>
      </c>
      <c r="D52" s="18" t="s">
        <v>19</v>
      </c>
      <c r="E52" s="39" t="s">
        <v>499</v>
      </c>
      <c r="F52" s="18">
        <v>-4.5</v>
      </c>
      <c r="G52" s="18">
        <v>1.7949999999999999</v>
      </c>
      <c r="H52" s="18">
        <v>4.0000000000000001E-3</v>
      </c>
      <c r="I52" s="18">
        <v>-14.05</v>
      </c>
      <c r="J52" s="18">
        <v>-2.4940000000000002</v>
      </c>
      <c r="K52" s="18">
        <v>2.7E-2</v>
      </c>
      <c r="L52" s="18" t="s">
        <v>102</v>
      </c>
      <c r="M52" s="18">
        <v>1</v>
      </c>
      <c r="N52" s="18" t="s">
        <v>507</v>
      </c>
      <c r="O52" s="18" t="s">
        <v>560</v>
      </c>
      <c r="P52" s="18" t="s">
        <v>561</v>
      </c>
      <c r="Q52" s="18" t="s">
        <v>562</v>
      </c>
      <c r="AH52" s="4">
        <v>3</v>
      </c>
      <c r="AI52">
        <v>745</v>
      </c>
      <c r="AJ52" s="18">
        <f t="shared" si="2"/>
        <v>36</v>
      </c>
      <c r="AK52">
        <v>3039</v>
      </c>
    </row>
    <row r="53" spans="1:37" x14ac:dyDescent="0.25">
      <c r="A53" s="18">
        <v>17</v>
      </c>
      <c r="B53" s="18" t="s">
        <v>152</v>
      </c>
      <c r="C53" s="18" t="s">
        <v>50</v>
      </c>
      <c r="D53" s="18" t="s">
        <v>19</v>
      </c>
      <c r="E53" s="39" t="s">
        <v>499</v>
      </c>
      <c r="F53" s="18">
        <v>-4.5</v>
      </c>
      <c r="G53" s="18">
        <v>1.8720000000000001</v>
      </c>
      <c r="H53" s="18">
        <v>7.0000000000000001E-3</v>
      </c>
      <c r="I53" s="18">
        <v>-14.05</v>
      </c>
      <c r="J53" s="18">
        <v>-2.4380000000000002</v>
      </c>
      <c r="K53" s="18">
        <v>8.0000000000000002E-3</v>
      </c>
      <c r="L53" s="18" t="s">
        <v>102</v>
      </c>
      <c r="M53" s="18">
        <v>1</v>
      </c>
      <c r="N53" s="18" t="s">
        <v>507</v>
      </c>
      <c r="O53" s="18" t="s">
        <v>563</v>
      </c>
      <c r="P53" s="18" t="s">
        <v>564</v>
      </c>
      <c r="Q53" s="18" t="s">
        <v>565</v>
      </c>
      <c r="AH53" s="4">
        <v>3</v>
      </c>
      <c r="AI53">
        <v>873</v>
      </c>
      <c r="AJ53" s="18">
        <f t="shared" si="2"/>
        <v>36</v>
      </c>
      <c r="AK53">
        <v>4485</v>
      </c>
    </row>
    <row r="54" spans="1:37" x14ac:dyDescent="0.25">
      <c r="A54" s="18">
        <v>18</v>
      </c>
      <c r="B54" s="18" t="s">
        <v>156</v>
      </c>
      <c r="C54" s="18" t="s">
        <v>50</v>
      </c>
      <c r="D54" s="18" t="s">
        <v>19</v>
      </c>
      <c r="E54" s="39" t="s">
        <v>499</v>
      </c>
      <c r="F54" s="18">
        <v>-4.5</v>
      </c>
      <c r="G54" s="18">
        <v>1.8959999999999999</v>
      </c>
      <c r="H54" s="18">
        <v>8.0000000000000002E-3</v>
      </c>
      <c r="I54" s="18">
        <v>-14.05</v>
      </c>
      <c r="J54" s="18">
        <v>-2.4089999999999998</v>
      </c>
      <c r="K54" s="18">
        <v>1.2E-2</v>
      </c>
      <c r="L54" s="18" t="s">
        <v>102</v>
      </c>
      <c r="M54" s="18">
        <v>1</v>
      </c>
      <c r="N54" s="18" t="s">
        <v>507</v>
      </c>
      <c r="O54" s="18" t="s">
        <v>566</v>
      </c>
      <c r="P54" s="18" t="s">
        <v>567</v>
      </c>
      <c r="Q54" s="18" t="s">
        <v>568</v>
      </c>
      <c r="AH54" s="4">
        <v>3</v>
      </c>
      <c r="AI54">
        <v>767</v>
      </c>
      <c r="AJ54" s="18">
        <f t="shared" si="2"/>
        <v>36</v>
      </c>
      <c r="AK54">
        <v>3269</v>
      </c>
    </row>
    <row r="55" spans="1:37" x14ac:dyDescent="0.25">
      <c r="A55" s="18">
        <v>19</v>
      </c>
      <c r="B55" s="18" t="s">
        <v>160</v>
      </c>
      <c r="C55" s="18" t="s">
        <v>50</v>
      </c>
      <c r="D55" s="18" t="s">
        <v>19</v>
      </c>
      <c r="E55" s="39" t="s">
        <v>500</v>
      </c>
      <c r="F55" s="18">
        <v>-4.5</v>
      </c>
      <c r="G55" s="18">
        <v>1.833</v>
      </c>
      <c r="H55" s="18">
        <v>8.0000000000000002E-3</v>
      </c>
      <c r="I55" s="18">
        <v>-14.05</v>
      </c>
      <c r="J55" s="18">
        <v>-2.62</v>
      </c>
      <c r="K55" s="18">
        <v>1.7999999999999999E-2</v>
      </c>
      <c r="L55" s="18" t="s">
        <v>102</v>
      </c>
      <c r="M55" s="18">
        <v>1</v>
      </c>
      <c r="N55" s="18" t="s">
        <v>507</v>
      </c>
      <c r="O55" s="18" t="s">
        <v>569</v>
      </c>
      <c r="P55" s="18" t="s">
        <v>570</v>
      </c>
      <c r="Q55" s="18" t="s">
        <v>571</v>
      </c>
      <c r="AH55" s="4">
        <v>3</v>
      </c>
      <c r="AI55">
        <v>756</v>
      </c>
      <c r="AJ55" s="18">
        <f t="shared" si="2"/>
        <v>36</v>
      </c>
      <c r="AK55">
        <v>3258</v>
      </c>
    </row>
    <row r="56" spans="1:37" x14ac:dyDescent="0.25">
      <c r="A56" s="18">
        <v>20</v>
      </c>
      <c r="B56" s="18" t="s">
        <v>165</v>
      </c>
      <c r="C56" s="18" t="s">
        <v>50</v>
      </c>
      <c r="D56" s="18" t="s">
        <v>19</v>
      </c>
      <c r="E56" s="39" t="s">
        <v>500</v>
      </c>
      <c r="F56" s="18">
        <v>-4.5</v>
      </c>
      <c r="G56" s="18">
        <v>1.7689999999999999</v>
      </c>
      <c r="H56" s="18">
        <v>5.0000000000000001E-3</v>
      </c>
      <c r="I56" s="18">
        <v>-14.05</v>
      </c>
      <c r="J56" s="18">
        <v>-2.464</v>
      </c>
      <c r="K56" s="18">
        <v>2.7E-2</v>
      </c>
      <c r="L56" s="18" t="s">
        <v>102</v>
      </c>
      <c r="M56" s="18">
        <v>1</v>
      </c>
      <c r="N56" s="18" t="s">
        <v>507</v>
      </c>
      <c r="O56" s="18" t="s">
        <v>572</v>
      </c>
      <c r="P56" s="18" t="s">
        <v>573</v>
      </c>
      <c r="Q56" s="18" t="s">
        <v>574</v>
      </c>
      <c r="AH56" s="4">
        <v>3</v>
      </c>
      <c r="AI56">
        <v>898</v>
      </c>
      <c r="AJ56" s="18">
        <f t="shared" si="2"/>
        <v>36</v>
      </c>
      <c r="AK56">
        <v>5402</v>
      </c>
    </row>
    <row r="57" spans="1:37" x14ac:dyDescent="0.25">
      <c r="A57" s="18">
        <v>21</v>
      </c>
      <c r="B57" s="18" t="s">
        <v>169</v>
      </c>
      <c r="C57" s="18" t="s">
        <v>575</v>
      </c>
      <c r="D57" s="18" t="s">
        <v>13</v>
      </c>
      <c r="E57" s="39" t="s">
        <v>500</v>
      </c>
      <c r="F57" s="18">
        <v>-4.5</v>
      </c>
      <c r="G57" s="18">
        <v>1.8480000000000001</v>
      </c>
      <c r="H57" s="18">
        <v>0.01</v>
      </c>
      <c r="I57" s="18">
        <v>-14.05</v>
      </c>
      <c r="J57" s="18">
        <v>-2.5470000000000002</v>
      </c>
      <c r="K57" s="18">
        <v>6.0000000000000001E-3</v>
      </c>
      <c r="L57" s="18" t="s">
        <v>576</v>
      </c>
      <c r="M57" s="18">
        <v>1</v>
      </c>
      <c r="N57" s="18" t="s">
        <v>507</v>
      </c>
      <c r="O57" s="18" t="s">
        <v>577</v>
      </c>
      <c r="P57" s="18" t="s">
        <v>578</v>
      </c>
      <c r="Q57" s="18" t="s">
        <v>579</v>
      </c>
      <c r="R57" s="40"/>
      <c r="AH57" s="4">
        <v>3</v>
      </c>
      <c r="AI57">
        <v>887</v>
      </c>
      <c r="AJ57" s="18">
        <f>5*9</f>
        <v>45</v>
      </c>
      <c r="AK57">
        <v>4968</v>
      </c>
    </row>
    <row r="58" spans="1:37" x14ac:dyDescent="0.25">
      <c r="A58" s="18">
        <v>22</v>
      </c>
      <c r="B58" s="18" t="s">
        <v>173</v>
      </c>
      <c r="C58" s="18" t="s">
        <v>575</v>
      </c>
      <c r="D58" s="18" t="s">
        <v>13</v>
      </c>
      <c r="E58" s="39" t="s">
        <v>500</v>
      </c>
      <c r="F58" s="18">
        <v>-4.5</v>
      </c>
      <c r="G58" s="18">
        <v>1.7609999999999999</v>
      </c>
      <c r="H58" s="18">
        <v>4.0000000000000001E-3</v>
      </c>
      <c r="I58" s="18">
        <v>-14.05</v>
      </c>
      <c r="J58" s="18">
        <v>-2.5169999999999999</v>
      </c>
      <c r="K58" s="18">
        <v>2.4E-2</v>
      </c>
      <c r="L58" s="18" t="s">
        <v>576</v>
      </c>
      <c r="M58" s="18">
        <v>1</v>
      </c>
      <c r="N58" s="18" t="s">
        <v>507</v>
      </c>
      <c r="O58" s="18" t="s">
        <v>580</v>
      </c>
      <c r="P58" s="18" t="s">
        <v>581</v>
      </c>
      <c r="Q58" s="18" t="s">
        <v>582</v>
      </c>
      <c r="AH58" s="4">
        <v>3</v>
      </c>
      <c r="AI58">
        <v>901</v>
      </c>
      <c r="AJ58" s="18">
        <f t="shared" ref="AJ58:AJ66" si="3">5*9</f>
        <v>45</v>
      </c>
      <c r="AK58">
        <v>5306</v>
      </c>
    </row>
    <row r="59" spans="1:37" x14ac:dyDescent="0.25">
      <c r="A59" s="18">
        <v>23</v>
      </c>
      <c r="B59" s="18" t="s">
        <v>177</v>
      </c>
      <c r="C59" s="18" t="s">
        <v>575</v>
      </c>
      <c r="D59" s="18" t="s">
        <v>13</v>
      </c>
      <c r="E59" s="39" t="s">
        <v>500</v>
      </c>
      <c r="F59" s="18">
        <v>-4.5</v>
      </c>
      <c r="G59" s="18">
        <v>1.833</v>
      </c>
      <c r="H59" s="18">
        <v>0.02</v>
      </c>
      <c r="I59" s="18">
        <v>-14.05</v>
      </c>
      <c r="J59" s="18">
        <v>-2.3730000000000002</v>
      </c>
      <c r="K59" s="18">
        <v>1.4E-2</v>
      </c>
      <c r="L59" s="18" t="s">
        <v>576</v>
      </c>
      <c r="M59" s="18">
        <v>1</v>
      </c>
      <c r="N59" s="18" t="s">
        <v>507</v>
      </c>
      <c r="O59" s="18" t="s">
        <v>583</v>
      </c>
      <c r="P59" s="18" t="s">
        <v>584</v>
      </c>
      <c r="Q59" s="18" t="s">
        <v>585</v>
      </c>
      <c r="AH59" s="4">
        <v>3</v>
      </c>
      <c r="AI59">
        <v>965</v>
      </c>
      <c r="AJ59" s="18">
        <f t="shared" si="3"/>
        <v>45</v>
      </c>
      <c r="AK59">
        <v>6327</v>
      </c>
    </row>
    <row r="60" spans="1:37" x14ac:dyDescent="0.25">
      <c r="A60" s="18">
        <v>24</v>
      </c>
      <c r="B60" s="18" t="s">
        <v>182</v>
      </c>
      <c r="C60" s="18" t="s">
        <v>575</v>
      </c>
      <c r="D60" s="18" t="s">
        <v>13</v>
      </c>
      <c r="E60" s="39" t="s">
        <v>500</v>
      </c>
      <c r="F60" s="18">
        <v>-4.5</v>
      </c>
      <c r="G60" s="18">
        <v>1.869</v>
      </c>
      <c r="H60" s="18">
        <v>1.2E-2</v>
      </c>
      <c r="I60" s="18">
        <v>-14.05</v>
      </c>
      <c r="J60" s="18">
        <v>-2.3809999999999998</v>
      </c>
      <c r="K60" s="18">
        <v>0.03</v>
      </c>
      <c r="L60" s="18" t="s">
        <v>576</v>
      </c>
      <c r="M60" s="18">
        <v>1</v>
      </c>
      <c r="N60" s="18" t="s">
        <v>507</v>
      </c>
      <c r="O60" s="18" t="s">
        <v>586</v>
      </c>
      <c r="P60" s="18" t="s">
        <v>587</v>
      </c>
      <c r="Q60" s="18" t="s">
        <v>588</v>
      </c>
      <c r="AH60" s="4">
        <v>3</v>
      </c>
      <c r="AI60">
        <v>919</v>
      </c>
      <c r="AJ60" s="18">
        <f t="shared" si="3"/>
        <v>45</v>
      </c>
      <c r="AK60">
        <v>5331</v>
      </c>
    </row>
    <row r="61" spans="1:37" x14ac:dyDescent="0.25">
      <c r="A61" s="18">
        <v>25</v>
      </c>
      <c r="B61" s="18" t="s">
        <v>186</v>
      </c>
      <c r="C61" s="18" t="s">
        <v>575</v>
      </c>
      <c r="D61" s="18" t="s">
        <v>13</v>
      </c>
      <c r="E61" s="39" t="s">
        <v>500</v>
      </c>
      <c r="F61" s="18">
        <v>-4.5</v>
      </c>
      <c r="G61" s="18">
        <v>1.819</v>
      </c>
      <c r="H61" s="18">
        <v>6.0000000000000001E-3</v>
      </c>
      <c r="I61" s="18">
        <v>-14.05</v>
      </c>
      <c r="J61" s="18">
        <v>-2.5070000000000001</v>
      </c>
      <c r="K61" s="18">
        <v>5.0000000000000001E-3</v>
      </c>
      <c r="L61" s="18" t="s">
        <v>576</v>
      </c>
      <c r="M61" s="18">
        <v>1</v>
      </c>
      <c r="N61" s="18" t="s">
        <v>507</v>
      </c>
      <c r="O61" s="18" t="s">
        <v>589</v>
      </c>
      <c r="P61" s="18" t="s">
        <v>590</v>
      </c>
      <c r="Q61" s="18" t="s">
        <v>591</v>
      </c>
      <c r="AH61" s="4">
        <v>3</v>
      </c>
      <c r="AI61">
        <v>976</v>
      </c>
      <c r="AJ61" s="18">
        <f t="shared" si="3"/>
        <v>45</v>
      </c>
      <c r="AK61">
        <v>6036</v>
      </c>
    </row>
    <row r="62" spans="1:37" x14ac:dyDescent="0.25">
      <c r="A62" s="18">
        <v>26</v>
      </c>
      <c r="B62" s="18" t="s">
        <v>190</v>
      </c>
      <c r="C62" s="18" t="s">
        <v>575</v>
      </c>
      <c r="D62" s="18" t="s">
        <v>13</v>
      </c>
      <c r="E62" s="39" t="s">
        <v>500</v>
      </c>
      <c r="F62" s="18">
        <v>-4.5</v>
      </c>
      <c r="G62" s="18">
        <v>1.8220000000000001</v>
      </c>
      <c r="H62" s="18">
        <v>6.0000000000000001E-3</v>
      </c>
      <c r="I62" s="18">
        <v>-14.05</v>
      </c>
      <c r="J62" s="18">
        <v>-2.4289999999999998</v>
      </c>
      <c r="K62" s="18">
        <v>1.7000000000000001E-2</v>
      </c>
      <c r="L62" s="18" t="s">
        <v>576</v>
      </c>
      <c r="M62" s="18">
        <v>1</v>
      </c>
      <c r="N62" s="18" t="s">
        <v>507</v>
      </c>
      <c r="O62" s="18" t="s">
        <v>592</v>
      </c>
      <c r="P62" s="18" t="s">
        <v>593</v>
      </c>
      <c r="Q62" s="18" t="s">
        <v>594</v>
      </c>
      <c r="AH62" s="4">
        <v>3</v>
      </c>
      <c r="AI62">
        <v>958</v>
      </c>
      <c r="AJ62" s="18">
        <f t="shared" si="3"/>
        <v>45</v>
      </c>
      <c r="AK62">
        <v>6087</v>
      </c>
    </row>
    <row r="63" spans="1:37" x14ac:dyDescent="0.25">
      <c r="A63" s="18">
        <v>27</v>
      </c>
      <c r="B63" s="18" t="s">
        <v>198</v>
      </c>
      <c r="C63" s="18" t="s">
        <v>575</v>
      </c>
      <c r="D63" s="18" t="s">
        <v>13</v>
      </c>
      <c r="E63" s="39" t="s">
        <v>50</v>
      </c>
      <c r="F63" s="18">
        <v>-4.5</v>
      </c>
      <c r="G63" s="18">
        <v>1.833</v>
      </c>
      <c r="H63" s="18">
        <v>1.0999999999999999E-2</v>
      </c>
      <c r="I63" s="18">
        <v>-14.05</v>
      </c>
      <c r="J63" s="18">
        <v>-2.5099999999999998</v>
      </c>
      <c r="K63" s="18">
        <v>1.6E-2</v>
      </c>
      <c r="L63" s="18" t="s">
        <v>576</v>
      </c>
      <c r="M63" s="18">
        <v>1</v>
      </c>
      <c r="N63" s="18" t="s">
        <v>526</v>
      </c>
      <c r="O63" s="18" t="s">
        <v>595</v>
      </c>
      <c r="P63" s="18" t="s">
        <v>596</v>
      </c>
      <c r="Q63" s="18" t="s">
        <v>597</v>
      </c>
      <c r="AH63" s="4">
        <v>3</v>
      </c>
      <c r="AI63">
        <v>947</v>
      </c>
      <c r="AJ63" s="18">
        <f t="shared" si="3"/>
        <v>45</v>
      </c>
      <c r="AK63">
        <v>5487</v>
      </c>
    </row>
    <row r="64" spans="1:37" x14ac:dyDescent="0.25">
      <c r="A64" s="18">
        <v>28</v>
      </c>
      <c r="B64" s="18" t="s">
        <v>203</v>
      </c>
      <c r="C64" s="18" t="s">
        <v>575</v>
      </c>
      <c r="D64" s="18" t="s">
        <v>13</v>
      </c>
      <c r="E64" s="39" t="s">
        <v>50</v>
      </c>
      <c r="F64" s="18">
        <v>-4.5</v>
      </c>
      <c r="G64" s="18">
        <v>1.823</v>
      </c>
      <c r="H64" s="18">
        <v>5.0000000000000001E-3</v>
      </c>
      <c r="I64" s="18">
        <v>-14.05</v>
      </c>
      <c r="J64" s="18">
        <v>-2.4780000000000002</v>
      </c>
      <c r="K64" s="18">
        <v>1.7999999999999999E-2</v>
      </c>
      <c r="L64" s="18" t="s">
        <v>576</v>
      </c>
      <c r="M64" s="18">
        <v>1</v>
      </c>
      <c r="N64" s="18" t="s">
        <v>526</v>
      </c>
      <c r="O64" s="18" t="s">
        <v>598</v>
      </c>
      <c r="P64" s="18" t="s">
        <v>599</v>
      </c>
      <c r="Q64" s="18" t="s">
        <v>600</v>
      </c>
      <c r="AH64" s="4">
        <v>3</v>
      </c>
      <c r="AI64">
        <v>944</v>
      </c>
      <c r="AJ64" s="18">
        <f t="shared" si="3"/>
        <v>45</v>
      </c>
      <c r="AK64">
        <v>5278</v>
      </c>
    </row>
    <row r="65" spans="1:40" x14ac:dyDescent="0.25">
      <c r="A65" s="18">
        <v>29</v>
      </c>
      <c r="B65" s="18" t="s">
        <v>207</v>
      </c>
      <c r="C65" s="18" t="s">
        <v>575</v>
      </c>
      <c r="D65" s="18" t="s">
        <v>13</v>
      </c>
      <c r="E65" s="39" t="s">
        <v>50</v>
      </c>
      <c r="F65" s="18">
        <v>-4.5</v>
      </c>
      <c r="G65" s="18">
        <v>1.8540000000000001</v>
      </c>
      <c r="H65" s="18">
        <v>6.0000000000000001E-3</v>
      </c>
      <c r="I65" s="18">
        <v>-14.05</v>
      </c>
      <c r="J65" s="18">
        <v>-2.4830000000000001</v>
      </c>
      <c r="K65" s="18">
        <v>2.1000000000000001E-2</v>
      </c>
      <c r="L65" s="18" t="s">
        <v>576</v>
      </c>
      <c r="M65" s="18">
        <v>1</v>
      </c>
      <c r="N65" s="18" t="s">
        <v>526</v>
      </c>
      <c r="O65" s="18" t="s">
        <v>601</v>
      </c>
      <c r="P65" s="18" t="s">
        <v>602</v>
      </c>
      <c r="Q65" s="18" t="s">
        <v>603</v>
      </c>
      <c r="AH65" s="4">
        <v>3</v>
      </c>
      <c r="AI65">
        <v>968</v>
      </c>
      <c r="AJ65" s="18">
        <f t="shared" si="3"/>
        <v>45</v>
      </c>
      <c r="AK65">
        <v>5949</v>
      </c>
    </row>
    <row r="66" spans="1:40" x14ac:dyDescent="0.25">
      <c r="A66" s="18">
        <v>30</v>
      </c>
      <c r="B66" s="18" t="s">
        <v>211</v>
      </c>
      <c r="C66" s="18" t="s">
        <v>575</v>
      </c>
      <c r="D66" s="18" t="s">
        <v>13</v>
      </c>
      <c r="E66" s="39" t="s">
        <v>50</v>
      </c>
      <c r="F66" s="18">
        <v>-4.5</v>
      </c>
      <c r="G66" s="18">
        <v>1.8180000000000001</v>
      </c>
      <c r="H66" s="18">
        <v>0.01</v>
      </c>
      <c r="I66" s="18">
        <v>-14.05</v>
      </c>
      <c r="J66" s="18">
        <v>-2.4470000000000001</v>
      </c>
      <c r="K66" s="18">
        <v>5.0000000000000001E-3</v>
      </c>
      <c r="L66" s="18" t="s">
        <v>576</v>
      </c>
      <c r="M66" s="18">
        <v>1</v>
      </c>
      <c r="N66" s="18" t="s">
        <v>526</v>
      </c>
      <c r="O66" s="18" t="s">
        <v>604</v>
      </c>
      <c r="P66" s="18" t="s">
        <v>605</v>
      </c>
      <c r="Q66" s="18" t="s">
        <v>606</v>
      </c>
      <c r="AH66" s="4">
        <v>3</v>
      </c>
      <c r="AI66">
        <v>944</v>
      </c>
      <c r="AJ66" s="18">
        <f t="shared" si="3"/>
        <v>45</v>
      </c>
      <c r="AK66">
        <v>5227</v>
      </c>
    </row>
    <row r="68" spans="1:40" x14ac:dyDescent="0.25">
      <c r="A68" s="45">
        <v>42228</v>
      </c>
    </row>
    <row r="69" spans="1:40" x14ac:dyDescent="0.25">
      <c r="A69" s="18" t="s">
        <v>24</v>
      </c>
      <c r="B69" s="18" t="s">
        <v>25</v>
      </c>
      <c r="C69" s="18" t="s">
        <v>26</v>
      </c>
      <c r="D69" s="18" t="s">
        <v>27</v>
      </c>
      <c r="E69" s="18" t="s">
        <v>28</v>
      </c>
      <c r="F69" s="18" t="s">
        <v>30</v>
      </c>
      <c r="G69" s="18" t="s">
        <v>31</v>
      </c>
      <c r="H69" s="18" t="s">
        <v>33</v>
      </c>
      <c r="I69" s="18" t="s">
        <v>34</v>
      </c>
      <c r="J69" s="18" t="s">
        <v>35</v>
      </c>
      <c r="K69" s="18" t="s">
        <v>40</v>
      </c>
      <c r="L69" s="18" t="s">
        <v>41</v>
      </c>
      <c r="M69" s="18" t="s">
        <v>42</v>
      </c>
      <c r="N69" s="18" t="s">
        <v>43</v>
      </c>
      <c r="AF69" t="s">
        <v>36</v>
      </c>
      <c r="AG69" t="s">
        <v>44</v>
      </c>
      <c r="AH69" t="s">
        <v>608</v>
      </c>
      <c r="AI69" t="s">
        <v>45</v>
      </c>
      <c r="AJ69" t="s">
        <v>46</v>
      </c>
      <c r="AK69" t="s">
        <v>47</v>
      </c>
      <c r="AL69" t="s">
        <v>609</v>
      </c>
      <c r="AM69" t="s">
        <v>48</v>
      </c>
    </row>
    <row r="70" spans="1:40" x14ac:dyDescent="0.25">
      <c r="A70" s="18">
        <v>1</v>
      </c>
      <c r="B70" s="18" t="s">
        <v>49</v>
      </c>
      <c r="C70" s="18" t="s">
        <v>50</v>
      </c>
      <c r="D70" s="18" t="s">
        <v>13</v>
      </c>
      <c r="E70" s="18" t="s">
        <v>50</v>
      </c>
      <c r="F70" s="41">
        <v>1.8420000000000001</v>
      </c>
      <c r="G70" s="41">
        <v>4.0000000000000001E-3</v>
      </c>
      <c r="H70" s="41">
        <v>-2.3119999999999998</v>
      </c>
      <c r="I70" s="18">
        <v>5.0000000000000001E-3</v>
      </c>
      <c r="J70" s="18" t="s">
        <v>576</v>
      </c>
      <c r="K70" s="18" t="s">
        <v>610</v>
      </c>
      <c r="L70" s="18" t="s">
        <v>611</v>
      </c>
      <c r="M70" s="18" t="s">
        <v>612</v>
      </c>
      <c r="N70" s="18" t="s">
        <v>613</v>
      </c>
      <c r="AF70">
        <v>3</v>
      </c>
      <c r="AG70">
        <v>848</v>
      </c>
      <c r="AI70">
        <v>5288</v>
      </c>
      <c r="AJ70">
        <v>4739</v>
      </c>
      <c r="AK70">
        <v>4402</v>
      </c>
      <c r="AL70" s="35">
        <f>4*9</f>
        <v>36</v>
      </c>
      <c r="AM70" s="35">
        <f>AJ70-AK70</f>
        <v>337</v>
      </c>
      <c r="AN70" s="35"/>
    </row>
    <row r="71" spans="1:40" x14ac:dyDescent="0.25">
      <c r="A71" s="18">
        <v>2</v>
      </c>
      <c r="B71" s="18" t="s">
        <v>56</v>
      </c>
      <c r="C71" s="18" t="s">
        <v>50</v>
      </c>
      <c r="D71" s="18" t="s">
        <v>13</v>
      </c>
      <c r="E71" s="18" t="s">
        <v>50</v>
      </c>
      <c r="F71" s="41">
        <v>1.788</v>
      </c>
      <c r="G71" s="41">
        <v>8.0000000000000002E-3</v>
      </c>
      <c r="H71" s="41">
        <v>-2.415</v>
      </c>
      <c r="I71" s="18">
        <v>1.2E-2</v>
      </c>
      <c r="J71" s="18" t="s">
        <v>576</v>
      </c>
      <c r="K71" s="18" t="s">
        <v>610</v>
      </c>
      <c r="L71" s="18" t="s">
        <v>614</v>
      </c>
      <c r="M71" s="18" t="s">
        <v>615</v>
      </c>
      <c r="N71" s="18" t="s">
        <v>616</v>
      </c>
      <c r="AF71">
        <v>3</v>
      </c>
      <c r="AG71">
        <v>816</v>
      </c>
      <c r="AI71">
        <v>4185</v>
      </c>
      <c r="AJ71">
        <v>3710</v>
      </c>
      <c r="AK71">
        <v>3444</v>
      </c>
      <c r="AL71" s="35">
        <f t="shared" ref="AL71:AL80" si="4">4*9</f>
        <v>36</v>
      </c>
      <c r="AM71" s="35">
        <f t="shared" ref="AM71:AM107" si="5">AJ71-AK71</f>
        <v>266</v>
      </c>
      <c r="AN71" s="35"/>
    </row>
    <row r="72" spans="1:40" x14ac:dyDescent="0.25">
      <c r="A72" s="18">
        <v>3</v>
      </c>
      <c r="B72" s="18" t="s">
        <v>60</v>
      </c>
      <c r="C72" s="18" t="s">
        <v>50</v>
      </c>
      <c r="D72" s="18" t="s">
        <v>13</v>
      </c>
      <c r="E72" s="18" t="s">
        <v>50</v>
      </c>
      <c r="F72" s="41">
        <v>1.7969999999999999</v>
      </c>
      <c r="G72" s="41">
        <v>1.0999999999999999E-2</v>
      </c>
      <c r="H72" s="41">
        <v>-2.4670000000000001</v>
      </c>
      <c r="I72" s="18">
        <v>1.7999999999999999E-2</v>
      </c>
      <c r="J72" s="18" t="s">
        <v>576</v>
      </c>
      <c r="K72" s="18" t="s">
        <v>610</v>
      </c>
      <c r="L72" s="18" t="s">
        <v>617</v>
      </c>
      <c r="M72" s="18" t="s">
        <v>618</v>
      </c>
      <c r="N72" s="18" t="s">
        <v>619</v>
      </c>
      <c r="AF72">
        <v>3</v>
      </c>
      <c r="AG72">
        <v>845</v>
      </c>
      <c r="AI72">
        <v>4819</v>
      </c>
      <c r="AJ72">
        <v>4284</v>
      </c>
      <c r="AK72">
        <v>3980</v>
      </c>
      <c r="AL72" s="35">
        <f t="shared" si="4"/>
        <v>36</v>
      </c>
      <c r="AM72" s="35">
        <f t="shared" si="5"/>
        <v>304</v>
      </c>
      <c r="AN72" s="35"/>
    </row>
    <row r="73" spans="1:40" x14ac:dyDescent="0.25">
      <c r="A73" s="18">
        <v>4</v>
      </c>
      <c r="B73" s="18" t="s">
        <v>64</v>
      </c>
      <c r="C73" s="18" t="s">
        <v>50</v>
      </c>
      <c r="D73" s="18" t="s">
        <v>13</v>
      </c>
      <c r="E73" s="18" t="s">
        <v>50</v>
      </c>
      <c r="F73" s="41">
        <v>1.766</v>
      </c>
      <c r="G73" s="41">
        <v>5.0000000000000001E-3</v>
      </c>
      <c r="H73" s="41">
        <v>-2.5569999999999999</v>
      </c>
      <c r="I73" s="18">
        <v>0.02</v>
      </c>
      <c r="J73" s="18" t="s">
        <v>576</v>
      </c>
      <c r="K73" s="18" t="s">
        <v>610</v>
      </c>
      <c r="L73" s="18" t="s">
        <v>620</v>
      </c>
      <c r="M73" s="18" t="s">
        <v>621</v>
      </c>
      <c r="N73" s="18" t="s">
        <v>622</v>
      </c>
      <c r="AF73">
        <v>3</v>
      </c>
      <c r="AG73">
        <v>760</v>
      </c>
      <c r="AI73">
        <v>3798</v>
      </c>
      <c r="AJ73">
        <v>3396</v>
      </c>
      <c r="AK73">
        <v>3156</v>
      </c>
      <c r="AL73" s="35">
        <f t="shared" si="4"/>
        <v>36</v>
      </c>
      <c r="AM73" s="35">
        <f t="shared" si="5"/>
        <v>240</v>
      </c>
      <c r="AN73" s="35"/>
    </row>
    <row r="74" spans="1:40" x14ac:dyDescent="0.25">
      <c r="A74" s="18">
        <v>5</v>
      </c>
      <c r="B74" s="18" t="s">
        <v>110</v>
      </c>
      <c r="C74" s="18" t="s">
        <v>50</v>
      </c>
      <c r="D74" s="18" t="s">
        <v>13</v>
      </c>
      <c r="E74" s="18" t="s">
        <v>50</v>
      </c>
      <c r="F74" s="41">
        <v>1.794</v>
      </c>
      <c r="G74" s="41">
        <v>6.0000000000000001E-3</v>
      </c>
      <c r="H74" s="41">
        <v>-2.5179999999999998</v>
      </c>
      <c r="I74" s="18">
        <v>1.6E-2</v>
      </c>
      <c r="J74" s="18" t="s">
        <v>576</v>
      </c>
      <c r="K74" s="18" t="s">
        <v>610</v>
      </c>
      <c r="L74" s="18" t="s">
        <v>623</v>
      </c>
      <c r="M74" s="18" t="s">
        <v>624</v>
      </c>
      <c r="N74" s="18" t="s">
        <v>625</v>
      </c>
      <c r="AF74">
        <v>3</v>
      </c>
      <c r="AG74">
        <v>830</v>
      </c>
      <c r="AI74">
        <v>5318</v>
      </c>
      <c r="AJ74">
        <v>4762</v>
      </c>
      <c r="AK74">
        <v>4424</v>
      </c>
      <c r="AL74" s="35">
        <f t="shared" si="4"/>
        <v>36</v>
      </c>
      <c r="AM74" s="35">
        <f t="shared" si="5"/>
        <v>338</v>
      </c>
      <c r="AN74" s="35"/>
    </row>
    <row r="75" spans="1:40" x14ac:dyDescent="0.25">
      <c r="A75" s="18">
        <v>6</v>
      </c>
      <c r="B75" s="18" t="s">
        <v>114</v>
      </c>
      <c r="C75" s="18" t="s">
        <v>50</v>
      </c>
      <c r="D75" s="18" t="s">
        <v>13</v>
      </c>
      <c r="E75" s="18" t="s">
        <v>50</v>
      </c>
      <c r="F75" s="41">
        <v>1.8440000000000001</v>
      </c>
      <c r="G75" s="41">
        <v>1.4E-2</v>
      </c>
      <c r="H75" s="41">
        <v>-2.472</v>
      </c>
      <c r="I75" s="18">
        <v>2.4E-2</v>
      </c>
      <c r="J75" s="18" t="s">
        <v>576</v>
      </c>
      <c r="K75" s="18" t="s">
        <v>610</v>
      </c>
      <c r="L75" s="18" t="s">
        <v>626</v>
      </c>
      <c r="M75" s="18" t="s">
        <v>627</v>
      </c>
      <c r="N75" s="18" t="s">
        <v>628</v>
      </c>
      <c r="AF75">
        <v>3</v>
      </c>
      <c r="AG75">
        <v>837</v>
      </c>
      <c r="AI75">
        <v>4843</v>
      </c>
      <c r="AJ75">
        <v>4281</v>
      </c>
      <c r="AK75">
        <v>3978</v>
      </c>
      <c r="AL75" s="35">
        <f t="shared" si="4"/>
        <v>36</v>
      </c>
      <c r="AM75" s="35">
        <f t="shared" si="5"/>
        <v>303</v>
      </c>
      <c r="AN75" s="35"/>
    </row>
    <row r="76" spans="1:40" x14ac:dyDescent="0.25">
      <c r="A76" s="18">
        <v>7</v>
      </c>
      <c r="B76" s="18" t="s">
        <v>68</v>
      </c>
      <c r="C76" s="18" t="s">
        <v>50</v>
      </c>
      <c r="D76" s="18" t="s">
        <v>13</v>
      </c>
      <c r="E76" s="18" t="s">
        <v>50</v>
      </c>
      <c r="F76" s="41">
        <v>1.542</v>
      </c>
      <c r="G76" s="41">
        <v>3.0000000000000001E-3</v>
      </c>
      <c r="H76" s="41">
        <v>-2.5150000000000001</v>
      </c>
      <c r="I76" s="18">
        <v>2.5000000000000001E-2</v>
      </c>
      <c r="J76" s="18" t="s">
        <v>576</v>
      </c>
      <c r="K76" s="18" t="s">
        <v>610</v>
      </c>
      <c r="L76" s="18" t="s">
        <v>629</v>
      </c>
      <c r="M76" s="18" t="s">
        <v>630</v>
      </c>
      <c r="N76" s="18" t="s">
        <v>631</v>
      </c>
      <c r="AF76">
        <v>3</v>
      </c>
      <c r="AG76">
        <v>806</v>
      </c>
      <c r="AI76">
        <v>4041</v>
      </c>
      <c r="AJ76">
        <v>3628</v>
      </c>
      <c r="AK76">
        <v>3372</v>
      </c>
      <c r="AL76" s="35">
        <f t="shared" si="4"/>
        <v>36</v>
      </c>
      <c r="AM76" s="35">
        <f t="shared" si="5"/>
        <v>256</v>
      </c>
      <c r="AN76" s="35"/>
    </row>
    <row r="77" spans="1:40" x14ac:dyDescent="0.25">
      <c r="A77" s="18">
        <v>8</v>
      </c>
      <c r="B77" s="18" t="s">
        <v>74</v>
      </c>
      <c r="C77" s="18" t="s">
        <v>50</v>
      </c>
      <c r="D77" s="18" t="s">
        <v>13</v>
      </c>
      <c r="E77" s="18" t="s">
        <v>50</v>
      </c>
      <c r="F77" s="41">
        <v>1.8380000000000001</v>
      </c>
      <c r="G77" s="41">
        <v>6.0000000000000001E-3</v>
      </c>
      <c r="H77" s="41">
        <v>-2.496</v>
      </c>
      <c r="I77" s="18">
        <v>1.6E-2</v>
      </c>
      <c r="J77" s="18" t="s">
        <v>576</v>
      </c>
      <c r="K77" s="18" t="s">
        <v>610</v>
      </c>
      <c r="L77" s="18" t="s">
        <v>632</v>
      </c>
      <c r="M77" s="18" t="s">
        <v>633</v>
      </c>
      <c r="N77" s="18" t="s">
        <v>634</v>
      </c>
      <c r="AF77">
        <v>3</v>
      </c>
      <c r="AG77">
        <v>813</v>
      </c>
      <c r="AI77">
        <v>4041</v>
      </c>
      <c r="AJ77">
        <v>3614</v>
      </c>
      <c r="AK77">
        <v>3359</v>
      </c>
      <c r="AL77" s="35">
        <f t="shared" si="4"/>
        <v>36</v>
      </c>
      <c r="AM77" s="35">
        <f t="shared" si="5"/>
        <v>255</v>
      </c>
      <c r="AN77" s="35"/>
    </row>
    <row r="78" spans="1:40" x14ac:dyDescent="0.25">
      <c r="A78" s="18">
        <v>9</v>
      </c>
      <c r="B78" s="18" t="s">
        <v>78</v>
      </c>
      <c r="C78" s="18" t="s">
        <v>50</v>
      </c>
      <c r="D78" s="18" t="s">
        <v>13</v>
      </c>
      <c r="E78" s="18" t="s">
        <v>50</v>
      </c>
      <c r="F78" s="41">
        <v>1.4350000000000001</v>
      </c>
      <c r="G78" s="41">
        <v>8.0000000000000002E-3</v>
      </c>
      <c r="H78" s="41">
        <v>-2.5470000000000002</v>
      </c>
      <c r="I78" s="18">
        <v>2.5999999999999999E-2</v>
      </c>
      <c r="J78" s="18" t="s">
        <v>576</v>
      </c>
      <c r="K78" s="18" t="s">
        <v>610</v>
      </c>
      <c r="L78" s="18" t="s">
        <v>635</v>
      </c>
      <c r="M78" s="18" t="s">
        <v>636</v>
      </c>
      <c r="N78" s="18" t="s">
        <v>637</v>
      </c>
      <c r="AF78">
        <v>3</v>
      </c>
      <c r="AG78">
        <v>806</v>
      </c>
      <c r="AI78">
        <v>4030</v>
      </c>
      <c r="AJ78">
        <v>3614</v>
      </c>
      <c r="AK78">
        <v>3360</v>
      </c>
      <c r="AL78" s="35">
        <f t="shared" si="4"/>
        <v>36</v>
      </c>
      <c r="AM78" s="35">
        <f t="shared" si="5"/>
        <v>254</v>
      </c>
      <c r="AN78" s="35"/>
    </row>
    <row r="79" spans="1:40" x14ac:dyDescent="0.25">
      <c r="A79" s="18">
        <v>10</v>
      </c>
      <c r="B79" s="18" t="s">
        <v>82</v>
      </c>
      <c r="C79" s="18" t="s">
        <v>50</v>
      </c>
      <c r="D79" s="18" t="s">
        <v>13</v>
      </c>
      <c r="E79" s="18" t="s">
        <v>50</v>
      </c>
      <c r="F79" s="41">
        <v>1.786</v>
      </c>
      <c r="G79" s="41">
        <v>8.9999999999999993E-3</v>
      </c>
      <c r="H79" s="41">
        <v>-2.6360000000000001</v>
      </c>
      <c r="I79" s="18">
        <v>2.1999999999999999E-2</v>
      </c>
      <c r="J79" s="18" t="s">
        <v>576</v>
      </c>
      <c r="K79" s="18" t="s">
        <v>610</v>
      </c>
      <c r="L79" s="18" t="s">
        <v>638</v>
      </c>
      <c r="M79" s="18" t="s">
        <v>639</v>
      </c>
      <c r="N79" s="18" t="s">
        <v>640</v>
      </c>
      <c r="AF79">
        <v>3</v>
      </c>
      <c r="AG79">
        <v>745</v>
      </c>
      <c r="AI79">
        <v>3124</v>
      </c>
      <c r="AJ79">
        <v>2744</v>
      </c>
      <c r="AK79">
        <v>2550</v>
      </c>
      <c r="AL79" s="35">
        <f t="shared" si="4"/>
        <v>36</v>
      </c>
      <c r="AM79" s="35">
        <f t="shared" si="5"/>
        <v>194</v>
      </c>
      <c r="AN79" s="35"/>
    </row>
    <row r="80" spans="1:40" x14ac:dyDescent="0.25">
      <c r="A80" s="18">
        <v>11</v>
      </c>
      <c r="B80" s="18" t="s">
        <v>118</v>
      </c>
      <c r="C80" s="18" t="s">
        <v>50</v>
      </c>
      <c r="D80" s="18" t="s">
        <v>13</v>
      </c>
      <c r="E80" s="18" t="s">
        <v>50</v>
      </c>
      <c r="F80" s="41">
        <v>1.6850000000000001</v>
      </c>
      <c r="G80" s="41">
        <v>0.01</v>
      </c>
      <c r="H80" s="41">
        <v>-2.5529999999999999</v>
      </c>
      <c r="I80" s="18">
        <v>1.7999999999999999E-2</v>
      </c>
      <c r="J80" s="18" t="s">
        <v>576</v>
      </c>
      <c r="K80" s="18" t="s">
        <v>610</v>
      </c>
      <c r="L80" s="18" t="s">
        <v>641</v>
      </c>
      <c r="M80" s="18" t="s">
        <v>642</v>
      </c>
      <c r="N80" s="18" t="s">
        <v>643</v>
      </c>
      <c r="AF80">
        <v>3</v>
      </c>
      <c r="AG80">
        <v>756</v>
      </c>
      <c r="AI80">
        <v>3117</v>
      </c>
      <c r="AJ80">
        <v>2733</v>
      </c>
      <c r="AK80">
        <v>2542</v>
      </c>
      <c r="AL80" s="35">
        <f t="shared" si="4"/>
        <v>36</v>
      </c>
      <c r="AM80" s="35">
        <f t="shared" si="5"/>
        <v>191</v>
      </c>
      <c r="AN80" s="35"/>
    </row>
    <row r="81" spans="1:40" x14ac:dyDescent="0.25">
      <c r="A81" s="18">
        <v>12</v>
      </c>
      <c r="B81" s="18" t="s">
        <v>124</v>
      </c>
      <c r="C81" s="18" t="s">
        <v>50</v>
      </c>
      <c r="D81" s="18" t="s">
        <v>13</v>
      </c>
      <c r="E81" s="18" t="s">
        <v>50</v>
      </c>
      <c r="F81" s="41">
        <v>1.8320000000000001</v>
      </c>
      <c r="G81" s="41">
        <v>7.0000000000000001E-3</v>
      </c>
      <c r="H81" s="41">
        <v>-2.4809999999999999</v>
      </c>
      <c r="I81" s="18">
        <v>2.9000000000000001E-2</v>
      </c>
      <c r="J81" s="18" t="s">
        <v>576</v>
      </c>
      <c r="K81" s="18" t="s">
        <v>610</v>
      </c>
      <c r="L81" s="18" t="s">
        <v>644</v>
      </c>
      <c r="M81" s="18" t="s">
        <v>645</v>
      </c>
      <c r="N81" s="18" t="s">
        <v>646</v>
      </c>
      <c r="AF81">
        <v>3</v>
      </c>
      <c r="AG81">
        <v>834</v>
      </c>
      <c r="AI81">
        <v>4191</v>
      </c>
      <c r="AJ81">
        <v>3748</v>
      </c>
      <c r="AK81">
        <v>3479</v>
      </c>
      <c r="AL81" s="35">
        <f>4*9</f>
        <v>36</v>
      </c>
      <c r="AM81" s="35">
        <f t="shared" si="5"/>
        <v>269</v>
      </c>
      <c r="AN81" s="35"/>
    </row>
    <row r="82" spans="1:40" x14ac:dyDescent="0.25">
      <c r="A82" s="18">
        <v>13</v>
      </c>
      <c r="B82" s="18" t="s">
        <v>128</v>
      </c>
      <c r="C82" s="18" t="s">
        <v>575</v>
      </c>
      <c r="D82" s="18" t="s">
        <v>13</v>
      </c>
      <c r="E82" s="18" t="s">
        <v>575</v>
      </c>
      <c r="F82" s="41">
        <v>1.736</v>
      </c>
      <c r="G82" s="41">
        <v>1.2999999999999999E-2</v>
      </c>
      <c r="H82" s="41">
        <v>-2.5470000000000002</v>
      </c>
      <c r="I82" s="18">
        <v>8.0000000000000002E-3</v>
      </c>
      <c r="J82" s="18" t="s">
        <v>576</v>
      </c>
      <c r="K82" s="18" t="s">
        <v>610</v>
      </c>
      <c r="L82" s="18" t="s">
        <v>647</v>
      </c>
      <c r="M82" s="18" t="s">
        <v>648</v>
      </c>
      <c r="N82" s="18" t="s">
        <v>649</v>
      </c>
      <c r="AF82">
        <v>3</v>
      </c>
      <c r="AG82">
        <v>901</v>
      </c>
      <c r="AI82">
        <v>5869</v>
      </c>
      <c r="AJ82">
        <v>5220</v>
      </c>
      <c r="AK82">
        <v>4848</v>
      </c>
      <c r="AL82" s="35">
        <f>5*9</f>
        <v>45</v>
      </c>
      <c r="AM82" s="35">
        <f t="shared" si="5"/>
        <v>372</v>
      </c>
      <c r="AN82" s="35"/>
    </row>
    <row r="83" spans="1:40" x14ac:dyDescent="0.25">
      <c r="A83" s="18">
        <v>14</v>
      </c>
      <c r="B83" s="18" t="s">
        <v>132</v>
      </c>
      <c r="C83" s="18" t="s">
        <v>575</v>
      </c>
      <c r="D83" s="18" t="s">
        <v>13</v>
      </c>
      <c r="E83" s="18" t="s">
        <v>575</v>
      </c>
      <c r="F83" s="41">
        <v>1.706</v>
      </c>
      <c r="G83" s="41">
        <v>0.01</v>
      </c>
      <c r="H83" s="41">
        <v>-2.5499999999999998</v>
      </c>
      <c r="I83" s="18">
        <v>2.5999999999999999E-2</v>
      </c>
      <c r="J83" s="18" t="s">
        <v>576</v>
      </c>
      <c r="K83" s="18" t="s">
        <v>610</v>
      </c>
      <c r="L83" s="18" t="s">
        <v>650</v>
      </c>
      <c r="M83" s="18" t="s">
        <v>651</v>
      </c>
      <c r="N83" s="18" t="s">
        <v>652</v>
      </c>
      <c r="AF83">
        <v>3</v>
      </c>
      <c r="AG83">
        <v>887</v>
      </c>
      <c r="AI83">
        <v>5413</v>
      </c>
      <c r="AJ83">
        <v>4830</v>
      </c>
      <c r="AK83">
        <v>4483</v>
      </c>
      <c r="AL83" s="35">
        <f t="shared" ref="AL83:AL91" si="6">5*9</f>
        <v>45</v>
      </c>
      <c r="AM83" s="35">
        <f t="shared" si="5"/>
        <v>347</v>
      </c>
      <c r="AN83" s="35"/>
    </row>
    <row r="84" spans="1:40" x14ac:dyDescent="0.25">
      <c r="A84" s="18">
        <v>15</v>
      </c>
      <c r="B84" s="18" t="s">
        <v>143</v>
      </c>
      <c r="C84" s="18" t="s">
        <v>575</v>
      </c>
      <c r="D84" s="18" t="s">
        <v>13</v>
      </c>
      <c r="E84" s="18" t="s">
        <v>575</v>
      </c>
      <c r="F84" s="41">
        <v>1.7509999999999999</v>
      </c>
      <c r="G84" s="41">
        <v>8.0000000000000002E-3</v>
      </c>
      <c r="H84" s="41">
        <v>-2.609</v>
      </c>
      <c r="I84" s="18">
        <v>2.1000000000000001E-2</v>
      </c>
      <c r="J84" s="18" t="s">
        <v>576</v>
      </c>
      <c r="K84" s="18" t="s">
        <v>610</v>
      </c>
      <c r="L84" s="18" t="s">
        <v>653</v>
      </c>
      <c r="M84" s="18" t="s">
        <v>654</v>
      </c>
      <c r="N84" s="18" t="s">
        <v>655</v>
      </c>
      <c r="AF84">
        <v>3</v>
      </c>
      <c r="AG84">
        <v>852</v>
      </c>
      <c r="AI84">
        <v>4910</v>
      </c>
      <c r="AJ84">
        <v>4385</v>
      </c>
      <c r="AK84">
        <v>4074</v>
      </c>
      <c r="AL84" s="35">
        <f t="shared" si="6"/>
        <v>45</v>
      </c>
      <c r="AM84" s="35">
        <f t="shared" si="5"/>
        <v>311</v>
      </c>
      <c r="AN84" s="35"/>
    </row>
    <row r="85" spans="1:40" x14ac:dyDescent="0.25">
      <c r="A85" s="18">
        <v>16</v>
      </c>
      <c r="B85" s="18" t="s">
        <v>148</v>
      </c>
      <c r="C85" s="18" t="s">
        <v>575</v>
      </c>
      <c r="D85" s="18" t="s">
        <v>13</v>
      </c>
      <c r="E85" s="18" t="s">
        <v>575</v>
      </c>
      <c r="F85" s="41">
        <v>1.841</v>
      </c>
      <c r="G85" s="41">
        <v>5.0000000000000001E-3</v>
      </c>
      <c r="H85" s="41">
        <v>-2.5209999999999999</v>
      </c>
      <c r="I85" s="18">
        <v>2.5000000000000001E-2</v>
      </c>
      <c r="J85" s="18" t="s">
        <v>576</v>
      </c>
      <c r="K85" s="18" t="s">
        <v>610</v>
      </c>
      <c r="L85" s="18" t="s">
        <v>656</v>
      </c>
      <c r="M85" s="18" t="s">
        <v>657</v>
      </c>
      <c r="N85" s="18" t="s">
        <v>658</v>
      </c>
      <c r="AF85">
        <v>3</v>
      </c>
      <c r="AG85">
        <v>852</v>
      </c>
      <c r="AI85">
        <v>5233</v>
      </c>
      <c r="AJ85">
        <v>4669</v>
      </c>
      <c r="AK85">
        <v>4337</v>
      </c>
      <c r="AL85" s="35">
        <f t="shared" si="6"/>
        <v>45</v>
      </c>
      <c r="AM85" s="35">
        <f t="shared" si="5"/>
        <v>332</v>
      </c>
      <c r="AN85" s="35"/>
    </row>
    <row r="86" spans="1:40" x14ac:dyDescent="0.25">
      <c r="A86" s="18">
        <v>17</v>
      </c>
      <c r="B86" s="18" t="s">
        <v>152</v>
      </c>
      <c r="C86" s="18" t="s">
        <v>575</v>
      </c>
      <c r="D86" s="18" t="s">
        <v>13</v>
      </c>
      <c r="E86" s="18" t="s">
        <v>575</v>
      </c>
      <c r="F86" s="41">
        <v>1.7749999999999999</v>
      </c>
      <c r="G86" s="41">
        <v>6.0000000000000001E-3</v>
      </c>
      <c r="H86" s="41">
        <v>-2.548</v>
      </c>
      <c r="I86" s="18">
        <v>1.4E-2</v>
      </c>
      <c r="J86" s="18" t="s">
        <v>576</v>
      </c>
      <c r="K86" s="18" t="s">
        <v>610</v>
      </c>
      <c r="L86" s="18" t="s">
        <v>659</v>
      </c>
      <c r="M86" s="18" t="s">
        <v>660</v>
      </c>
      <c r="N86" s="18" t="s">
        <v>661</v>
      </c>
      <c r="AF86">
        <v>3</v>
      </c>
      <c r="AG86">
        <v>855</v>
      </c>
      <c r="AI86">
        <v>5338</v>
      </c>
      <c r="AJ86">
        <v>4754</v>
      </c>
      <c r="AK86">
        <v>4416</v>
      </c>
      <c r="AL86" s="35">
        <f t="shared" si="6"/>
        <v>45</v>
      </c>
      <c r="AM86" s="35">
        <f t="shared" si="5"/>
        <v>338</v>
      </c>
      <c r="AN86" s="35"/>
    </row>
    <row r="87" spans="1:40" x14ac:dyDescent="0.25">
      <c r="A87" s="18">
        <v>18</v>
      </c>
      <c r="B87" s="18" t="s">
        <v>156</v>
      </c>
      <c r="C87" s="18" t="s">
        <v>575</v>
      </c>
      <c r="D87" s="18" t="s">
        <v>13</v>
      </c>
      <c r="E87" s="18" t="s">
        <v>575</v>
      </c>
      <c r="F87" s="41">
        <v>1.6830000000000001</v>
      </c>
      <c r="G87" s="41">
        <v>1.4E-2</v>
      </c>
      <c r="H87" s="41">
        <v>-2.2410000000000001</v>
      </c>
      <c r="I87" s="18">
        <v>1.7000000000000001E-2</v>
      </c>
      <c r="J87" s="18" t="s">
        <v>576</v>
      </c>
      <c r="K87" s="18" t="s">
        <v>610</v>
      </c>
      <c r="L87" s="18" t="s">
        <v>662</v>
      </c>
      <c r="M87" s="18" t="s">
        <v>663</v>
      </c>
      <c r="N87" s="18" t="s">
        <v>664</v>
      </c>
      <c r="AF87">
        <v>3</v>
      </c>
      <c r="AG87">
        <v>823</v>
      </c>
      <c r="AI87">
        <v>4704</v>
      </c>
      <c r="AJ87">
        <v>4172</v>
      </c>
      <c r="AK87">
        <v>3876</v>
      </c>
      <c r="AL87" s="35">
        <f t="shared" si="6"/>
        <v>45</v>
      </c>
      <c r="AM87" s="35">
        <f t="shared" si="5"/>
        <v>296</v>
      </c>
      <c r="AN87" s="35"/>
    </row>
    <row r="88" spans="1:40" x14ac:dyDescent="0.25">
      <c r="A88" s="33">
        <v>19</v>
      </c>
      <c r="B88" s="33" t="s">
        <v>160</v>
      </c>
      <c r="C88" s="33" t="s">
        <v>575</v>
      </c>
      <c r="D88" s="33" t="s">
        <v>13</v>
      </c>
      <c r="E88" s="33" t="s">
        <v>575</v>
      </c>
      <c r="F88" s="28">
        <v>1.81</v>
      </c>
      <c r="G88" s="28">
        <v>7.0000000000000001E-3</v>
      </c>
      <c r="H88" s="28">
        <v>-2.5129999999999999</v>
      </c>
      <c r="I88" s="33">
        <v>1.0999999999999999E-2</v>
      </c>
      <c r="J88" s="33" t="s">
        <v>576</v>
      </c>
      <c r="K88" s="33" t="s">
        <v>610</v>
      </c>
      <c r="L88" s="33" t="s">
        <v>665</v>
      </c>
      <c r="M88" s="33" t="s">
        <v>666</v>
      </c>
      <c r="N88" s="33" t="s">
        <v>667</v>
      </c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  <c r="AA88" s="32"/>
      <c r="AB88" s="32"/>
      <c r="AC88" s="32"/>
      <c r="AD88" s="32"/>
      <c r="AE88" s="32"/>
      <c r="AF88">
        <v>3</v>
      </c>
      <c r="AG88" s="32">
        <v>922</v>
      </c>
      <c r="AH88" s="32"/>
      <c r="AI88" s="32">
        <v>6705</v>
      </c>
      <c r="AJ88" s="32">
        <v>5961</v>
      </c>
      <c r="AK88" s="32">
        <v>5534</v>
      </c>
      <c r="AL88" s="42">
        <f t="shared" si="6"/>
        <v>45</v>
      </c>
      <c r="AM88" s="42">
        <f t="shared" si="5"/>
        <v>427</v>
      </c>
      <c r="AN88" s="35"/>
    </row>
    <row r="89" spans="1:40" x14ac:dyDescent="0.25">
      <c r="A89" s="33">
        <v>20</v>
      </c>
      <c r="B89" s="33" t="s">
        <v>165</v>
      </c>
      <c r="C89" s="33" t="s">
        <v>575</v>
      </c>
      <c r="D89" s="33" t="s">
        <v>13</v>
      </c>
      <c r="E89" s="33" t="s">
        <v>575</v>
      </c>
      <c r="F89" s="28">
        <v>1.827</v>
      </c>
      <c r="G89" s="28">
        <v>6.0000000000000001E-3</v>
      </c>
      <c r="H89" s="28">
        <v>-2.5459999999999998</v>
      </c>
      <c r="I89" s="33">
        <v>1.2999999999999999E-2</v>
      </c>
      <c r="J89" s="33" t="s">
        <v>576</v>
      </c>
      <c r="K89" s="33" t="s">
        <v>610</v>
      </c>
      <c r="L89" s="33" t="s">
        <v>668</v>
      </c>
      <c r="M89" s="33" t="s">
        <v>669</v>
      </c>
      <c r="N89" s="33" t="s">
        <v>670</v>
      </c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  <c r="AA89" s="32"/>
      <c r="AB89" s="32"/>
      <c r="AC89" s="32"/>
      <c r="AD89" s="32"/>
      <c r="AE89" s="32"/>
      <c r="AF89">
        <v>3</v>
      </c>
      <c r="AG89" s="32">
        <v>841</v>
      </c>
      <c r="AH89" s="32"/>
      <c r="AI89" s="32">
        <v>5079</v>
      </c>
      <c r="AJ89" s="32">
        <v>4536</v>
      </c>
      <c r="AK89" s="32">
        <v>4216</v>
      </c>
      <c r="AL89" s="42">
        <f t="shared" si="6"/>
        <v>45</v>
      </c>
      <c r="AM89" s="42">
        <f t="shared" si="5"/>
        <v>320</v>
      </c>
      <c r="AN89" s="35"/>
    </row>
    <row r="90" spans="1:40" x14ac:dyDescent="0.25">
      <c r="A90" s="33">
        <v>21</v>
      </c>
      <c r="B90" s="33" t="s">
        <v>169</v>
      </c>
      <c r="C90" s="33" t="s">
        <v>575</v>
      </c>
      <c r="D90" s="33" t="s">
        <v>13</v>
      </c>
      <c r="E90" s="33" t="s">
        <v>575</v>
      </c>
      <c r="F90" s="28">
        <v>1.8140000000000001</v>
      </c>
      <c r="G90" s="28">
        <v>1.7000000000000001E-2</v>
      </c>
      <c r="H90" s="28">
        <v>-2.552</v>
      </c>
      <c r="I90" s="33">
        <v>1.9E-2</v>
      </c>
      <c r="J90" s="33" t="s">
        <v>576</v>
      </c>
      <c r="K90" s="33" t="s">
        <v>610</v>
      </c>
      <c r="L90" s="33" t="s">
        <v>671</v>
      </c>
      <c r="M90" s="33" t="s">
        <v>578</v>
      </c>
      <c r="N90" s="33" t="s">
        <v>672</v>
      </c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  <c r="AA90" s="32"/>
      <c r="AB90" s="32"/>
      <c r="AC90" s="32"/>
      <c r="AD90" s="32"/>
      <c r="AE90" s="32"/>
      <c r="AF90">
        <v>3</v>
      </c>
      <c r="AG90" s="32">
        <v>848</v>
      </c>
      <c r="AH90" s="32"/>
      <c r="AI90" s="32">
        <v>4824</v>
      </c>
      <c r="AJ90" s="32">
        <v>4305</v>
      </c>
      <c r="AK90" s="32">
        <v>4001</v>
      </c>
      <c r="AL90" s="42">
        <f t="shared" si="6"/>
        <v>45</v>
      </c>
      <c r="AM90" s="42">
        <f t="shared" si="5"/>
        <v>304</v>
      </c>
      <c r="AN90" s="35"/>
    </row>
    <row r="91" spans="1:40" x14ac:dyDescent="0.25">
      <c r="A91" s="33">
        <v>23</v>
      </c>
      <c r="B91" s="33" t="s">
        <v>177</v>
      </c>
      <c r="C91" s="33" t="s">
        <v>575</v>
      </c>
      <c r="D91" s="33" t="s">
        <v>13</v>
      </c>
      <c r="E91" s="33" t="s">
        <v>575</v>
      </c>
      <c r="F91" s="28">
        <v>1.782</v>
      </c>
      <c r="G91" s="28">
        <v>0.01</v>
      </c>
      <c r="H91" s="28">
        <v>-2.5310000000000001</v>
      </c>
      <c r="I91" s="33">
        <v>1.0999999999999999E-2</v>
      </c>
      <c r="J91" s="33" t="s">
        <v>576</v>
      </c>
      <c r="K91" s="33" t="s">
        <v>610</v>
      </c>
      <c r="L91" s="33" t="s">
        <v>673</v>
      </c>
      <c r="M91" s="33" t="s">
        <v>584</v>
      </c>
      <c r="N91" s="33" t="s">
        <v>674</v>
      </c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  <c r="AA91" s="32"/>
      <c r="AB91" s="32"/>
      <c r="AC91" s="32"/>
      <c r="AD91" s="32"/>
      <c r="AE91" s="32"/>
      <c r="AF91">
        <v>3</v>
      </c>
      <c r="AG91" s="32">
        <v>933</v>
      </c>
      <c r="AH91" s="32"/>
      <c r="AI91" s="32">
        <v>6399</v>
      </c>
      <c r="AJ91" s="32">
        <v>5662</v>
      </c>
      <c r="AK91" s="32">
        <v>5256</v>
      </c>
      <c r="AL91" s="42">
        <f t="shared" si="6"/>
        <v>45</v>
      </c>
      <c r="AM91" s="42">
        <f t="shared" si="5"/>
        <v>406</v>
      </c>
      <c r="AN91" s="35"/>
    </row>
    <row r="92" spans="1:40" x14ac:dyDescent="0.25">
      <c r="A92" s="33">
        <v>24</v>
      </c>
      <c r="B92" s="33" t="s">
        <v>182</v>
      </c>
      <c r="C92" s="33" t="s">
        <v>575</v>
      </c>
      <c r="D92" s="33" t="s">
        <v>13</v>
      </c>
      <c r="E92" s="33" t="s">
        <v>575</v>
      </c>
      <c r="F92" s="28">
        <v>1.8140000000000001</v>
      </c>
      <c r="G92" s="28">
        <v>0.02</v>
      </c>
      <c r="H92" s="28">
        <v>-2.5670000000000002</v>
      </c>
      <c r="I92" s="33">
        <v>1.4E-2</v>
      </c>
      <c r="J92" s="33" t="s">
        <v>576</v>
      </c>
      <c r="K92" s="33" t="s">
        <v>610</v>
      </c>
      <c r="L92" s="33" t="s">
        <v>675</v>
      </c>
      <c r="M92" s="33" t="s">
        <v>587</v>
      </c>
      <c r="N92" s="33" t="s">
        <v>676</v>
      </c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  <c r="AA92" s="32"/>
      <c r="AB92" s="32"/>
      <c r="AC92" s="32"/>
      <c r="AD92" s="32"/>
      <c r="AE92" s="32"/>
      <c r="AF92">
        <v>3</v>
      </c>
      <c r="AG92" s="32">
        <v>841</v>
      </c>
      <c r="AH92" s="32"/>
      <c r="AI92" s="32">
        <v>4700</v>
      </c>
      <c r="AJ92" s="32">
        <v>4200</v>
      </c>
      <c r="AK92" s="32">
        <v>3906</v>
      </c>
      <c r="AL92" s="42">
        <f>5*9</f>
        <v>45</v>
      </c>
      <c r="AM92" s="42">
        <f t="shared" si="5"/>
        <v>294</v>
      </c>
      <c r="AN92" s="35"/>
    </row>
    <row r="93" spans="1:40" x14ac:dyDescent="0.25">
      <c r="A93" s="33">
        <v>25</v>
      </c>
      <c r="B93" s="33" t="s">
        <v>186</v>
      </c>
      <c r="C93" s="33" t="s">
        <v>101</v>
      </c>
      <c r="D93" s="33" t="s">
        <v>13</v>
      </c>
      <c r="E93" s="33" t="s">
        <v>101</v>
      </c>
      <c r="F93" s="28">
        <v>1.8280000000000001</v>
      </c>
      <c r="G93" s="28">
        <v>7.0000000000000001E-3</v>
      </c>
      <c r="H93" s="28">
        <v>-2.5139999999999998</v>
      </c>
      <c r="I93" s="33">
        <v>6.0000000000000001E-3</v>
      </c>
      <c r="J93" s="33" t="s">
        <v>576</v>
      </c>
      <c r="K93" s="33" t="s">
        <v>610</v>
      </c>
      <c r="L93" s="33" t="s">
        <v>677</v>
      </c>
      <c r="M93" s="33" t="s">
        <v>678</v>
      </c>
      <c r="N93" s="33" t="s">
        <v>679</v>
      </c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  <c r="AA93" s="32"/>
      <c r="AB93" s="32"/>
      <c r="AC93" s="32"/>
      <c r="AD93" s="32"/>
      <c r="AE93" s="32"/>
      <c r="AF93">
        <v>3</v>
      </c>
      <c r="AG93" s="32">
        <v>894</v>
      </c>
      <c r="AH93" s="32"/>
      <c r="AI93" s="32">
        <v>5616</v>
      </c>
      <c r="AJ93" s="32">
        <v>5038</v>
      </c>
      <c r="AK93" s="32">
        <v>4682</v>
      </c>
      <c r="AL93" s="42">
        <f>6*9</f>
        <v>54</v>
      </c>
      <c r="AM93" s="42">
        <f t="shared" si="5"/>
        <v>356</v>
      </c>
      <c r="AN93" s="35"/>
    </row>
    <row r="94" spans="1:40" x14ac:dyDescent="0.25">
      <c r="A94" s="33">
        <v>26</v>
      </c>
      <c r="B94" s="33" t="s">
        <v>190</v>
      </c>
      <c r="C94" s="33" t="s">
        <v>101</v>
      </c>
      <c r="D94" s="33" t="s">
        <v>13</v>
      </c>
      <c r="E94" s="33" t="s">
        <v>101</v>
      </c>
      <c r="F94" s="28">
        <v>1.8129999999999999</v>
      </c>
      <c r="G94" s="28">
        <v>8.9999999999999993E-3</v>
      </c>
      <c r="H94" s="28">
        <v>-2.468</v>
      </c>
      <c r="I94" s="33">
        <v>1.2999999999999999E-2</v>
      </c>
      <c r="J94" s="33" t="s">
        <v>576</v>
      </c>
      <c r="K94" s="33" t="s">
        <v>680</v>
      </c>
      <c r="L94" s="33" t="s">
        <v>681</v>
      </c>
      <c r="M94" s="33" t="s">
        <v>682</v>
      </c>
      <c r="N94" s="33" t="s">
        <v>683</v>
      </c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  <c r="AA94" s="32"/>
      <c r="AB94" s="32"/>
      <c r="AC94" s="32"/>
      <c r="AD94" s="32"/>
      <c r="AE94" s="32"/>
      <c r="AF94">
        <v>3</v>
      </c>
      <c r="AG94" s="32">
        <v>961</v>
      </c>
      <c r="AH94" s="32"/>
      <c r="AI94" s="32">
        <v>7323</v>
      </c>
      <c r="AJ94" s="32">
        <v>6458</v>
      </c>
      <c r="AK94" s="32">
        <v>5988</v>
      </c>
      <c r="AL94" s="42">
        <f t="shared" ref="AL94:AL103" si="7">6*9</f>
        <v>54</v>
      </c>
      <c r="AM94" s="42">
        <f t="shared" si="5"/>
        <v>470</v>
      </c>
      <c r="AN94" s="35"/>
    </row>
    <row r="95" spans="1:40" x14ac:dyDescent="0.25">
      <c r="A95" s="33">
        <v>27</v>
      </c>
      <c r="B95" s="33" t="s">
        <v>198</v>
      </c>
      <c r="C95" s="33" t="s">
        <v>101</v>
      </c>
      <c r="D95" s="33" t="s">
        <v>13</v>
      </c>
      <c r="E95" s="33" t="s">
        <v>101</v>
      </c>
      <c r="F95" s="28">
        <v>1.8520000000000001</v>
      </c>
      <c r="G95" s="28">
        <v>1.7999999999999999E-2</v>
      </c>
      <c r="H95" s="28">
        <v>-2.3759999999999999</v>
      </c>
      <c r="I95" s="33">
        <v>7.0000000000000001E-3</v>
      </c>
      <c r="J95" s="33" t="s">
        <v>576</v>
      </c>
      <c r="K95" s="33" t="s">
        <v>680</v>
      </c>
      <c r="L95" s="33" t="s">
        <v>684</v>
      </c>
      <c r="M95" s="33" t="s">
        <v>685</v>
      </c>
      <c r="N95" s="33" t="s">
        <v>686</v>
      </c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  <c r="AA95" s="32"/>
      <c r="AB95" s="32"/>
      <c r="AC95" s="32"/>
      <c r="AD95" s="32"/>
      <c r="AE95" s="32"/>
      <c r="AF95">
        <v>3</v>
      </c>
      <c r="AG95" s="32">
        <v>961</v>
      </c>
      <c r="AH95" s="32"/>
      <c r="AI95" s="32">
        <v>6884</v>
      </c>
      <c r="AJ95" s="32">
        <v>6109</v>
      </c>
      <c r="AK95" s="32">
        <v>5670</v>
      </c>
      <c r="AL95" s="42">
        <f t="shared" si="7"/>
        <v>54</v>
      </c>
      <c r="AM95" s="42">
        <f t="shared" si="5"/>
        <v>439</v>
      </c>
      <c r="AN95" s="35"/>
    </row>
    <row r="96" spans="1:40" x14ac:dyDescent="0.25">
      <c r="A96" s="33">
        <v>28</v>
      </c>
      <c r="B96" s="33" t="s">
        <v>203</v>
      </c>
      <c r="C96" s="33" t="s">
        <v>101</v>
      </c>
      <c r="D96" s="33" t="s">
        <v>13</v>
      </c>
      <c r="E96" s="33" t="s">
        <v>101</v>
      </c>
      <c r="F96" s="28">
        <v>1.8580000000000001</v>
      </c>
      <c r="G96" s="28">
        <v>8.0000000000000002E-3</v>
      </c>
      <c r="H96" s="28">
        <v>-2.4039999999999999</v>
      </c>
      <c r="I96" s="33">
        <v>1.4E-2</v>
      </c>
      <c r="J96" s="33" t="s">
        <v>576</v>
      </c>
      <c r="K96" s="33" t="s">
        <v>680</v>
      </c>
      <c r="L96" s="33" t="s">
        <v>687</v>
      </c>
      <c r="M96" s="33" t="s">
        <v>688</v>
      </c>
      <c r="N96" s="33" t="s">
        <v>689</v>
      </c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  <c r="AA96" s="32"/>
      <c r="AB96" s="32"/>
      <c r="AC96" s="32"/>
      <c r="AD96" s="32"/>
      <c r="AE96" s="32"/>
      <c r="AF96">
        <v>3</v>
      </c>
      <c r="AG96" s="32">
        <v>884</v>
      </c>
      <c r="AH96" s="32"/>
      <c r="AI96" s="32">
        <v>5572</v>
      </c>
      <c r="AJ96" s="32">
        <v>4901</v>
      </c>
      <c r="AK96" s="32">
        <v>4550</v>
      </c>
      <c r="AL96" s="42">
        <f t="shared" si="7"/>
        <v>54</v>
      </c>
      <c r="AM96" s="42">
        <f t="shared" si="5"/>
        <v>351</v>
      </c>
      <c r="AN96" s="35"/>
    </row>
    <row r="97" spans="1:44" x14ac:dyDescent="0.25">
      <c r="A97" s="33">
        <v>30</v>
      </c>
      <c r="B97" s="33" t="s">
        <v>211</v>
      </c>
      <c r="C97" s="33" t="s">
        <v>101</v>
      </c>
      <c r="D97" s="33" t="s">
        <v>13</v>
      </c>
      <c r="E97" s="33" t="s">
        <v>101</v>
      </c>
      <c r="F97" s="28">
        <v>1.8049999999999999</v>
      </c>
      <c r="G97" s="28">
        <v>8.0000000000000002E-3</v>
      </c>
      <c r="H97" s="28">
        <v>-2.4620000000000002</v>
      </c>
      <c r="I97" s="33">
        <v>1.2E-2</v>
      </c>
      <c r="J97" s="33" t="s">
        <v>576</v>
      </c>
      <c r="K97" s="33" t="s">
        <v>680</v>
      </c>
      <c r="L97" s="33" t="s">
        <v>690</v>
      </c>
      <c r="M97" s="33" t="s">
        <v>691</v>
      </c>
      <c r="N97" s="33" t="s">
        <v>692</v>
      </c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  <c r="AA97" s="32"/>
      <c r="AB97" s="32"/>
      <c r="AC97" s="32"/>
      <c r="AD97" s="32"/>
      <c r="AE97" s="32"/>
      <c r="AF97">
        <v>3</v>
      </c>
      <c r="AG97" s="32">
        <v>951</v>
      </c>
      <c r="AH97" s="32"/>
      <c r="AI97" s="32">
        <v>6917</v>
      </c>
      <c r="AJ97" s="32">
        <v>6069</v>
      </c>
      <c r="AK97" s="32">
        <v>5631</v>
      </c>
      <c r="AL97" s="42">
        <f t="shared" si="7"/>
        <v>54</v>
      </c>
      <c r="AM97" s="42">
        <f t="shared" si="5"/>
        <v>438</v>
      </c>
      <c r="AN97" s="35"/>
    </row>
    <row r="98" spans="1:44" x14ac:dyDescent="0.25">
      <c r="A98" s="33">
        <v>31</v>
      </c>
      <c r="B98" s="33" t="s">
        <v>194</v>
      </c>
      <c r="C98" s="33" t="s">
        <v>101</v>
      </c>
      <c r="D98" s="33" t="s">
        <v>13</v>
      </c>
      <c r="E98" s="33" t="s">
        <v>101</v>
      </c>
      <c r="F98" s="28">
        <v>1.8480000000000001</v>
      </c>
      <c r="G98" s="28">
        <v>0.01</v>
      </c>
      <c r="H98" s="28">
        <v>-2.4140000000000001</v>
      </c>
      <c r="I98" s="33">
        <v>7.0000000000000001E-3</v>
      </c>
      <c r="J98" s="33" t="s">
        <v>576</v>
      </c>
      <c r="K98" s="33" t="s">
        <v>680</v>
      </c>
      <c r="L98" s="33" t="s">
        <v>693</v>
      </c>
      <c r="M98" s="33" t="s">
        <v>694</v>
      </c>
      <c r="N98" s="33" t="s">
        <v>695</v>
      </c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  <c r="AA98" s="32"/>
      <c r="AB98" s="32"/>
      <c r="AC98" s="32"/>
      <c r="AD98" s="32"/>
      <c r="AE98" s="32"/>
      <c r="AF98">
        <v>3</v>
      </c>
      <c r="AG98" s="32">
        <v>919</v>
      </c>
      <c r="AH98" s="32"/>
      <c r="AI98" s="32">
        <v>6480</v>
      </c>
      <c r="AJ98" s="32">
        <v>5717</v>
      </c>
      <c r="AK98" s="32">
        <v>5305</v>
      </c>
      <c r="AL98" s="42">
        <f t="shared" si="7"/>
        <v>54</v>
      </c>
      <c r="AM98" s="42">
        <f t="shared" si="5"/>
        <v>412</v>
      </c>
      <c r="AN98" s="35"/>
    </row>
    <row r="99" spans="1:44" x14ac:dyDescent="0.25">
      <c r="A99" s="33">
        <v>32</v>
      </c>
      <c r="B99" s="33" t="s">
        <v>696</v>
      </c>
      <c r="C99" s="33" t="s">
        <v>101</v>
      </c>
      <c r="D99" s="33" t="s">
        <v>13</v>
      </c>
      <c r="E99" s="33" t="s">
        <v>101</v>
      </c>
      <c r="F99" s="28">
        <v>1.8260000000000001</v>
      </c>
      <c r="G99" s="28">
        <v>7.0000000000000001E-3</v>
      </c>
      <c r="H99" s="28">
        <v>-2.3959999999999999</v>
      </c>
      <c r="I99" s="33">
        <v>0.02</v>
      </c>
      <c r="J99" s="33" t="s">
        <v>576</v>
      </c>
      <c r="K99" s="33" t="s">
        <v>680</v>
      </c>
      <c r="L99" s="33" t="s">
        <v>697</v>
      </c>
      <c r="M99" s="33" t="s">
        <v>698</v>
      </c>
      <c r="N99" s="33" t="s">
        <v>699</v>
      </c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  <c r="AA99" s="32"/>
      <c r="AB99" s="32"/>
      <c r="AC99" s="32"/>
      <c r="AD99" s="32"/>
      <c r="AE99" s="32"/>
      <c r="AF99">
        <v>3</v>
      </c>
      <c r="AG99" s="32">
        <v>930</v>
      </c>
      <c r="AH99" s="32"/>
      <c r="AI99" s="32">
        <v>6314</v>
      </c>
      <c r="AJ99" s="32">
        <v>5566</v>
      </c>
      <c r="AK99" s="32">
        <v>5172</v>
      </c>
      <c r="AL99" s="42">
        <f t="shared" si="7"/>
        <v>54</v>
      </c>
      <c r="AM99" s="42">
        <f t="shared" si="5"/>
        <v>394</v>
      </c>
      <c r="AN99" s="35"/>
    </row>
    <row r="100" spans="1:44" x14ac:dyDescent="0.25">
      <c r="A100" s="33">
        <v>33</v>
      </c>
      <c r="B100" s="33" t="s">
        <v>700</v>
      </c>
      <c r="C100" s="33" t="s">
        <v>101</v>
      </c>
      <c r="D100" s="33" t="s">
        <v>13</v>
      </c>
      <c r="E100" s="33" t="s">
        <v>101</v>
      </c>
      <c r="F100" s="28">
        <v>1.8440000000000001</v>
      </c>
      <c r="G100" s="28">
        <v>3.0000000000000001E-3</v>
      </c>
      <c r="H100" s="28">
        <v>-2.4279999999999999</v>
      </c>
      <c r="I100" s="33">
        <v>1.4E-2</v>
      </c>
      <c r="J100" s="33" t="s">
        <v>576</v>
      </c>
      <c r="K100" s="33" t="s">
        <v>680</v>
      </c>
      <c r="L100" s="33" t="s">
        <v>701</v>
      </c>
      <c r="M100" s="33" t="s">
        <v>702</v>
      </c>
      <c r="N100" s="33" t="s">
        <v>703</v>
      </c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  <c r="AA100" s="32"/>
      <c r="AB100" s="32"/>
      <c r="AC100" s="32"/>
      <c r="AD100" s="32"/>
      <c r="AE100" s="32"/>
      <c r="AF100">
        <v>3</v>
      </c>
      <c r="AG100" s="32">
        <v>802</v>
      </c>
      <c r="AH100" s="32"/>
      <c r="AI100" s="32">
        <v>3831</v>
      </c>
      <c r="AJ100" s="32">
        <v>3434</v>
      </c>
      <c r="AK100" s="32">
        <v>3192</v>
      </c>
      <c r="AL100" s="42">
        <f t="shared" si="7"/>
        <v>54</v>
      </c>
      <c r="AM100" s="42">
        <f t="shared" si="5"/>
        <v>242</v>
      </c>
      <c r="AN100" s="35"/>
    </row>
    <row r="101" spans="1:44" x14ac:dyDescent="0.25">
      <c r="A101" s="33">
        <v>34</v>
      </c>
      <c r="B101" s="33" t="s">
        <v>704</v>
      </c>
      <c r="C101" s="33" t="s">
        <v>101</v>
      </c>
      <c r="D101" s="33" t="s">
        <v>13</v>
      </c>
      <c r="E101" s="33" t="s">
        <v>101</v>
      </c>
      <c r="F101" s="28">
        <v>1.857</v>
      </c>
      <c r="G101" s="28">
        <v>4.0000000000000001E-3</v>
      </c>
      <c r="H101" s="28">
        <v>-2.38</v>
      </c>
      <c r="I101" s="33">
        <v>1.0999999999999999E-2</v>
      </c>
      <c r="J101" s="33" t="s">
        <v>576</v>
      </c>
      <c r="K101" s="33" t="s">
        <v>680</v>
      </c>
      <c r="L101" s="33" t="s">
        <v>705</v>
      </c>
      <c r="M101" s="33" t="s">
        <v>706</v>
      </c>
      <c r="N101" s="33" t="s">
        <v>707</v>
      </c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  <c r="AA101" s="32"/>
      <c r="AB101" s="32"/>
      <c r="AC101" s="32"/>
      <c r="AD101" s="32"/>
      <c r="AE101" s="32"/>
      <c r="AF101">
        <v>3</v>
      </c>
      <c r="AG101" s="32">
        <v>951</v>
      </c>
      <c r="AH101" s="32"/>
      <c r="AI101" s="32">
        <v>6474</v>
      </c>
      <c r="AJ101" s="32">
        <v>5716</v>
      </c>
      <c r="AK101" s="32">
        <v>5307</v>
      </c>
      <c r="AL101" s="42">
        <f t="shared" si="7"/>
        <v>54</v>
      </c>
      <c r="AM101" s="42">
        <f t="shared" si="5"/>
        <v>409</v>
      </c>
      <c r="AN101" s="35"/>
    </row>
    <row r="102" spans="1:44" x14ac:dyDescent="0.25">
      <c r="A102" s="33">
        <v>35</v>
      </c>
      <c r="B102" s="33" t="s">
        <v>708</v>
      </c>
      <c r="C102" s="33" t="s">
        <v>101</v>
      </c>
      <c r="D102" s="33" t="s">
        <v>13</v>
      </c>
      <c r="E102" s="33" t="s">
        <v>101</v>
      </c>
      <c r="F102" s="28">
        <v>1.7869999999999999</v>
      </c>
      <c r="G102" s="28">
        <v>6.0000000000000001E-3</v>
      </c>
      <c r="H102" s="28">
        <v>-2.161</v>
      </c>
      <c r="I102" s="33">
        <v>1.9E-2</v>
      </c>
      <c r="J102" s="33" t="s">
        <v>576</v>
      </c>
      <c r="K102" s="33" t="s">
        <v>680</v>
      </c>
      <c r="L102" s="33" t="s">
        <v>709</v>
      </c>
      <c r="M102" s="33" t="s">
        <v>710</v>
      </c>
      <c r="N102" s="33" t="s">
        <v>711</v>
      </c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  <c r="AA102" s="32"/>
      <c r="AB102" s="32"/>
      <c r="AC102" s="32"/>
      <c r="AD102" s="32"/>
      <c r="AE102" s="32"/>
      <c r="AF102">
        <v>3</v>
      </c>
      <c r="AG102" s="32">
        <v>940</v>
      </c>
      <c r="AH102" s="32"/>
      <c r="AI102" s="32">
        <v>6345</v>
      </c>
      <c r="AJ102" s="32">
        <v>5624</v>
      </c>
      <c r="AK102" s="32">
        <v>5222</v>
      </c>
      <c r="AL102" s="42">
        <f t="shared" si="7"/>
        <v>54</v>
      </c>
      <c r="AM102" s="42">
        <f t="shared" si="5"/>
        <v>402</v>
      </c>
      <c r="AN102" s="35"/>
    </row>
    <row r="103" spans="1:44" x14ac:dyDescent="0.25">
      <c r="A103" s="33">
        <v>36</v>
      </c>
      <c r="B103" s="33" t="s">
        <v>712</v>
      </c>
      <c r="C103" s="33" t="s">
        <v>101</v>
      </c>
      <c r="D103" s="33" t="s">
        <v>13</v>
      </c>
      <c r="E103" s="33" t="s">
        <v>101</v>
      </c>
      <c r="F103" s="28">
        <v>1.8160000000000001</v>
      </c>
      <c r="G103" s="28">
        <v>0.01</v>
      </c>
      <c r="H103" s="28">
        <v>-2.5299999999999998</v>
      </c>
      <c r="I103" s="33">
        <v>1.4E-2</v>
      </c>
      <c r="J103" s="33" t="s">
        <v>576</v>
      </c>
      <c r="K103" s="33" t="s">
        <v>680</v>
      </c>
      <c r="L103" s="33" t="s">
        <v>713</v>
      </c>
      <c r="M103" s="33" t="s">
        <v>714</v>
      </c>
      <c r="N103" s="33" t="s">
        <v>715</v>
      </c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  <c r="AA103" s="32"/>
      <c r="AB103" s="32"/>
      <c r="AC103" s="32"/>
      <c r="AD103" s="32"/>
      <c r="AE103" s="32"/>
      <c r="AF103">
        <v>3</v>
      </c>
      <c r="AG103" s="32">
        <v>922</v>
      </c>
      <c r="AH103" s="32"/>
      <c r="AI103" s="32">
        <v>5639</v>
      </c>
      <c r="AJ103" s="32">
        <v>5049</v>
      </c>
      <c r="AK103" s="32">
        <v>4690</v>
      </c>
      <c r="AL103" s="42">
        <f t="shared" si="7"/>
        <v>54</v>
      </c>
      <c r="AM103" s="42">
        <f t="shared" si="5"/>
        <v>359</v>
      </c>
      <c r="AN103" s="35"/>
    </row>
    <row r="104" spans="1:44" x14ac:dyDescent="0.25">
      <c r="A104" s="18">
        <v>43</v>
      </c>
      <c r="B104" s="18" t="s">
        <v>716</v>
      </c>
      <c r="C104" s="18" t="s">
        <v>500</v>
      </c>
      <c r="D104" s="18" t="s">
        <v>13</v>
      </c>
      <c r="E104" s="18" t="s">
        <v>500</v>
      </c>
      <c r="F104" s="41">
        <v>1.774</v>
      </c>
      <c r="G104" s="41">
        <v>1.4999999999999999E-2</v>
      </c>
      <c r="H104" s="41">
        <v>-2.621</v>
      </c>
      <c r="I104" s="18">
        <v>2.1000000000000001E-2</v>
      </c>
      <c r="J104" s="18" t="s">
        <v>576</v>
      </c>
      <c r="K104" s="18" t="s">
        <v>680</v>
      </c>
      <c r="L104" s="18" t="s">
        <v>717</v>
      </c>
      <c r="M104" s="18" t="s">
        <v>718</v>
      </c>
      <c r="N104" s="18" t="s">
        <v>719</v>
      </c>
      <c r="AF104">
        <v>3</v>
      </c>
      <c r="AG104">
        <v>735</v>
      </c>
      <c r="AI104">
        <v>3172</v>
      </c>
      <c r="AJ104">
        <v>2785</v>
      </c>
      <c r="AK104">
        <v>2589</v>
      </c>
      <c r="AL104" s="35">
        <f>3*9</f>
        <v>27</v>
      </c>
      <c r="AM104" s="35">
        <f t="shared" si="5"/>
        <v>196</v>
      </c>
      <c r="AN104" s="35"/>
    </row>
    <row r="105" spans="1:44" x14ac:dyDescent="0.25">
      <c r="A105" s="18">
        <v>44</v>
      </c>
      <c r="B105" s="18" t="s">
        <v>720</v>
      </c>
      <c r="C105" s="18" t="s">
        <v>500</v>
      </c>
      <c r="D105" s="18" t="s">
        <v>13</v>
      </c>
      <c r="E105" s="18" t="s">
        <v>500</v>
      </c>
      <c r="F105" s="41">
        <v>1.8180000000000001</v>
      </c>
      <c r="G105" s="41">
        <v>1.2E-2</v>
      </c>
      <c r="H105" s="41">
        <v>-2.4020000000000001</v>
      </c>
      <c r="I105" s="18">
        <v>6.0000000000000001E-3</v>
      </c>
      <c r="J105" s="18" t="s">
        <v>576</v>
      </c>
      <c r="K105" s="18" t="s">
        <v>680</v>
      </c>
      <c r="L105" s="18" t="s">
        <v>721</v>
      </c>
      <c r="M105" s="18" t="s">
        <v>722</v>
      </c>
      <c r="N105" s="18" t="s">
        <v>723</v>
      </c>
      <c r="AF105">
        <v>3</v>
      </c>
      <c r="AG105">
        <v>752</v>
      </c>
      <c r="AI105">
        <v>3219</v>
      </c>
      <c r="AJ105">
        <v>2790</v>
      </c>
      <c r="AK105">
        <v>2595</v>
      </c>
      <c r="AL105" s="35">
        <f>3*9</f>
        <v>27</v>
      </c>
      <c r="AM105" s="35">
        <f t="shared" si="5"/>
        <v>195</v>
      </c>
      <c r="AN105" s="35"/>
    </row>
    <row r="106" spans="1:44" x14ac:dyDescent="0.25">
      <c r="A106" s="18">
        <v>45</v>
      </c>
      <c r="B106" s="18" t="s">
        <v>724</v>
      </c>
      <c r="C106" s="18" t="s">
        <v>500</v>
      </c>
      <c r="D106" s="18" t="s">
        <v>13</v>
      </c>
      <c r="E106" s="18" t="s">
        <v>500</v>
      </c>
      <c r="F106" s="18">
        <v>1.895</v>
      </c>
      <c r="G106" s="18">
        <v>0.01</v>
      </c>
      <c r="H106" s="18">
        <v>-2.573</v>
      </c>
      <c r="I106" s="18">
        <v>1.9E-2</v>
      </c>
      <c r="J106" s="18" t="s">
        <v>576</v>
      </c>
      <c r="K106" s="18" t="s">
        <v>680</v>
      </c>
      <c r="L106" s="18" t="s">
        <v>725</v>
      </c>
      <c r="M106" s="18" t="s">
        <v>726</v>
      </c>
      <c r="N106" s="18" t="s">
        <v>727</v>
      </c>
      <c r="AF106">
        <v>3</v>
      </c>
      <c r="AG106">
        <v>706</v>
      </c>
      <c r="AI106">
        <v>2823</v>
      </c>
      <c r="AJ106">
        <v>2472</v>
      </c>
      <c r="AK106">
        <v>2298</v>
      </c>
      <c r="AL106" s="35">
        <f>3*9</f>
        <v>27</v>
      </c>
      <c r="AM106" s="35">
        <f t="shared" si="5"/>
        <v>174</v>
      </c>
      <c r="AN106" s="35"/>
    </row>
    <row r="107" spans="1:44" x14ac:dyDescent="0.25">
      <c r="A107" s="18">
        <v>46</v>
      </c>
      <c r="B107" s="18" t="s">
        <v>728</v>
      </c>
      <c r="C107" s="18" t="s">
        <v>500</v>
      </c>
      <c r="D107" s="18" t="s">
        <v>13</v>
      </c>
      <c r="E107" s="18" t="s">
        <v>500</v>
      </c>
      <c r="F107" s="18">
        <v>1.849</v>
      </c>
      <c r="G107" s="18">
        <v>1.4999999999999999E-2</v>
      </c>
      <c r="H107" s="18">
        <v>-2.5590000000000002</v>
      </c>
      <c r="I107" s="18">
        <v>2.4E-2</v>
      </c>
      <c r="J107" s="18" t="s">
        <v>576</v>
      </c>
      <c r="K107" s="18" t="s">
        <v>680</v>
      </c>
      <c r="L107" s="18" t="s">
        <v>729</v>
      </c>
      <c r="M107" s="18" t="s">
        <v>730</v>
      </c>
      <c r="N107" s="18" t="s">
        <v>731</v>
      </c>
      <c r="AF107">
        <v>3</v>
      </c>
      <c r="AG107">
        <v>685</v>
      </c>
      <c r="AI107">
        <v>2729</v>
      </c>
      <c r="AJ107">
        <v>2393</v>
      </c>
      <c r="AK107">
        <v>2227</v>
      </c>
      <c r="AL107" s="35">
        <f>3*9</f>
        <v>27</v>
      </c>
      <c r="AM107" s="35">
        <f t="shared" si="5"/>
        <v>166</v>
      </c>
      <c r="AN107" s="35"/>
    </row>
    <row r="108" spans="1:44" x14ac:dyDescent="0.25">
      <c r="A108" s="43"/>
      <c r="B108" s="43"/>
      <c r="C108" s="43"/>
      <c r="D108" s="43"/>
      <c r="E108" s="43"/>
      <c r="F108" s="44"/>
      <c r="G108" s="43"/>
      <c r="H108" s="44"/>
    </row>
    <row r="109" spans="1:44" x14ac:dyDescent="0.25">
      <c r="A109" s="43"/>
      <c r="B109" s="43"/>
      <c r="C109" s="43"/>
      <c r="D109" s="43"/>
      <c r="E109" s="43"/>
      <c r="F109" s="44"/>
      <c r="G109" s="43"/>
      <c r="H109" s="44"/>
    </row>
    <row r="110" spans="1:44" x14ac:dyDescent="0.25">
      <c r="A110" s="43"/>
      <c r="B110" s="43"/>
      <c r="C110" s="43"/>
      <c r="D110" s="43"/>
      <c r="E110" s="43"/>
      <c r="F110" s="44"/>
      <c r="G110" s="43"/>
      <c r="H110" s="44"/>
    </row>
    <row r="111" spans="1:44" x14ac:dyDescent="0.25">
      <c r="A111" s="45">
        <v>42235</v>
      </c>
    </row>
    <row r="112" spans="1:44" x14ac:dyDescent="0.25">
      <c r="A112" s="18" t="s">
        <v>24</v>
      </c>
      <c r="B112" s="18" t="s">
        <v>25</v>
      </c>
      <c r="C112" s="18" t="s">
        <v>26</v>
      </c>
      <c r="D112" s="18" t="s">
        <v>27</v>
      </c>
      <c r="E112" s="18" t="s">
        <v>28</v>
      </c>
      <c r="F112" s="18" t="s">
        <v>29</v>
      </c>
      <c r="G112" s="18" t="s">
        <v>30</v>
      </c>
      <c r="H112" s="18" t="s">
        <v>31</v>
      </c>
      <c r="I112" s="18" t="s">
        <v>32</v>
      </c>
      <c r="J112" s="18" t="s">
        <v>33</v>
      </c>
      <c r="K112" s="18" t="s">
        <v>34</v>
      </c>
      <c r="L112" s="18" t="s">
        <v>35</v>
      </c>
      <c r="M112" s="18" t="s">
        <v>36</v>
      </c>
      <c r="N112" s="18" t="s">
        <v>37</v>
      </c>
      <c r="O112" s="18" t="s">
        <v>38</v>
      </c>
      <c r="P112" s="18" t="s">
        <v>39</v>
      </c>
      <c r="Q112" s="18" t="s">
        <v>40</v>
      </c>
      <c r="R112" s="18" t="s">
        <v>41</v>
      </c>
      <c r="S112" s="18" t="s">
        <v>42</v>
      </c>
      <c r="T112" s="18" t="s">
        <v>43</v>
      </c>
      <c r="AL112" t="s">
        <v>36</v>
      </c>
      <c r="AM112" t="s">
        <v>44</v>
      </c>
      <c r="AN112" t="s">
        <v>45</v>
      </c>
      <c r="AO112" t="s">
        <v>46</v>
      </c>
      <c r="AP112" t="s">
        <v>47</v>
      </c>
      <c r="AQ112" t="s">
        <v>48</v>
      </c>
      <c r="AR112" t="s">
        <v>732</v>
      </c>
    </row>
    <row r="113" spans="1:44" x14ac:dyDescent="0.25">
      <c r="A113" s="18">
        <v>1</v>
      </c>
      <c r="B113" s="18" t="s">
        <v>49</v>
      </c>
      <c r="C113" s="18" t="s">
        <v>50</v>
      </c>
      <c r="E113" s="18" t="s">
        <v>50</v>
      </c>
      <c r="F113" s="18">
        <v>-4.5</v>
      </c>
      <c r="G113" s="18">
        <v>1.85</v>
      </c>
      <c r="H113" s="18">
        <v>8.0000000000000002E-3</v>
      </c>
      <c r="I113" s="18">
        <v>-14.05</v>
      </c>
      <c r="J113" s="18">
        <v>-2.3639999999999999</v>
      </c>
      <c r="K113" s="18">
        <v>1.7000000000000001E-2</v>
      </c>
      <c r="L113" s="18" t="s">
        <v>51</v>
      </c>
      <c r="M113" s="18">
        <v>3</v>
      </c>
      <c r="N113" s="18">
        <v>480</v>
      </c>
      <c r="O113" s="18">
        <v>90</v>
      </c>
      <c r="P113" s="18">
        <v>1</v>
      </c>
      <c r="Q113" s="18" t="s">
        <v>52</v>
      </c>
      <c r="R113" s="18" t="s">
        <v>53</v>
      </c>
      <c r="S113" s="18" t="s">
        <v>54</v>
      </c>
      <c r="T113" s="18" t="s">
        <v>55</v>
      </c>
      <c r="AL113">
        <v>3</v>
      </c>
      <c r="AM113">
        <v>735</v>
      </c>
      <c r="AN113">
        <v>3708</v>
      </c>
      <c r="AO113">
        <v>3266</v>
      </c>
      <c r="AP113">
        <v>3036</v>
      </c>
      <c r="AQ113">
        <f t="shared" ref="AQ113:AQ118" si="8">AO113-AP113</f>
        <v>230</v>
      </c>
      <c r="AR113">
        <f>4*9</f>
        <v>36</v>
      </c>
    </row>
    <row r="114" spans="1:44" x14ac:dyDescent="0.25">
      <c r="A114" s="18">
        <v>2</v>
      </c>
      <c r="B114" s="18" t="s">
        <v>56</v>
      </c>
      <c r="C114" s="18" t="s">
        <v>50</v>
      </c>
      <c r="E114" s="18" t="s">
        <v>50</v>
      </c>
      <c r="F114" s="18">
        <v>-4.5</v>
      </c>
      <c r="G114" s="18">
        <v>1.7829999999999999</v>
      </c>
      <c r="H114" s="18">
        <v>1.2999999999999999E-2</v>
      </c>
      <c r="I114" s="18">
        <v>-14.05</v>
      </c>
      <c r="J114" s="18">
        <v>-2.496</v>
      </c>
      <c r="K114" s="18">
        <v>1.6E-2</v>
      </c>
      <c r="L114" s="18" t="s">
        <v>51</v>
      </c>
      <c r="M114" s="18">
        <v>3</v>
      </c>
      <c r="N114" s="18">
        <v>480</v>
      </c>
      <c r="O114" s="18">
        <v>90</v>
      </c>
      <c r="P114" s="18">
        <v>1</v>
      </c>
      <c r="Q114" s="18" t="s">
        <v>52</v>
      </c>
      <c r="R114" s="18" t="s">
        <v>57</v>
      </c>
      <c r="S114" s="18" t="s">
        <v>58</v>
      </c>
      <c r="T114" s="18" t="s">
        <v>59</v>
      </c>
      <c r="AL114">
        <v>3</v>
      </c>
      <c r="AM114">
        <v>763</v>
      </c>
      <c r="AN114">
        <v>4166</v>
      </c>
      <c r="AO114">
        <v>3739</v>
      </c>
      <c r="AP114">
        <v>3477</v>
      </c>
      <c r="AQ114">
        <f t="shared" si="8"/>
        <v>262</v>
      </c>
      <c r="AR114">
        <f>4*9</f>
        <v>36</v>
      </c>
    </row>
    <row r="115" spans="1:44" x14ac:dyDescent="0.25">
      <c r="A115" s="18">
        <v>3</v>
      </c>
      <c r="B115" s="18" t="s">
        <v>60</v>
      </c>
      <c r="C115" s="18" t="s">
        <v>50</v>
      </c>
      <c r="E115" s="18" t="s">
        <v>50</v>
      </c>
      <c r="F115" s="18">
        <v>-4.5</v>
      </c>
      <c r="G115" s="18">
        <v>1.8260000000000001</v>
      </c>
      <c r="H115" s="18">
        <v>1.2E-2</v>
      </c>
      <c r="I115" s="18">
        <v>-14.05</v>
      </c>
      <c r="J115" s="18">
        <v>-2.4609999999999999</v>
      </c>
      <c r="K115" s="18">
        <v>2.5999999999999999E-2</v>
      </c>
      <c r="L115" s="18" t="s">
        <v>51</v>
      </c>
      <c r="M115" s="18">
        <v>3</v>
      </c>
      <c r="N115" s="18">
        <v>480</v>
      </c>
      <c r="O115" s="18">
        <v>90</v>
      </c>
      <c r="P115" s="18">
        <v>1</v>
      </c>
      <c r="Q115" s="18" t="s">
        <v>52</v>
      </c>
      <c r="R115" s="18" t="s">
        <v>61</v>
      </c>
      <c r="S115" s="18" t="s">
        <v>62</v>
      </c>
      <c r="T115" s="18" t="s">
        <v>63</v>
      </c>
      <c r="AL115">
        <v>3</v>
      </c>
      <c r="AM115">
        <v>728</v>
      </c>
      <c r="AN115">
        <v>3358</v>
      </c>
      <c r="AO115">
        <v>3013</v>
      </c>
      <c r="AP115">
        <v>2802</v>
      </c>
      <c r="AQ115">
        <f t="shared" si="8"/>
        <v>211</v>
      </c>
      <c r="AR115">
        <f t="shared" ref="AR115:AR146" si="9">4*9</f>
        <v>36</v>
      </c>
    </row>
    <row r="116" spans="1:44" x14ac:dyDescent="0.25">
      <c r="A116" s="18">
        <v>4</v>
      </c>
      <c r="B116" s="18" t="s">
        <v>64</v>
      </c>
      <c r="C116" s="18" t="s">
        <v>50</v>
      </c>
      <c r="E116" s="18" t="s">
        <v>50</v>
      </c>
      <c r="F116" s="18">
        <v>-4.5</v>
      </c>
      <c r="G116" s="18">
        <v>1.819</v>
      </c>
      <c r="H116" s="18">
        <v>7.0000000000000001E-3</v>
      </c>
      <c r="I116" s="18">
        <v>-14.05</v>
      </c>
      <c r="J116" s="18">
        <v>-2.5529999999999999</v>
      </c>
      <c r="K116" s="18">
        <v>0.01</v>
      </c>
      <c r="L116" s="18" t="s">
        <v>51</v>
      </c>
      <c r="M116" s="18">
        <v>3</v>
      </c>
      <c r="N116" s="18">
        <v>480</v>
      </c>
      <c r="O116" s="18">
        <v>90</v>
      </c>
      <c r="P116" s="18">
        <v>1</v>
      </c>
      <c r="Q116" s="18" t="s">
        <v>52</v>
      </c>
      <c r="R116" s="18" t="s">
        <v>65</v>
      </c>
      <c r="S116" s="18" t="s">
        <v>66</v>
      </c>
      <c r="T116" s="18" t="s">
        <v>67</v>
      </c>
      <c r="AL116">
        <v>3</v>
      </c>
      <c r="AM116">
        <v>784</v>
      </c>
      <c r="AN116">
        <v>4364</v>
      </c>
      <c r="AO116">
        <v>3899</v>
      </c>
      <c r="AP116">
        <v>3624</v>
      </c>
      <c r="AQ116">
        <f t="shared" si="8"/>
        <v>275</v>
      </c>
      <c r="AR116">
        <f t="shared" si="9"/>
        <v>36</v>
      </c>
    </row>
    <row r="117" spans="1:44" x14ac:dyDescent="0.25">
      <c r="A117" s="18">
        <v>5</v>
      </c>
      <c r="B117" s="18" t="s">
        <v>110</v>
      </c>
      <c r="C117" s="18" t="s">
        <v>50</v>
      </c>
      <c r="E117" s="18" t="s">
        <v>50</v>
      </c>
      <c r="F117" s="18">
        <v>-4.5</v>
      </c>
      <c r="G117" s="18">
        <v>1.8360000000000001</v>
      </c>
      <c r="H117" s="18">
        <v>7.0000000000000001E-3</v>
      </c>
      <c r="I117" s="18">
        <v>-14.05</v>
      </c>
      <c r="J117" s="18">
        <v>-2.496</v>
      </c>
      <c r="K117" s="18">
        <v>2.5000000000000001E-2</v>
      </c>
      <c r="L117" s="18" t="s">
        <v>86</v>
      </c>
      <c r="M117" s="18">
        <v>3</v>
      </c>
      <c r="N117" s="18">
        <v>600</v>
      </c>
      <c r="O117" s="18">
        <v>90</v>
      </c>
      <c r="P117" s="18">
        <v>1</v>
      </c>
      <c r="Q117" s="18" t="s">
        <v>52</v>
      </c>
      <c r="R117" s="18" t="s">
        <v>111</v>
      </c>
      <c r="S117" s="18" t="s">
        <v>112</v>
      </c>
      <c r="T117" s="18" t="s">
        <v>113</v>
      </c>
      <c r="AL117">
        <v>3</v>
      </c>
      <c r="AM117">
        <v>802</v>
      </c>
      <c r="AN117">
        <v>4098</v>
      </c>
      <c r="AO117">
        <v>3654</v>
      </c>
      <c r="AP117">
        <v>3398</v>
      </c>
      <c r="AQ117">
        <f t="shared" si="8"/>
        <v>256</v>
      </c>
      <c r="AR117">
        <f t="shared" si="9"/>
        <v>36</v>
      </c>
    </row>
    <row r="118" spans="1:44" x14ac:dyDescent="0.25">
      <c r="A118" s="18">
        <v>6</v>
      </c>
      <c r="B118" s="18" t="s">
        <v>114</v>
      </c>
      <c r="C118" s="18" t="s">
        <v>50</v>
      </c>
      <c r="E118" s="18" t="s">
        <v>50</v>
      </c>
      <c r="F118" s="18">
        <v>-4.5</v>
      </c>
      <c r="G118" s="18">
        <v>1.7889999999999999</v>
      </c>
      <c r="H118" s="18">
        <v>1.2999999999999999E-2</v>
      </c>
      <c r="I118" s="18">
        <v>-14.05</v>
      </c>
      <c r="J118" s="18">
        <v>-2.5030000000000001</v>
      </c>
      <c r="K118" s="18">
        <v>1.7000000000000001E-2</v>
      </c>
      <c r="L118" s="18" t="s">
        <v>86</v>
      </c>
      <c r="M118" s="18">
        <v>3</v>
      </c>
      <c r="N118" s="18">
        <v>600</v>
      </c>
      <c r="O118" s="18">
        <v>90</v>
      </c>
      <c r="P118" s="18">
        <v>1</v>
      </c>
      <c r="Q118" s="18" t="s">
        <v>52</v>
      </c>
      <c r="R118" s="18" t="s">
        <v>115</v>
      </c>
      <c r="S118" s="18" t="s">
        <v>116</v>
      </c>
      <c r="T118" s="18" t="s">
        <v>117</v>
      </c>
      <c r="AL118">
        <v>3</v>
      </c>
      <c r="AM118">
        <v>816</v>
      </c>
      <c r="AN118">
        <v>4238</v>
      </c>
      <c r="AO118">
        <v>3822</v>
      </c>
      <c r="AP118">
        <v>3553</v>
      </c>
      <c r="AQ118">
        <f t="shared" si="8"/>
        <v>269</v>
      </c>
      <c r="AR118">
        <f t="shared" si="9"/>
        <v>36</v>
      </c>
    </row>
    <row r="119" spans="1:44" x14ac:dyDescent="0.25">
      <c r="A119" s="18">
        <v>1</v>
      </c>
      <c r="B119" s="18" t="s">
        <v>49</v>
      </c>
      <c r="C119" s="18" t="s">
        <v>100</v>
      </c>
      <c r="E119" s="18" t="s">
        <v>101</v>
      </c>
      <c r="F119" s="18">
        <v>-4.5</v>
      </c>
      <c r="G119" s="18">
        <v>1.69</v>
      </c>
      <c r="H119" s="18">
        <v>5.0000000000000001E-3</v>
      </c>
      <c r="I119" s="18">
        <v>-14.05</v>
      </c>
      <c r="J119" s="18">
        <v>-2.4710000000000001</v>
      </c>
      <c r="K119" s="18">
        <v>1.0999999999999999E-2</v>
      </c>
      <c r="L119" s="18" t="s">
        <v>102</v>
      </c>
      <c r="M119" s="18">
        <v>3</v>
      </c>
      <c r="N119" s="18">
        <v>600</v>
      </c>
      <c r="O119" s="18">
        <v>90</v>
      </c>
      <c r="P119" s="18">
        <v>1</v>
      </c>
      <c r="Q119" s="18" t="s">
        <v>103</v>
      </c>
      <c r="R119" s="18" t="s">
        <v>104</v>
      </c>
      <c r="S119" s="18" t="s">
        <v>105</v>
      </c>
      <c r="T119" s="18" t="s">
        <v>106</v>
      </c>
      <c r="AL119">
        <v>3</v>
      </c>
      <c r="AM119">
        <v>968</v>
      </c>
      <c r="AN119">
        <v>7750</v>
      </c>
      <c r="AO119">
        <v>6805</v>
      </c>
      <c r="AP119">
        <v>6315</v>
      </c>
      <c r="AQ119">
        <f>AO119-AP119</f>
        <v>490</v>
      </c>
      <c r="AR119">
        <f>6*9</f>
        <v>54</v>
      </c>
    </row>
    <row r="120" spans="1:44" x14ac:dyDescent="0.25">
      <c r="A120" s="38">
        <v>42240</v>
      </c>
      <c r="B120" s="43"/>
      <c r="C120" s="43"/>
      <c r="D120" s="43"/>
      <c r="E120" s="43"/>
      <c r="F120" s="44"/>
      <c r="G120" s="43"/>
      <c r="H120" s="44"/>
    </row>
    <row r="121" spans="1:44" x14ac:dyDescent="0.25">
      <c r="A121" s="18">
        <v>1</v>
      </c>
      <c r="B121" s="18" t="s">
        <v>49</v>
      </c>
      <c r="C121" s="18" t="s">
        <v>50</v>
      </c>
      <c r="E121" s="18" t="s">
        <v>50</v>
      </c>
      <c r="F121" s="18">
        <v>-4.5</v>
      </c>
      <c r="G121" s="18">
        <v>1.8149999999999999</v>
      </c>
      <c r="H121" s="18">
        <v>7.0000000000000001E-3</v>
      </c>
      <c r="I121" s="18">
        <v>-14.05</v>
      </c>
      <c r="J121" s="18">
        <v>-2.38</v>
      </c>
      <c r="K121" s="18">
        <v>1.9E-2</v>
      </c>
      <c r="L121" s="18" t="s">
        <v>86</v>
      </c>
      <c r="M121" s="18">
        <v>3</v>
      </c>
      <c r="N121" s="18">
        <v>600</v>
      </c>
      <c r="O121" s="18">
        <v>90</v>
      </c>
      <c r="P121" s="18">
        <v>1</v>
      </c>
      <c r="Q121" s="18" t="s">
        <v>70</v>
      </c>
      <c r="R121" s="18" t="s">
        <v>87</v>
      </c>
      <c r="S121" s="18" t="s">
        <v>88</v>
      </c>
      <c r="T121" s="18" t="s">
        <v>89</v>
      </c>
      <c r="AL121">
        <v>3</v>
      </c>
      <c r="AM121">
        <v>912</v>
      </c>
      <c r="AN121">
        <v>5145</v>
      </c>
      <c r="AO121">
        <v>4589</v>
      </c>
      <c r="AP121">
        <v>4266</v>
      </c>
      <c r="AQ121">
        <f>AO121-AP121</f>
        <v>323</v>
      </c>
      <c r="AR121">
        <f t="shared" si="9"/>
        <v>36</v>
      </c>
    </row>
    <row r="122" spans="1:44" x14ac:dyDescent="0.25">
      <c r="A122" s="18">
        <v>2</v>
      </c>
      <c r="B122" s="18" t="s">
        <v>56</v>
      </c>
      <c r="C122" s="18" t="s">
        <v>50</v>
      </c>
      <c r="E122" s="18" t="s">
        <v>50</v>
      </c>
      <c r="F122" s="18">
        <v>-4.5</v>
      </c>
      <c r="G122" s="18">
        <v>1.774</v>
      </c>
      <c r="H122" s="18">
        <v>7.0000000000000001E-3</v>
      </c>
      <c r="I122" s="18">
        <v>-14.05</v>
      </c>
      <c r="J122" s="18">
        <v>-2.5569999999999999</v>
      </c>
      <c r="K122" s="18">
        <v>2.3E-2</v>
      </c>
      <c r="L122" s="18" t="s">
        <v>86</v>
      </c>
      <c r="M122" s="18">
        <v>3</v>
      </c>
      <c r="N122" s="18">
        <v>600</v>
      </c>
      <c r="O122" s="18">
        <v>90</v>
      </c>
      <c r="P122" s="18">
        <v>1</v>
      </c>
      <c r="Q122" s="18" t="s">
        <v>70</v>
      </c>
      <c r="R122" s="18" t="s">
        <v>90</v>
      </c>
      <c r="S122" s="18" t="s">
        <v>91</v>
      </c>
      <c r="T122" s="18" t="s">
        <v>92</v>
      </c>
      <c r="AL122">
        <v>3</v>
      </c>
      <c r="AM122">
        <v>894</v>
      </c>
      <c r="AN122">
        <v>5033</v>
      </c>
      <c r="AO122">
        <v>4492</v>
      </c>
      <c r="AP122">
        <v>4174</v>
      </c>
      <c r="AQ122">
        <f t="shared" ref="AQ122:AQ146" si="10">AO122-AP122</f>
        <v>318</v>
      </c>
      <c r="AR122">
        <f t="shared" si="9"/>
        <v>36</v>
      </c>
    </row>
    <row r="123" spans="1:44" x14ac:dyDescent="0.25">
      <c r="A123" s="18">
        <v>3</v>
      </c>
      <c r="B123" s="18" t="s">
        <v>60</v>
      </c>
      <c r="C123" s="18" t="s">
        <v>50</v>
      </c>
      <c r="E123" s="18" t="s">
        <v>50</v>
      </c>
      <c r="F123" s="18">
        <v>-4.5</v>
      </c>
      <c r="G123" s="18">
        <v>1.754</v>
      </c>
      <c r="H123" s="18">
        <v>3.0000000000000001E-3</v>
      </c>
      <c r="I123" s="18">
        <v>-14.05</v>
      </c>
      <c r="J123" s="18">
        <v>-2.5289999999999999</v>
      </c>
      <c r="K123" s="18">
        <v>0.02</v>
      </c>
      <c r="L123" s="18" t="s">
        <v>136</v>
      </c>
      <c r="M123" s="18">
        <v>3</v>
      </c>
      <c r="N123" s="18">
        <v>720</v>
      </c>
      <c r="O123" s="18">
        <v>90</v>
      </c>
      <c r="P123" s="18">
        <v>1</v>
      </c>
      <c r="Q123" s="18" t="s">
        <v>70</v>
      </c>
      <c r="R123" s="18" t="s">
        <v>137</v>
      </c>
      <c r="S123" s="18" t="s">
        <v>138</v>
      </c>
      <c r="T123" s="18" t="s">
        <v>139</v>
      </c>
      <c r="AL123">
        <v>3</v>
      </c>
      <c r="AM123">
        <v>905</v>
      </c>
      <c r="AN123">
        <v>5077</v>
      </c>
      <c r="AO123">
        <v>4529</v>
      </c>
      <c r="AP123">
        <v>4210</v>
      </c>
      <c r="AQ123">
        <f t="shared" si="10"/>
        <v>319</v>
      </c>
      <c r="AR123">
        <f t="shared" si="9"/>
        <v>36</v>
      </c>
    </row>
    <row r="124" spans="1:44" x14ac:dyDescent="0.25">
      <c r="A124" s="18">
        <v>6</v>
      </c>
      <c r="B124" s="18" t="s">
        <v>114</v>
      </c>
      <c r="C124" s="18" t="s">
        <v>50</v>
      </c>
      <c r="E124" s="18" t="s">
        <v>50</v>
      </c>
      <c r="F124" s="18">
        <v>-4.5</v>
      </c>
      <c r="G124" s="18">
        <v>1.742</v>
      </c>
      <c r="H124" s="18">
        <v>1.2999999999999999E-2</v>
      </c>
      <c r="I124" s="18">
        <v>-14.05</v>
      </c>
      <c r="J124" s="18">
        <v>-2.5710000000000002</v>
      </c>
      <c r="K124" s="18">
        <v>1.0999999999999999E-2</v>
      </c>
      <c r="L124" s="18" t="s">
        <v>136</v>
      </c>
      <c r="M124" s="18">
        <v>3</v>
      </c>
      <c r="N124" s="18">
        <v>720</v>
      </c>
      <c r="O124" s="18">
        <v>90</v>
      </c>
      <c r="P124" s="18">
        <v>1</v>
      </c>
      <c r="Q124" s="18" t="s">
        <v>70</v>
      </c>
      <c r="R124" s="18" t="s">
        <v>140</v>
      </c>
      <c r="S124" s="18" t="s">
        <v>141</v>
      </c>
      <c r="T124" s="18" t="s">
        <v>142</v>
      </c>
      <c r="AL124">
        <v>3</v>
      </c>
      <c r="AM124">
        <v>944</v>
      </c>
      <c r="AN124">
        <v>5355</v>
      </c>
      <c r="AO124">
        <v>4762</v>
      </c>
      <c r="AP124">
        <v>4425</v>
      </c>
      <c r="AQ124">
        <f t="shared" si="10"/>
        <v>337</v>
      </c>
      <c r="AR124">
        <f t="shared" si="9"/>
        <v>36</v>
      </c>
    </row>
    <row r="125" spans="1:44" x14ac:dyDescent="0.25">
      <c r="A125" s="18">
        <v>7</v>
      </c>
      <c r="B125" s="18" t="s">
        <v>68</v>
      </c>
      <c r="C125" s="18" t="s">
        <v>50</v>
      </c>
      <c r="E125" s="18" t="s">
        <v>50</v>
      </c>
      <c r="F125" s="18">
        <v>-4.5</v>
      </c>
      <c r="G125" s="18">
        <v>1.782</v>
      </c>
      <c r="H125" s="18">
        <v>8.9999999999999993E-3</v>
      </c>
      <c r="I125" s="18">
        <v>-14.05</v>
      </c>
      <c r="J125" s="18">
        <v>-2.6469999999999998</v>
      </c>
      <c r="K125" s="18">
        <v>1.2999999999999999E-2</v>
      </c>
      <c r="L125" s="18" t="s">
        <v>69</v>
      </c>
      <c r="M125" s="18">
        <v>3</v>
      </c>
      <c r="N125" s="18">
        <v>480</v>
      </c>
      <c r="O125" s="18">
        <v>135</v>
      </c>
      <c r="P125" s="18">
        <v>1</v>
      </c>
      <c r="Q125" s="18" t="s">
        <v>70</v>
      </c>
      <c r="R125" s="18" t="s">
        <v>71</v>
      </c>
      <c r="S125" s="18" t="s">
        <v>72</v>
      </c>
      <c r="T125" s="18" t="s">
        <v>73</v>
      </c>
      <c r="AL125">
        <v>3</v>
      </c>
      <c r="AM125">
        <v>884</v>
      </c>
      <c r="AN125">
        <v>4647</v>
      </c>
      <c r="AO125">
        <v>4160</v>
      </c>
      <c r="AP125">
        <v>3867</v>
      </c>
      <c r="AQ125">
        <f t="shared" si="10"/>
        <v>293</v>
      </c>
      <c r="AR125">
        <f t="shared" si="9"/>
        <v>36</v>
      </c>
    </row>
    <row r="126" spans="1:44" x14ac:dyDescent="0.25">
      <c r="A126" s="18">
        <v>8</v>
      </c>
      <c r="B126" s="18" t="s">
        <v>74</v>
      </c>
      <c r="C126" s="18" t="s">
        <v>50</v>
      </c>
      <c r="E126" s="18" t="s">
        <v>50</v>
      </c>
      <c r="F126" s="18">
        <v>-4.5</v>
      </c>
      <c r="G126" s="18">
        <v>1.863</v>
      </c>
      <c r="H126" s="18">
        <v>1.6E-2</v>
      </c>
      <c r="I126" s="18">
        <v>-14.05</v>
      </c>
      <c r="J126" s="18">
        <v>-2.67</v>
      </c>
      <c r="K126" s="18">
        <v>1.4999999999999999E-2</v>
      </c>
      <c r="L126" s="18" t="s">
        <v>69</v>
      </c>
      <c r="M126" s="18">
        <v>3</v>
      </c>
      <c r="N126" s="18">
        <v>480</v>
      </c>
      <c r="O126" s="18">
        <v>135</v>
      </c>
      <c r="P126" s="18">
        <v>1</v>
      </c>
      <c r="Q126" s="18" t="s">
        <v>70</v>
      </c>
      <c r="R126" s="18" t="s">
        <v>75</v>
      </c>
      <c r="S126" s="18" t="s">
        <v>76</v>
      </c>
      <c r="T126" s="18" t="s">
        <v>77</v>
      </c>
      <c r="AL126">
        <v>3</v>
      </c>
      <c r="AM126">
        <v>809</v>
      </c>
      <c r="AN126">
        <v>3561</v>
      </c>
      <c r="AO126">
        <v>3144</v>
      </c>
      <c r="AP126">
        <v>2921</v>
      </c>
      <c r="AQ126">
        <f t="shared" si="10"/>
        <v>223</v>
      </c>
      <c r="AR126">
        <f t="shared" si="9"/>
        <v>36</v>
      </c>
    </row>
    <row r="127" spans="1:44" x14ac:dyDescent="0.25">
      <c r="A127" s="18">
        <v>9</v>
      </c>
      <c r="B127" s="18" t="s">
        <v>78</v>
      </c>
      <c r="C127" s="18" t="s">
        <v>50</v>
      </c>
      <c r="E127" s="18" t="s">
        <v>50</v>
      </c>
      <c r="F127" s="18">
        <v>-4.5</v>
      </c>
      <c r="G127" s="18">
        <v>1.754</v>
      </c>
      <c r="H127" s="18">
        <v>8.0000000000000002E-3</v>
      </c>
      <c r="I127" s="18">
        <v>-14.05</v>
      </c>
      <c r="J127" s="18">
        <v>-2.577</v>
      </c>
      <c r="K127" s="18">
        <v>5.0000000000000001E-3</v>
      </c>
      <c r="L127" s="18" t="s">
        <v>69</v>
      </c>
      <c r="M127" s="18">
        <v>3</v>
      </c>
      <c r="N127" s="18">
        <v>480</v>
      </c>
      <c r="O127" s="18">
        <v>135</v>
      </c>
      <c r="P127" s="18">
        <v>1</v>
      </c>
      <c r="Q127" s="18" t="s">
        <v>70</v>
      </c>
      <c r="R127" s="18" t="s">
        <v>79</v>
      </c>
      <c r="S127" s="18" t="s">
        <v>80</v>
      </c>
      <c r="T127" s="18" t="s">
        <v>81</v>
      </c>
      <c r="AL127">
        <v>3</v>
      </c>
      <c r="AM127">
        <v>852</v>
      </c>
      <c r="AN127">
        <v>3770</v>
      </c>
      <c r="AO127">
        <v>3333</v>
      </c>
      <c r="AP127">
        <v>3101</v>
      </c>
      <c r="AQ127">
        <f t="shared" si="10"/>
        <v>232</v>
      </c>
      <c r="AR127">
        <f t="shared" si="9"/>
        <v>36</v>
      </c>
    </row>
    <row r="128" spans="1:44" x14ac:dyDescent="0.25">
      <c r="A128" s="18">
        <v>10</v>
      </c>
      <c r="B128" s="18" t="s">
        <v>82</v>
      </c>
      <c r="C128" s="18" t="s">
        <v>50</v>
      </c>
      <c r="E128" s="18" t="s">
        <v>50</v>
      </c>
      <c r="F128" s="18">
        <v>-4.5</v>
      </c>
      <c r="G128" s="18">
        <v>1.837</v>
      </c>
      <c r="H128" s="18">
        <v>7.0000000000000001E-3</v>
      </c>
      <c r="I128" s="18">
        <v>-14.05</v>
      </c>
      <c r="J128" s="18">
        <v>-2.5190000000000001</v>
      </c>
      <c r="K128" s="18">
        <v>1.6E-2</v>
      </c>
      <c r="L128" s="18" t="s">
        <v>69</v>
      </c>
      <c r="M128" s="18">
        <v>3</v>
      </c>
      <c r="N128" s="18">
        <v>480</v>
      </c>
      <c r="O128" s="18">
        <v>135</v>
      </c>
      <c r="P128" s="18">
        <v>1</v>
      </c>
      <c r="Q128" s="18" t="s">
        <v>70</v>
      </c>
      <c r="R128" s="18" t="s">
        <v>83</v>
      </c>
      <c r="S128" s="18" t="s">
        <v>84</v>
      </c>
      <c r="T128" s="18" t="s">
        <v>85</v>
      </c>
      <c r="AL128">
        <v>3</v>
      </c>
      <c r="AM128">
        <v>876</v>
      </c>
      <c r="AN128">
        <v>4508</v>
      </c>
      <c r="AO128">
        <v>4045</v>
      </c>
      <c r="AP128">
        <v>3760</v>
      </c>
      <c r="AQ128">
        <f t="shared" si="10"/>
        <v>285</v>
      </c>
      <c r="AR128">
        <f t="shared" si="9"/>
        <v>36</v>
      </c>
    </row>
    <row r="129" spans="1:44" x14ac:dyDescent="0.25">
      <c r="A129" s="18">
        <v>12</v>
      </c>
      <c r="B129" s="18" t="s">
        <v>124</v>
      </c>
      <c r="C129" s="18" t="s">
        <v>50</v>
      </c>
      <c r="E129" s="18" t="s">
        <v>50</v>
      </c>
      <c r="F129" s="18">
        <v>-4.5</v>
      </c>
      <c r="G129" s="18">
        <v>1.766</v>
      </c>
      <c r="H129" s="18">
        <v>1.9E-2</v>
      </c>
      <c r="I129" s="18">
        <v>-14.05</v>
      </c>
      <c r="J129" s="18">
        <v>-2.6579999999999999</v>
      </c>
      <c r="K129" s="18">
        <v>6.0000000000000001E-3</v>
      </c>
      <c r="L129" s="18" t="s">
        <v>119</v>
      </c>
      <c r="M129" s="18">
        <v>3</v>
      </c>
      <c r="N129" s="18">
        <v>600</v>
      </c>
      <c r="O129" s="18">
        <v>135</v>
      </c>
      <c r="P129" s="18">
        <v>1</v>
      </c>
      <c r="Q129" s="18" t="s">
        <v>70</v>
      </c>
      <c r="R129" s="18" t="s">
        <v>125</v>
      </c>
      <c r="S129" s="18" t="s">
        <v>126</v>
      </c>
      <c r="T129" s="18" t="s">
        <v>127</v>
      </c>
      <c r="AL129">
        <v>3</v>
      </c>
      <c r="AM129">
        <v>752</v>
      </c>
      <c r="AN129">
        <v>3089</v>
      </c>
      <c r="AO129">
        <v>2726</v>
      </c>
      <c r="AP129">
        <v>2536</v>
      </c>
      <c r="AQ129">
        <f>AO129-AP129</f>
        <v>190</v>
      </c>
      <c r="AR129">
        <f t="shared" si="9"/>
        <v>36</v>
      </c>
    </row>
    <row r="130" spans="1:44" x14ac:dyDescent="0.25">
      <c r="A130" s="18">
        <v>13</v>
      </c>
      <c r="B130" s="18" t="s">
        <v>128</v>
      </c>
      <c r="C130" s="18" t="s">
        <v>50</v>
      </c>
      <c r="E130" s="18" t="s">
        <v>50</v>
      </c>
      <c r="F130" s="18">
        <v>-4.5</v>
      </c>
      <c r="G130" s="18">
        <v>1.7869999999999999</v>
      </c>
      <c r="H130" s="18">
        <v>8.9999999999999993E-3</v>
      </c>
      <c r="I130" s="18">
        <v>-14.05</v>
      </c>
      <c r="J130" s="18">
        <v>-2.5059999999999998</v>
      </c>
      <c r="K130" s="18">
        <v>2.7E-2</v>
      </c>
      <c r="L130" s="18" t="s">
        <v>119</v>
      </c>
      <c r="M130" s="18">
        <v>3</v>
      </c>
      <c r="N130" s="18">
        <v>600</v>
      </c>
      <c r="O130" s="18">
        <v>135</v>
      </c>
      <c r="P130" s="18">
        <v>1</v>
      </c>
      <c r="Q130" s="18" t="s">
        <v>70</v>
      </c>
      <c r="R130" s="18" t="s">
        <v>129</v>
      </c>
      <c r="S130" s="18" t="s">
        <v>130</v>
      </c>
      <c r="T130" s="18" t="s">
        <v>131</v>
      </c>
      <c r="AL130">
        <v>3</v>
      </c>
      <c r="AM130">
        <v>834</v>
      </c>
      <c r="AN130">
        <v>4146</v>
      </c>
      <c r="AO130">
        <v>3730</v>
      </c>
      <c r="AP130">
        <v>3473</v>
      </c>
      <c r="AQ130">
        <f t="shared" si="10"/>
        <v>257</v>
      </c>
      <c r="AR130">
        <f t="shared" si="9"/>
        <v>36</v>
      </c>
    </row>
    <row r="131" spans="1:44" x14ac:dyDescent="0.25">
      <c r="A131" s="18">
        <v>14</v>
      </c>
      <c r="B131" s="18" t="s">
        <v>132</v>
      </c>
      <c r="C131" s="18" t="s">
        <v>50</v>
      </c>
      <c r="E131" s="18" t="s">
        <v>50</v>
      </c>
      <c r="F131" s="18">
        <v>-4.5</v>
      </c>
      <c r="G131" s="18">
        <v>1.8420000000000001</v>
      </c>
      <c r="H131" s="18">
        <v>6.0000000000000001E-3</v>
      </c>
      <c r="I131" s="18">
        <v>-14.05</v>
      </c>
      <c r="J131" s="18">
        <v>-2.5750000000000002</v>
      </c>
      <c r="K131" s="18">
        <v>0.03</v>
      </c>
      <c r="L131" s="18" t="s">
        <v>119</v>
      </c>
      <c r="M131" s="18">
        <v>3</v>
      </c>
      <c r="N131" s="18">
        <v>600</v>
      </c>
      <c r="O131" s="18">
        <v>135</v>
      </c>
      <c r="P131" s="18">
        <v>1</v>
      </c>
      <c r="Q131" s="18" t="s">
        <v>70</v>
      </c>
      <c r="R131" s="18" t="s">
        <v>133</v>
      </c>
      <c r="S131" s="18" t="s">
        <v>134</v>
      </c>
      <c r="T131" s="18" t="s">
        <v>135</v>
      </c>
      <c r="AL131">
        <v>3</v>
      </c>
      <c r="AM131" s="46">
        <v>873</v>
      </c>
      <c r="AN131">
        <v>4515</v>
      </c>
      <c r="AO131">
        <v>4005</v>
      </c>
      <c r="AP131">
        <v>3722</v>
      </c>
      <c r="AQ131">
        <f t="shared" si="10"/>
        <v>283</v>
      </c>
      <c r="AR131">
        <f t="shared" si="9"/>
        <v>36</v>
      </c>
    </row>
    <row r="132" spans="1:44" x14ac:dyDescent="0.25">
      <c r="A132" s="18">
        <v>15</v>
      </c>
      <c r="B132" s="18" t="s">
        <v>143</v>
      </c>
      <c r="C132" s="18" t="s">
        <v>50</v>
      </c>
      <c r="E132" s="18" t="s">
        <v>50</v>
      </c>
      <c r="F132" s="18">
        <v>-4.5</v>
      </c>
      <c r="G132" s="18">
        <v>1.8120000000000001</v>
      </c>
      <c r="H132" s="18">
        <v>1.6E-2</v>
      </c>
      <c r="I132" s="18">
        <v>-14.05</v>
      </c>
      <c r="J132" s="18">
        <v>-2.5329999999999999</v>
      </c>
      <c r="K132" s="18">
        <v>2.4E-2</v>
      </c>
      <c r="L132" s="18" t="s">
        <v>144</v>
      </c>
      <c r="M132" s="18">
        <v>3</v>
      </c>
      <c r="N132" s="18">
        <v>720</v>
      </c>
      <c r="O132" s="18">
        <v>135</v>
      </c>
      <c r="P132" s="18">
        <v>1</v>
      </c>
      <c r="Q132" s="18" t="s">
        <v>70</v>
      </c>
      <c r="R132" s="18" t="s">
        <v>145</v>
      </c>
      <c r="S132" s="18" t="s">
        <v>146</v>
      </c>
      <c r="T132" s="18" t="s">
        <v>147</v>
      </c>
      <c r="AL132">
        <v>3</v>
      </c>
      <c r="AM132">
        <v>859</v>
      </c>
      <c r="AN132">
        <v>4345</v>
      </c>
      <c r="AO132">
        <v>3918</v>
      </c>
      <c r="AP132">
        <v>3647</v>
      </c>
      <c r="AQ132">
        <f t="shared" si="10"/>
        <v>271</v>
      </c>
      <c r="AR132">
        <f t="shared" si="9"/>
        <v>36</v>
      </c>
    </row>
    <row r="133" spans="1:44" x14ac:dyDescent="0.25">
      <c r="A133" s="18">
        <v>16</v>
      </c>
      <c r="B133" s="18" t="s">
        <v>148</v>
      </c>
      <c r="C133" s="18" t="s">
        <v>50</v>
      </c>
      <c r="E133" s="18" t="s">
        <v>50</v>
      </c>
      <c r="F133" s="18">
        <v>-4.5</v>
      </c>
      <c r="G133" s="18">
        <v>1.7390000000000001</v>
      </c>
      <c r="H133" s="18">
        <v>5.0000000000000001E-3</v>
      </c>
      <c r="I133" s="18">
        <v>-14.05</v>
      </c>
      <c r="J133" s="18">
        <v>-2.782</v>
      </c>
      <c r="K133" s="18">
        <v>2.5999999999999999E-2</v>
      </c>
      <c r="L133" s="18" t="s">
        <v>144</v>
      </c>
      <c r="M133" s="18">
        <v>3</v>
      </c>
      <c r="N133" s="18">
        <v>720</v>
      </c>
      <c r="O133" s="18">
        <v>135</v>
      </c>
      <c r="P133" s="18">
        <v>1</v>
      </c>
      <c r="Q133" s="18" t="s">
        <v>70</v>
      </c>
      <c r="R133" s="18" t="s">
        <v>149</v>
      </c>
      <c r="S133" s="18" t="s">
        <v>150</v>
      </c>
      <c r="T133" s="18" t="s">
        <v>151</v>
      </c>
      <c r="AL133">
        <v>3</v>
      </c>
      <c r="AM133">
        <v>749</v>
      </c>
      <c r="AN133">
        <v>3012</v>
      </c>
      <c r="AO133">
        <v>2752</v>
      </c>
      <c r="AP133">
        <v>2561</v>
      </c>
      <c r="AQ133">
        <f t="shared" si="10"/>
        <v>191</v>
      </c>
      <c r="AR133">
        <f t="shared" si="9"/>
        <v>36</v>
      </c>
    </row>
    <row r="134" spans="1:44" x14ac:dyDescent="0.25">
      <c r="A134" s="18">
        <v>17</v>
      </c>
      <c r="B134" s="18" t="s">
        <v>152</v>
      </c>
      <c r="C134" s="18" t="s">
        <v>50</v>
      </c>
      <c r="E134" s="18" t="s">
        <v>50</v>
      </c>
      <c r="F134" s="18">
        <v>-4.5</v>
      </c>
      <c r="G134" s="18">
        <v>1.7809999999999999</v>
      </c>
      <c r="H134" s="18">
        <v>1.0999999999999999E-2</v>
      </c>
      <c r="I134" s="18">
        <v>-14.05</v>
      </c>
      <c r="J134" s="18">
        <v>-2.5409999999999999</v>
      </c>
      <c r="K134" s="18">
        <v>1.2E-2</v>
      </c>
      <c r="L134" s="18" t="s">
        <v>144</v>
      </c>
      <c r="M134" s="18">
        <v>3</v>
      </c>
      <c r="N134" s="18">
        <v>720</v>
      </c>
      <c r="O134" s="18">
        <v>135</v>
      </c>
      <c r="P134" s="18">
        <v>1</v>
      </c>
      <c r="Q134" s="18" t="s">
        <v>70</v>
      </c>
      <c r="R134" s="18" t="s">
        <v>153</v>
      </c>
      <c r="S134" s="18" t="s">
        <v>154</v>
      </c>
      <c r="T134" s="18" t="s">
        <v>155</v>
      </c>
      <c r="AL134">
        <v>3</v>
      </c>
      <c r="AM134" s="46">
        <v>873</v>
      </c>
      <c r="AN134">
        <v>4495</v>
      </c>
      <c r="AO134">
        <v>4051</v>
      </c>
      <c r="AP134">
        <v>3770</v>
      </c>
      <c r="AQ134">
        <f t="shared" si="10"/>
        <v>281</v>
      </c>
      <c r="AR134">
        <f t="shared" si="9"/>
        <v>36</v>
      </c>
    </row>
    <row r="135" spans="1:44" x14ac:dyDescent="0.25">
      <c r="A135" s="18">
        <v>18</v>
      </c>
      <c r="B135" s="18" t="s">
        <v>156</v>
      </c>
      <c r="C135" s="18" t="s">
        <v>50</v>
      </c>
      <c r="E135" s="18" t="s">
        <v>50</v>
      </c>
      <c r="F135" s="18">
        <v>-4.5</v>
      </c>
      <c r="G135" s="18">
        <v>1.7490000000000001</v>
      </c>
      <c r="H135" s="18">
        <v>6.0000000000000001E-3</v>
      </c>
      <c r="I135" s="18">
        <v>-14.05</v>
      </c>
      <c r="J135" s="18">
        <v>-2.734</v>
      </c>
      <c r="K135" s="18">
        <v>2.3E-2</v>
      </c>
      <c r="L135" s="18" t="s">
        <v>144</v>
      </c>
      <c r="M135" s="18">
        <v>3</v>
      </c>
      <c r="N135" s="18">
        <v>720</v>
      </c>
      <c r="O135" s="18">
        <v>135</v>
      </c>
      <c r="P135" s="18">
        <v>1</v>
      </c>
      <c r="Q135" s="18" t="s">
        <v>70</v>
      </c>
      <c r="R135" s="18" t="s">
        <v>157</v>
      </c>
      <c r="S135" s="18" t="s">
        <v>158</v>
      </c>
      <c r="T135" s="18" t="s">
        <v>159</v>
      </c>
      <c r="AL135">
        <v>3</v>
      </c>
      <c r="AM135">
        <v>827</v>
      </c>
      <c r="AN135">
        <v>3785</v>
      </c>
      <c r="AO135">
        <v>3404</v>
      </c>
      <c r="AP135">
        <v>3167</v>
      </c>
      <c r="AQ135">
        <f t="shared" si="10"/>
        <v>237</v>
      </c>
      <c r="AR135">
        <f t="shared" si="9"/>
        <v>36</v>
      </c>
    </row>
    <row r="136" spans="1:44" x14ac:dyDescent="0.25">
      <c r="A136" s="18">
        <v>20</v>
      </c>
      <c r="B136" s="18" t="s">
        <v>165</v>
      </c>
      <c r="C136" s="18" t="s">
        <v>50</v>
      </c>
      <c r="E136" s="18" t="s">
        <v>50</v>
      </c>
      <c r="F136" s="18">
        <v>-4.5</v>
      </c>
      <c r="G136" s="18">
        <v>1.6</v>
      </c>
      <c r="H136" s="18">
        <v>1.7000000000000001E-2</v>
      </c>
      <c r="I136" s="18">
        <v>-14.05</v>
      </c>
      <c r="J136" s="18">
        <v>-2.887</v>
      </c>
      <c r="K136" s="18">
        <v>1.7999999999999999E-2</v>
      </c>
      <c r="L136" s="18" t="s">
        <v>161</v>
      </c>
      <c r="M136" s="18">
        <v>4</v>
      </c>
      <c r="N136" s="18">
        <v>480</v>
      </c>
      <c r="O136" s="18">
        <v>90</v>
      </c>
      <c r="P136" s="18">
        <v>1</v>
      </c>
      <c r="Q136" s="18" t="s">
        <v>70</v>
      </c>
      <c r="R136" s="18" t="s">
        <v>166</v>
      </c>
      <c r="S136" s="18" t="s">
        <v>167</v>
      </c>
      <c r="T136" s="18" t="s">
        <v>168</v>
      </c>
      <c r="AL136">
        <v>3</v>
      </c>
      <c r="AM136">
        <v>813</v>
      </c>
      <c r="AN136">
        <v>3597</v>
      </c>
      <c r="AO136">
        <v>3199</v>
      </c>
      <c r="AP136">
        <v>2974</v>
      </c>
      <c r="AQ136">
        <f t="shared" si="10"/>
        <v>225</v>
      </c>
      <c r="AR136">
        <f t="shared" si="9"/>
        <v>36</v>
      </c>
    </row>
    <row r="137" spans="1:44" x14ac:dyDescent="0.25">
      <c r="A137" s="18">
        <v>21</v>
      </c>
      <c r="B137" s="18" t="s">
        <v>169</v>
      </c>
      <c r="C137" s="18" t="s">
        <v>50</v>
      </c>
      <c r="E137" s="18" t="s">
        <v>50</v>
      </c>
      <c r="F137" s="18">
        <v>-4.5</v>
      </c>
      <c r="G137" s="18">
        <v>1.7829999999999999</v>
      </c>
      <c r="H137" s="18">
        <v>1.0999999999999999E-2</v>
      </c>
      <c r="I137" s="18">
        <v>-14.05</v>
      </c>
      <c r="J137" s="18">
        <v>-2.7130000000000001</v>
      </c>
      <c r="K137" s="18">
        <v>2.1999999999999999E-2</v>
      </c>
      <c r="L137" s="18" t="s">
        <v>161</v>
      </c>
      <c r="M137" s="18">
        <v>4</v>
      </c>
      <c r="N137" s="18">
        <v>480</v>
      </c>
      <c r="O137" s="18">
        <v>90</v>
      </c>
      <c r="P137" s="18">
        <v>1</v>
      </c>
      <c r="Q137" s="18" t="s">
        <v>70</v>
      </c>
      <c r="R137" s="18" t="s">
        <v>170</v>
      </c>
      <c r="S137" s="18" t="s">
        <v>171</v>
      </c>
      <c r="T137" s="18" t="s">
        <v>172</v>
      </c>
      <c r="AL137">
        <v>3</v>
      </c>
      <c r="AM137">
        <v>791</v>
      </c>
      <c r="AN137">
        <v>3476</v>
      </c>
      <c r="AO137">
        <v>3067</v>
      </c>
      <c r="AP137">
        <v>2852</v>
      </c>
      <c r="AQ137">
        <f t="shared" si="10"/>
        <v>215</v>
      </c>
      <c r="AR137">
        <f t="shared" si="9"/>
        <v>36</v>
      </c>
    </row>
    <row r="138" spans="1:44" x14ac:dyDescent="0.25">
      <c r="A138" s="18">
        <v>22</v>
      </c>
      <c r="B138" s="18" t="s">
        <v>173</v>
      </c>
      <c r="C138" s="18" t="s">
        <v>50</v>
      </c>
      <c r="E138" s="18" t="s">
        <v>50</v>
      </c>
      <c r="F138" s="18">
        <v>-4.5</v>
      </c>
      <c r="G138" s="18">
        <v>1.788</v>
      </c>
      <c r="H138" s="18">
        <v>1.0999999999999999E-2</v>
      </c>
      <c r="I138" s="18">
        <v>-14.05</v>
      </c>
      <c r="J138" s="18">
        <v>-2.633</v>
      </c>
      <c r="K138" s="18">
        <v>1.0999999999999999E-2</v>
      </c>
      <c r="L138" s="18" t="s">
        <v>161</v>
      </c>
      <c r="M138" s="18">
        <v>4</v>
      </c>
      <c r="N138" s="18">
        <v>480</v>
      </c>
      <c r="O138" s="18">
        <v>90</v>
      </c>
      <c r="P138" s="18">
        <v>1</v>
      </c>
      <c r="Q138" s="18" t="s">
        <v>70</v>
      </c>
      <c r="R138" s="18" t="s">
        <v>174</v>
      </c>
      <c r="S138" s="18" t="s">
        <v>175</v>
      </c>
      <c r="T138" s="18" t="s">
        <v>176</v>
      </c>
      <c r="AL138">
        <v>3</v>
      </c>
      <c r="AM138">
        <v>745</v>
      </c>
      <c r="AN138">
        <v>2934</v>
      </c>
      <c r="AO138">
        <v>2679</v>
      </c>
      <c r="AP138">
        <v>2497</v>
      </c>
      <c r="AQ138">
        <f t="shared" si="10"/>
        <v>182</v>
      </c>
      <c r="AR138">
        <f t="shared" si="9"/>
        <v>36</v>
      </c>
    </row>
    <row r="139" spans="1:44" x14ac:dyDescent="0.25">
      <c r="A139" s="18">
        <v>23</v>
      </c>
      <c r="B139" s="18" t="s">
        <v>177</v>
      </c>
      <c r="C139" s="18" t="s">
        <v>50</v>
      </c>
      <c r="E139" s="18" t="s">
        <v>50</v>
      </c>
      <c r="F139" s="18">
        <v>-4.5</v>
      </c>
      <c r="G139" s="18">
        <v>1.7529999999999999</v>
      </c>
      <c r="H139" s="18">
        <v>1.2999999999999999E-2</v>
      </c>
      <c r="I139" s="18">
        <v>-14.05</v>
      </c>
      <c r="J139" s="18">
        <v>-2.7050000000000001</v>
      </c>
      <c r="K139" s="18">
        <v>7.0000000000000001E-3</v>
      </c>
      <c r="L139" s="18" t="s">
        <v>178</v>
      </c>
      <c r="M139" s="18">
        <v>4</v>
      </c>
      <c r="N139" s="18">
        <v>600</v>
      </c>
      <c r="O139" s="18">
        <v>90</v>
      </c>
      <c r="P139" s="18">
        <v>1</v>
      </c>
      <c r="Q139" s="18" t="s">
        <v>96</v>
      </c>
      <c r="R139" s="18" t="s">
        <v>179</v>
      </c>
      <c r="S139" s="18" t="s">
        <v>180</v>
      </c>
      <c r="T139" s="18" t="s">
        <v>181</v>
      </c>
      <c r="AL139">
        <v>3</v>
      </c>
      <c r="AM139">
        <v>905</v>
      </c>
      <c r="AN139">
        <v>5007</v>
      </c>
      <c r="AO139">
        <v>4464</v>
      </c>
      <c r="AP139">
        <v>4149</v>
      </c>
      <c r="AQ139">
        <f t="shared" si="10"/>
        <v>315</v>
      </c>
      <c r="AR139">
        <f t="shared" si="9"/>
        <v>36</v>
      </c>
    </row>
    <row r="140" spans="1:44" x14ac:dyDescent="0.25">
      <c r="A140" s="18">
        <v>24</v>
      </c>
      <c r="B140" s="18" t="s">
        <v>182</v>
      </c>
      <c r="C140" s="18" t="s">
        <v>50</v>
      </c>
      <c r="E140" s="18" t="s">
        <v>50</v>
      </c>
      <c r="F140" s="18">
        <v>-4.5</v>
      </c>
      <c r="G140" s="18">
        <v>1.7829999999999999</v>
      </c>
      <c r="H140" s="18">
        <v>1.0999999999999999E-2</v>
      </c>
      <c r="I140" s="18">
        <v>-14.05</v>
      </c>
      <c r="J140" s="18">
        <v>-2.7519999999999998</v>
      </c>
      <c r="K140" s="18">
        <v>1.4E-2</v>
      </c>
      <c r="L140" s="18" t="s">
        <v>178</v>
      </c>
      <c r="M140" s="18">
        <v>4</v>
      </c>
      <c r="N140" s="18">
        <v>600</v>
      </c>
      <c r="O140" s="18">
        <v>90</v>
      </c>
      <c r="P140" s="18">
        <v>1</v>
      </c>
      <c r="Q140" s="18" t="s">
        <v>96</v>
      </c>
      <c r="R140" s="18" t="s">
        <v>183</v>
      </c>
      <c r="S140" s="18" t="s">
        <v>184</v>
      </c>
      <c r="T140" s="18" t="s">
        <v>185</v>
      </c>
      <c r="AL140">
        <v>3</v>
      </c>
      <c r="AM140">
        <v>837</v>
      </c>
      <c r="AN140">
        <v>3959</v>
      </c>
      <c r="AO140">
        <v>3556</v>
      </c>
      <c r="AP140">
        <v>3308</v>
      </c>
      <c r="AQ140">
        <f t="shared" si="10"/>
        <v>248</v>
      </c>
      <c r="AR140">
        <f t="shared" si="9"/>
        <v>36</v>
      </c>
    </row>
    <row r="141" spans="1:44" x14ac:dyDescent="0.25">
      <c r="A141" s="18">
        <v>25</v>
      </c>
      <c r="B141" s="18" t="s">
        <v>186</v>
      </c>
      <c r="C141" s="18" t="s">
        <v>50</v>
      </c>
      <c r="E141" s="18" t="s">
        <v>50</v>
      </c>
      <c r="F141" s="18">
        <v>-4.5</v>
      </c>
      <c r="G141" s="18">
        <v>1.8129999999999999</v>
      </c>
      <c r="H141" s="18">
        <v>6.0000000000000001E-3</v>
      </c>
      <c r="I141" s="18">
        <v>-14.05</v>
      </c>
      <c r="J141" s="18">
        <v>-2.581</v>
      </c>
      <c r="K141" s="18">
        <v>1.0999999999999999E-2</v>
      </c>
      <c r="L141" s="18" t="s">
        <v>178</v>
      </c>
      <c r="M141" s="18">
        <v>4</v>
      </c>
      <c r="N141" s="18">
        <v>600</v>
      </c>
      <c r="O141" s="18">
        <v>90</v>
      </c>
      <c r="P141" s="18">
        <v>1</v>
      </c>
      <c r="Q141" s="18" t="s">
        <v>96</v>
      </c>
      <c r="R141" s="18" t="s">
        <v>187</v>
      </c>
      <c r="S141" s="18" t="s">
        <v>188</v>
      </c>
      <c r="T141" s="18" t="s">
        <v>189</v>
      </c>
      <c r="AL141">
        <v>3</v>
      </c>
      <c r="AM141">
        <v>866</v>
      </c>
      <c r="AN141">
        <v>4431</v>
      </c>
      <c r="AO141">
        <v>3987</v>
      </c>
      <c r="AP141">
        <v>3709</v>
      </c>
      <c r="AQ141">
        <f t="shared" si="10"/>
        <v>278</v>
      </c>
      <c r="AR141">
        <f t="shared" si="9"/>
        <v>36</v>
      </c>
    </row>
    <row r="142" spans="1:44" x14ac:dyDescent="0.25">
      <c r="A142" s="18">
        <v>26</v>
      </c>
      <c r="B142" s="18" t="s">
        <v>190</v>
      </c>
      <c r="C142" s="18" t="s">
        <v>50</v>
      </c>
      <c r="E142" s="18" t="s">
        <v>50</v>
      </c>
      <c r="F142" s="18">
        <v>-4.5</v>
      </c>
      <c r="G142" s="18">
        <v>1.831</v>
      </c>
      <c r="H142" s="18">
        <v>8.9999999999999993E-3</v>
      </c>
      <c r="I142" s="18">
        <v>-14.05</v>
      </c>
      <c r="J142" s="18">
        <v>-2.5259999999999998</v>
      </c>
      <c r="K142" s="18">
        <v>1.2999999999999999E-2</v>
      </c>
      <c r="L142" s="18" t="s">
        <v>178</v>
      </c>
      <c r="M142" s="18">
        <v>4</v>
      </c>
      <c r="N142" s="18">
        <v>600</v>
      </c>
      <c r="O142" s="18">
        <v>90</v>
      </c>
      <c r="P142" s="18">
        <v>1</v>
      </c>
      <c r="Q142" s="18" t="s">
        <v>96</v>
      </c>
      <c r="R142" s="18" t="s">
        <v>191</v>
      </c>
      <c r="S142" s="18" t="s">
        <v>192</v>
      </c>
      <c r="T142" s="18" t="s">
        <v>193</v>
      </c>
      <c r="AL142">
        <v>3</v>
      </c>
      <c r="AM142">
        <v>862</v>
      </c>
      <c r="AN142">
        <v>4278</v>
      </c>
      <c r="AO142">
        <v>3817</v>
      </c>
      <c r="AP142">
        <v>3553</v>
      </c>
      <c r="AQ142">
        <f t="shared" si="10"/>
        <v>264</v>
      </c>
      <c r="AR142">
        <f t="shared" si="9"/>
        <v>36</v>
      </c>
    </row>
    <row r="143" spans="1:44" x14ac:dyDescent="0.25">
      <c r="A143" s="18">
        <v>28</v>
      </c>
      <c r="B143" s="18" t="s">
        <v>203</v>
      </c>
      <c r="C143" s="18" t="s">
        <v>50</v>
      </c>
      <c r="E143" s="18" t="s">
        <v>50</v>
      </c>
      <c r="F143" s="18">
        <v>-4.5</v>
      </c>
      <c r="G143" s="18">
        <v>1.762</v>
      </c>
      <c r="H143" s="18">
        <v>5.0000000000000001E-3</v>
      </c>
      <c r="I143" s="18">
        <v>-14.05</v>
      </c>
      <c r="J143" s="18">
        <v>-2.6240000000000001</v>
      </c>
      <c r="K143" s="18">
        <v>1.2999999999999999E-2</v>
      </c>
      <c r="L143" s="18" t="s">
        <v>199</v>
      </c>
      <c r="M143" s="18">
        <v>4</v>
      </c>
      <c r="N143" s="18">
        <v>720</v>
      </c>
      <c r="O143" s="18">
        <v>90</v>
      </c>
      <c r="P143" s="18">
        <v>1</v>
      </c>
      <c r="Q143" s="18" t="s">
        <v>96</v>
      </c>
      <c r="R143" s="18" t="s">
        <v>204</v>
      </c>
      <c r="S143" s="18" t="s">
        <v>205</v>
      </c>
      <c r="T143" s="18" t="s">
        <v>206</v>
      </c>
      <c r="AL143">
        <v>3</v>
      </c>
      <c r="AM143">
        <v>905</v>
      </c>
      <c r="AN143">
        <v>4776</v>
      </c>
      <c r="AO143">
        <v>4246</v>
      </c>
      <c r="AP143">
        <v>3948</v>
      </c>
      <c r="AQ143">
        <f t="shared" si="10"/>
        <v>298</v>
      </c>
      <c r="AR143">
        <f t="shared" si="9"/>
        <v>36</v>
      </c>
    </row>
    <row r="144" spans="1:44" x14ac:dyDescent="0.25">
      <c r="A144" s="18">
        <v>29</v>
      </c>
      <c r="B144" s="18" t="s">
        <v>207</v>
      </c>
      <c r="C144" s="18" t="s">
        <v>50</v>
      </c>
      <c r="E144" s="18" t="s">
        <v>50</v>
      </c>
      <c r="F144" s="18">
        <v>-4.5</v>
      </c>
      <c r="G144" s="18">
        <v>1.78</v>
      </c>
      <c r="H144" s="18">
        <v>7.0000000000000001E-3</v>
      </c>
      <c r="I144" s="18">
        <v>-14.05</v>
      </c>
      <c r="J144" s="18">
        <v>-2.5680000000000001</v>
      </c>
      <c r="K144" s="18">
        <v>1.2E-2</v>
      </c>
      <c r="L144" s="18" t="s">
        <v>199</v>
      </c>
      <c r="M144" s="18">
        <v>4</v>
      </c>
      <c r="N144" s="18">
        <v>720</v>
      </c>
      <c r="O144" s="18">
        <v>90</v>
      </c>
      <c r="P144" s="18">
        <v>1</v>
      </c>
      <c r="Q144" s="18" t="s">
        <v>96</v>
      </c>
      <c r="R144" s="18" t="s">
        <v>208</v>
      </c>
      <c r="S144" s="18" t="s">
        <v>209</v>
      </c>
      <c r="T144" s="18" t="s">
        <v>210</v>
      </c>
      <c r="AL144">
        <v>3</v>
      </c>
      <c r="AM144">
        <v>866</v>
      </c>
      <c r="AN144">
        <v>4317</v>
      </c>
      <c r="AO144">
        <v>3896</v>
      </c>
      <c r="AP144">
        <v>3626</v>
      </c>
      <c r="AQ144">
        <f t="shared" si="10"/>
        <v>270</v>
      </c>
      <c r="AR144">
        <f t="shared" si="9"/>
        <v>36</v>
      </c>
    </row>
    <row r="145" spans="1:48" x14ac:dyDescent="0.25">
      <c r="A145" s="18">
        <v>30</v>
      </c>
      <c r="B145" s="18" t="s">
        <v>211</v>
      </c>
      <c r="C145" s="18" t="s">
        <v>50</v>
      </c>
      <c r="E145" s="18" t="s">
        <v>50</v>
      </c>
      <c r="F145" s="18">
        <v>-4.5</v>
      </c>
      <c r="G145" s="18">
        <v>1.903</v>
      </c>
      <c r="H145" s="18">
        <v>8.0000000000000002E-3</v>
      </c>
      <c r="I145" s="18">
        <v>-14.05</v>
      </c>
      <c r="J145" s="18">
        <v>-2.1389999999999998</v>
      </c>
      <c r="K145" s="18">
        <v>3.2000000000000001E-2</v>
      </c>
      <c r="L145" s="18" t="s">
        <v>199</v>
      </c>
      <c r="M145" s="18">
        <v>4</v>
      </c>
      <c r="N145" s="18">
        <v>720</v>
      </c>
      <c r="O145" s="18">
        <v>90</v>
      </c>
      <c r="P145" s="18">
        <v>1</v>
      </c>
      <c r="Q145" s="18" t="s">
        <v>96</v>
      </c>
      <c r="R145" s="18" t="s">
        <v>212</v>
      </c>
      <c r="S145" s="18" t="s">
        <v>213</v>
      </c>
      <c r="T145" s="18" t="s">
        <v>214</v>
      </c>
      <c r="AL145">
        <v>3</v>
      </c>
      <c r="AM145">
        <v>834</v>
      </c>
      <c r="AN145">
        <v>3916</v>
      </c>
      <c r="AO145">
        <v>3538</v>
      </c>
      <c r="AP145">
        <v>3293</v>
      </c>
      <c r="AQ145">
        <f t="shared" si="10"/>
        <v>245</v>
      </c>
      <c r="AR145">
        <f t="shared" si="9"/>
        <v>36</v>
      </c>
    </row>
    <row r="146" spans="1:48" x14ac:dyDescent="0.25">
      <c r="A146" s="18">
        <v>31</v>
      </c>
      <c r="B146" s="18" t="s">
        <v>194</v>
      </c>
      <c r="C146" s="18" t="s">
        <v>50</v>
      </c>
      <c r="E146" s="18" t="s">
        <v>50</v>
      </c>
      <c r="F146" s="18">
        <v>-4.5</v>
      </c>
      <c r="G146" s="18">
        <v>1.8069999999999999</v>
      </c>
      <c r="H146" s="18">
        <v>8.9999999999999993E-3</v>
      </c>
      <c r="I146" s="18">
        <v>-14.05</v>
      </c>
      <c r="J146" s="18">
        <v>-2.68</v>
      </c>
      <c r="K146" s="18">
        <v>1.2999999999999999E-2</v>
      </c>
      <c r="L146" s="18" t="s">
        <v>178</v>
      </c>
      <c r="M146" s="18">
        <v>4</v>
      </c>
      <c r="N146" s="18">
        <v>600</v>
      </c>
      <c r="O146" s="18">
        <v>90</v>
      </c>
      <c r="P146" s="18">
        <v>1</v>
      </c>
      <c r="Q146" s="18" t="s">
        <v>96</v>
      </c>
      <c r="R146" s="18" t="s">
        <v>195</v>
      </c>
      <c r="S146" s="18" t="s">
        <v>196</v>
      </c>
      <c r="T146" s="18" t="s">
        <v>197</v>
      </c>
      <c r="AL146">
        <v>3</v>
      </c>
      <c r="AM146">
        <v>791</v>
      </c>
      <c r="AN146">
        <v>3332</v>
      </c>
      <c r="AO146">
        <v>2998</v>
      </c>
      <c r="AP146">
        <v>2789</v>
      </c>
      <c r="AQ146">
        <f t="shared" si="10"/>
        <v>209</v>
      </c>
      <c r="AR146">
        <f t="shared" si="9"/>
        <v>36</v>
      </c>
    </row>
    <row r="147" spans="1:48" x14ac:dyDescent="0.25">
      <c r="AV147" s="35"/>
    </row>
    <row r="148" spans="1:48" x14ac:dyDescent="0.25">
      <c r="A148" s="48" t="s">
        <v>811</v>
      </c>
      <c r="B148" s="56"/>
      <c r="C148" s="31"/>
      <c r="AV148" s="35"/>
    </row>
    <row r="149" spans="1:48" x14ac:dyDescent="0.25">
      <c r="A149" s="22" t="s">
        <v>742</v>
      </c>
    </row>
    <row r="150" spans="1:48" x14ac:dyDescent="0.25">
      <c r="A150" t="s">
        <v>24</v>
      </c>
      <c r="B150" t="s">
        <v>25</v>
      </c>
      <c r="C150" t="s">
        <v>26</v>
      </c>
      <c r="D150" t="s">
        <v>36</v>
      </c>
      <c r="E150" t="s">
        <v>743</v>
      </c>
      <c r="F150" t="s">
        <v>29</v>
      </c>
      <c r="G150" t="s">
        <v>30</v>
      </c>
      <c r="H150" t="s">
        <v>744</v>
      </c>
      <c r="I150" t="s">
        <v>32</v>
      </c>
      <c r="J150" t="s">
        <v>33</v>
      </c>
      <c r="K150" t="s">
        <v>745</v>
      </c>
      <c r="L150" t="s">
        <v>35</v>
      </c>
      <c r="M150" t="s">
        <v>39</v>
      </c>
      <c r="N150" t="s">
        <v>40</v>
      </c>
      <c r="O150" t="s">
        <v>41</v>
      </c>
      <c r="P150" t="s">
        <v>42</v>
      </c>
      <c r="Q150" t="s">
        <v>43</v>
      </c>
      <c r="AN150" t="s">
        <v>746</v>
      </c>
      <c r="AO150" t="s">
        <v>747</v>
      </c>
      <c r="AP150" t="s">
        <v>45</v>
      </c>
      <c r="AQ150" t="s">
        <v>46</v>
      </c>
      <c r="AR150" t="s">
        <v>47</v>
      </c>
      <c r="AS150" t="s">
        <v>748</v>
      </c>
      <c r="AT150" t="s">
        <v>749</v>
      </c>
      <c r="AU150" t="s">
        <v>36</v>
      </c>
    </row>
    <row r="151" spans="1:48" x14ac:dyDescent="0.25">
      <c r="A151">
        <v>1</v>
      </c>
      <c r="B151" t="s">
        <v>49</v>
      </c>
      <c r="C151" t="s">
        <v>750</v>
      </c>
      <c r="D151">
        <v>3</v>
      </c>
      <c r="E151" t="s">
        <v>750</v>
      </c>
      <c r="F151">
        <v>-4.3460000000000001</v>
      </c>
      <c r="G151">
        <v>1.9039999999999999</v>
      </c>
      <c r="H151">
        <v>2.7E-2</v>
      </c>
      <c r="I151">
        <v>-13.739000000000001</v>
      </c>
      <c r="J151">
        <v>-1.8440000000000001</v>
      </c>
      <c r="K151">
        <v>8.3000000000000004E-2</v>
      </c>
      <c r="L151" t="s">
        <v>751</v>
      </c>
      <c r="M151">
        <v>1</v>
      </c>
      <c r="N151" s="7">
        <v>42243</v>
      </c>
      <c r="O151" s="8">
        <v>1462.6783912037038</v>
      </c>
      <c r="P151" t="s">
        <v>752</v>
      </c>
      <c r="Q151" t="s">
        <v>753</v>
      </c>
      <c r="AN151">
        <v>607</v>
      </c>
      <c r="AO151">
        <v>607</v>
      </c>
      <c r="AP151">
        <v>2123</v>
      </c>
      <c r="AQ151">
        <v>1828</v>
      </c>
      <c r="AR151">
        <v>1699</v>
      </c>
      <c r="AS151">
        <v>129</v>
      </c>
      <c r="AT151" s="54">
        <f>2*8</f>
        <v>16</v>
      </c>
      <c r="AU151">
        <v>3</v>
      </c>
    </row>
    <row r="152" spans="1:48" x14ac:dyDescent="0.25">
      <c r="A152">
        <v>2</v>
      </c>
      <c r="B152" t="s">
        <v>56</v>
      </c>
      <c r="C152" t="s">
        <v>750</v>
      </c>
      <c r="D152">
        <v>3</v>
      </c>
      <c r="E152" t="s">
        <v>750</v>
      </c>
      <c r="F152">
        <v>-4.3460000000000001</v>
      </c>
      <c r="G152">
        <v>1.853</v>
      </c>
      <c r="H152">
        <v>1.2E-2</v>
      </c>
      <c r="I152">
        <v>-13.739000000000001</v>
      </c>
      <c r="J152">
        <v>-2.2429999999999999</v>
      </c>
      <c r="K152">
        <v>3.5000000000000003E-2</v>
      </c>
      <c r="L152" t="s">
        <v>751</v>
      </c>
      <c r="M152">
        <v>1</v>
      </c>
      <c r="N152" s="7">
        <v>42243</v>
      </c>
      <c r="O152" s="8" t="s">
        <v>754</v>
      </c>
      <c r="P152" t="s">
        <v>755</v>
      </c>
      <c r="Q152" t="s">
        <v>756</v>
      </c>
      <c r="AN152">
        <v>551</v>
      </c>
      <c r="AO152">
        <v>551</v>
      </c>
      <c r="AP152">
        <v>1687</v>
      </c>
      <c r="AQ152">
        <v>1484</v>
      </c>
      <c r="AR152">
        <v>1381</v>
      </c>
      <c r="AS152">
        <v>103</v>
      </c>
      <c r="AT152" s="54">
        <f t="shared" ref="AT152:AT155" si="11">2*8</f>
        <v>16</v>
      </c>
      <c r="AU152">
        <v>3</v>
      </c>
    </row>
    <row r="153" spans="1:48" x14ac:dyDescent="0.25">
      <c r="A153">
        <v>3</v>
      </c>
      <c r="B153" t="s">
        <v>60</v>
      </c>
      <c r="C153" t="s">
        <v>750</v>
      </c>
      <c r="D153">
        <v>3</v>
      </c>
      <c r="E153" t="s">
        <v>750</v>
      </c>
      <c r="F153">
        <v>-4.3460000000000001</v>
      </c>
      <c r="G153">
        <v>1.968</v>
      </c>
      <c r="H153">
        <v>1.2999999999999999E-2</v>
      </c>
      <c r="I153">
        <v>-13.739000000000001</v>
      </c>
      <c r="J153">
        <v>-2.0859999999999999</v>
      </c>
      <c r="K153">
        <v>5.2999999999999999E-2</v>
      </c>
      <c r="L153" t="s">
        <v>751</v>
      </c>
      <c r="M153">
        <v>1</v>
      </c>
      <c r="N153" s="7">
        <v>42243</v>
      </c>
      <c r="O153" s="8">
        <v>1462.7228009259259</v>
      </c>
      <c r="P153" t="s">
        <v>757</v>
      </c>
      <c r="Q153" t="s">
        <v>758</v>
      </c>
      <c r="AN153">
        <v>476</v>
      </c>
      <c r="AO153">
        <v>476</v>
      </c>
      <c r="AP153">
        <v>1283</v>
      </c>
      <c r="AQ153">
        <v>1147</v>
      </c>
      <c r="AR153">
        <v>1069</v>
      </c>
      <c r="AS153">
        <v>78</v>
      </c>
      <c r="AT153" s="54">
        <f t="shared" si="11"/>
        <v>16</v>
      </c>
      <c r="AU153">
        <v>3</v>
      </c>
    </row>
    <row r="154" spans="1:48" x14ac:dyDescent="0.25">
      <c r="A154">
        <v>4</v>
      </c>
      <c r="B154" t="s">
        <v>64</v>
      </c>
      <c r="C154" t="s">
        <v>750</v>
      </c>
      <c r="D154">
        <v>3</v>
      </c>
      <c r="E154" t="s">
        <v>750</v>
      </c>
      <c r="F154">
        <v>-4.3460000000000001</v>
      </c>
      <c r="G154">
        <v>1.9019999999999999</v>
      </c>
      <c r="H154">
        <v>2.9000000000000001E-2</v>
      </c>
      <c r="I154">
        <v>-13.739000000000001</v>
      </c>
      <c r="J154">
        <v>-2.3580000000000001</v>
      </c>
      <c r="K154">
        <v>3.3000000000000002E-2</v>
      </c>
      <c r="L154" t="s">
        <v>751</v>
      </c>
      <c r="M154">
        <v>1</v>
      </c>
      <c r="N154" s="7">
        <v>42243</v>
      </c>
      <c r="O154" s="8">
        <v>1462.7448726851851</v>
      </c>
      <c r="P154" t="s">
        <v>759</v>
      </c>
      <c r="Q154" t="s">
        <v>760</v>
      </c>
      <c r="AN154">
        <v>536</v>
      </c>
      <c r="AO154">
        <v>536</v>
      </c>
      <c r="AP154">
        <v>1588</v>
      </c>
      <c r="AQ154">
        <v>1410</v>
      </c>
      <c r="AR154">
        <v>1313</v>
      </c>
      <c r="AS154">
        <v>97</v>
      </c>
      <c r="AT154" s="54">
        <f t="shared" si="11"/>
        <v>16</v>
      </c>
      <c r="AU154">
        <v>3</v>
      </c>
    </row>
    <row r="155" spans="1:48" x14ac:dyDescent="0.25">
      <c r="A155">
        <v>5</v>
      </c>
      <c r="B155" t="s">
        <v>110</v>
      </c>
      <c r="C155" t="s">
        <v>750</v>
      </c>
      <c r="D155">
        <v>3</v>
      </c>
      <c r="E155" t="s">
        <v>750</v>
      </c>
      <c r="F155">
        <v>-4.3460000000000001</v>
      </c>
      <c r="G155">
        <v>1.9610000000000001</v>
      </c>
      <c r="H155">
        <v>1.4E-2</v>
      </c>
      <c r="I155">
        <v>-13.739000000000001</v>
      </c>
      <c r="J155">
        <v>-2.2559999999999998</v>
      </c>
      <c r="K155">
        <v>3.5000000000000003E-2</v>
      </c>
      <c r="L155" t="s">
        <v>751</v>
      </c>
      <c r="M155">
        <v>1</v>
      </c>
      <c r="N155" s="7">
        <v>42243</v>
      </c>
      <c r="O155" s="8">
        <v>1462.7685532407406</v>
      </c>
      <c r="P155" t="s">
        <v>761</v>
      </c>
      <c r="Q155" t="s">
        <v>762</v>
      </c>
      <c r="AN155">
        <v>575</v>
      </c>
      <c r="AO155">
        <v>575</v>
      </c>
      <c r="AP155">
        <v>1755</v>
      </c>
      <c r="AQ155">
        <v>1525</v>
      </c>
      <c r="AR155">
        <v>1444</v>
      </c>
      <c r="AS155">
        <v>81</v>
      </c>
      <c r="AT155" s="54">
        <f t="shared" si="11"/>
        <v>16</v>
      </c>
      <c r="AU155">
        <v>3</v>
      </c>
    </row>
    <row r="156" spans="1:48" x14ac:dyDescent="0.25">
      <c r="A156">
        <v>6</v>
      </c>
      <c r="B156" t="s">
        <v>114</v>
      </c>
      <c r="C156" t="s">
        <v>763</v>
      </c>
      <c r="D156">
        <v>3</v>
      </c>
      <c r="E156" t="s">
        <v>763</v>
      </c>
      <c r="F156">
        <v>-4.3460000000000001</v>
      </c>
      <c r="G156">
        <v>1.97</v>
      </c>
      <c r="H156">
        <v>6.0000000000000001E-3</v>
      </c>
      <c r="I156">
        <v>-13.739000000000001</v>
      </c>
      <c r="J156">
        <v>-2.278</v>
      </c>
      <c r="K156">
        <v>2.9000000000000001E-2</v>
      </c>
      <c r="L156" t="s">
        <v>751</v>
      </c>
      <c r="M156">
        <v>1</v>
      </c>
      <c r="N156" s="7">
        <v>42243</v>
      </c>
      <c r="O156" s="8">
        <v>1462.7922106481481</v>
      </c>
      <c r="P156" t="s">
        <v>764</v>
      </c>
      <c r="Q156" t="s">
        <v>765</v>
      </c>
      <c r="AN156">
        <v>625</v>
      </c>
      <c r="AO156">
        <v>625</v>
      </c>
      <c r="AP156">
        <v>2192</v>
      </c>
      <c r="AQ156">
        <v>2004</v>
      </c>
      <c r="AR156">
        <v>1868</v>
      </c>
      <c r="AS156">
        <v>136</v>
      </c>
      <c r="AT156" s="54">
        <f>2*10</f>
        <v>20</v>
      </c>
      <c r="AU156">
        <v>3</v>
      </c>
    </row>
    <row r="157" spans="1:48" x14ac:dyDescent="0.25">
      <c r="A157">
        <v>7</v>
      </c>
      <c r="B157" t="s">
        <v>68</v>
      </c>
      <c r="C157" t="s">
        <v>763</v>
      </c>
      <c r="D157">
        <v>3</v>
      </c>
      <c r="E157" t="s">
        <v>763</v>
      </c>
      <c r="F157">
        <v>-4.3460000000000001</v>
      </c>
      <c r="G157">
        <v>1.6160000000000001</v>
      </c>
      <c r="H157">
        <v>1.0999999999999999E-2</v>
      </c>
      <c r="I157">
        <v>-13.739000000000001</v>
      </c>
      <c r="J157">
        <v>-2.6850000000000001</v>
      </c>
      <c r="K157">
        <v>2.1000000000000001E-2</v>
      </c>
      <c r="L157" t="s">
        <v>751</v>
      </c>
      <c r="M157">
        <v>1</v>
      </c>
      <c r="N157" s="7">
        <v>42243</v>
      </c>
      <c r="O157" s="8">
        <v>1462.8150115740741</v>
      </c>
      <c r="P157" t="s">
        <v>766</v>
      </c>
      <c r="Q157" t="s">
        <v>767</v>
      </c>
      <c r="AN157">
        <v>650</v>
      </c>
      <c r="AO157">
        <v>650</v>
      </c>
      <c r="AP157">
        <v>2259</v>
      </c>
      <c r="AQ157">
        <v>2063</v>
      </c>
      <c r="AR157">
        <v>1920</v>
      </c>
      <c r="AS157">
        <v>143</v>
      </c>
      <c r="AT157" s="54">
        <f t="shared" ref="AT157:AT160" si="12">2*10</f>
        <v>20</v>
      </c>
      <c r="AU157">
        <v>3</v>
      </c>
    </row>
    <row r="158" spans="1:48" x14ac:dyDescent="0.25">
      <c r="A158">
        <v>8</v>
      </c>
      <c r="B158" t="s">
        <v>74</v>
      </c>
      <c r="C158" t="s">
        <v>763</v>
      </c>
      <c r="D158">
        <v>3</v>
      </c>
      <c r="E158" t="s">
        <v>763</v>
      </c>
      <c r="F158">
        <v>-4.3460000000000001</v>
      </c>
      <c r="G158">
        <v>1.915</v>
      </c>
      <c r="H158">
        <v>6.0000000000000001E-3</v>
      </c>
      <c r="I158">
        <v>-13.739000000000001</v>
      </c>
      <c r="J158">
        <v>-2.2919999999999998</v>
      </c>
      <c r="K158">
        <v>1.7000000000000001E-2</v>
      </c>
      <c r="L158" t="s">
        <v>751</v>
      </c>
      <c r="M158">
        <v>1</v>
      </c>
      <c r="N158" s="7">
        <v>42243</v>
      </c>
      <c r="O158" s="8">
        <v>1462.8384953703703</v>
      </c>
      <c r="P158" t="s">
        <v>768</v>
      </c>
      <c r="Q158" t="s">
        <v>769</v>
      </c>
      <c r="AN158">
        <v>639</v>
      </c>
      <c r="AO158">
        <v>639</v>
      </c>
      <c r="AP158">
        <v>2137</v>
      </c>
      <c r="AQ158">
        <v>1951</v>
      </c>
      <c r="AR158">
        <v>1817</v>
      </c>
      <c r="AS158">
        <v>134</v>
      </c>
      <c r="AT158" s="54">
        <f t="shared" si="12"/>
        <v>20</v>
      </c>
      <c r="AU158">
        <v>3</v>
      </c>
    </row>
    <row r="159" spans="1:48" x14ac:dyDescent="0.25">
      <c r="A159">
        <v>9</v>
      </c>
      <c r="B159" t="s">
        <v>78</v>
      </c>
      <c r="C159" t="s">
        <v>763</v>
      </c>
      <c r="D159">
        <v>3</v>
      </c>
      <c r="E159" t="s">
        <v>763</v>
      </c>
      <c r="F159">
        <v>-4.3460000000000001</v>
      </c>
      <c r="G159">
        <v>2.0339999999999998</v>
      </c>
      <c r="H159">
        <v>2.5999999999999999E-2</v>
      </c>
      <c r="I159">
        <v>-13.739000000000001</v>
      </c>
      <c r="J159">
        <v>-2.4329999999999998</v>
      </c>
      <c r="K159">
        <v>4.3999999999999997E-2</v>
      </c>
      <c r="L159" t="s">
        <v>751</v>
      </c>
      <c r="M159">
        <v>1</v>
      </c>
      <c r="N159" s="7">
        <v>42243</v>
      </c>
      <c r="O159" s="8">
        <v>1462.8620601851851</v>
      </c>
      <c r="P159" t="s">
        <v>770</v>
      </c>
      <c r="Q159" t="s">
        <v>771</v>
      </c>
      <c r="AN159">
        <v>572</v>
      </c>
      <c r="AO159">
        <v>572</v>
      </c>
      <c r="AP159">
        <v>1756</v>
      </c>
      <c r="AQ159">
        <v>1525</v>
      </c>
      <c r="AR159">
        <v>1440</v>
      </c>
      <c r="AS159">
        <v>85</v>
      </c>
      <c r="AT159" s="54">
        <f t="shared" si="12"/>
        <v>20</v>
      </c>
      <c r="AU159">
        <v>3</v>
      </c>
    </row>
    <row r="160" spans="1:48" x14ac:dyDescent="0.25">
      <c r="A160">
        <v>10</v>
      </c>
      <c r="B160" t="s">
        <v>82</v>
      </c>
      <c r="C160" t="s">
        <v>763</v>
      </c>
      <c r="D160">
        <v>3</v>
      </c>
      <c r="E160" t="s">
        <v>763</v>
      </c>
      <c r="F160">
        <v>-4.3460000000000001</v>
      </c>
      <c r="G160">
        <v>1.968</v>
      </c>
      <c r="H160">
        <v>1.6E-2</v>
      </c>
      <c r="I160">
        <v>-13.739000000000001</v>
      </c>
      <c r="J160">
        <v>-2.2810000000000001</v>
      </c>
      <c r="K160">
        <v>5.5E-2</v>
      </c>
      <c r="L160" t="s">
        <v>751</v>
      </c>
      <c r="M160">
        <v>1</v>
      </c>
      <c r="N160" s="7">
        <v>42243</v>
      </c>
      <c r="O160" s="8">
        <v>1462.8849074074074</v>
      </c>
      <c r="P160" t="s">
        <v>772</v>
      </c>
      <c r="Q160" t="s">
        <v>773</v>
      </c>
      <c r="AN160">
        <v>632</v>
      </c>
      <c r="AO160">
        <v>632</v>
      </c>
      <c r="AP160">
        <v>2078</v>
      </c>
      <c r="AQ160">
        <v>1908</v>
      </c>
      <c r="AR160">
        <v>1777</v>
      </c>
      <c r="AS160">
        <v>131</v>
      </c>
      <c r="AT160" s="54">
        <f t="shared" si="12"/>
        <v>20</v>
      </c>
      <c r="AU160">
        <v>3</v>
      </c>
    </row>
    <row r="161" spans="1:47" x14ac:dyDescent="0.25">
      <c r="A161">
        <v>11</v>
      </c>
      <c r="B161" t="s">
        <v>118</v>
      </c>
      <c r="C161" t="s">
        <v>499</v>
      </c>
      <c r="D161">
        <v>2</v>
      </c>
      <c r="E161" t="s">
        <v>499</v>
      </c>
      <c r="F161">
        <v>-4.3460000000000001</v>
      </c>
      <c r="G161">
        <v>1.992</v>
      </c>
      <c r="H161">
        <v>0.01</v>
      </c>
      <c r="I161">
        <v>-13.739000000000001</v>
      </c>
      <c r="J161">
        <v>-2.2029999999999998</v>
      </c>
      <c r="K161">
        <v>5.2999999999999999E-2</v>
      </c>
      <c r="L161" t="s">
        <v>774</v>
      </c>
      <c r="M161">
        <v>1</v>
      </c>
      <c r="N161" s="7">
        <v>42243</v>
      </c>
      <c r="O161" s="8">
        <v>1462.9094328703704</v>
      </c>
      <c r="P161" t="s">
        <v>775</v>
      </c>
      <c r="Q161" t="s">
        <v>776</v>
      </c>
      <c r="AN161">
        <v>512</v>
      </c>
      <c r="AO161">
        <v>512</v>
      </c>
      <c r="AP161">
        <v>1443</v>
      </c>
      <c r="AQ161">
        <v>1269</v>
      </c>
      <c r="AR161">
        <v>1182</v>
      </c>
      <c r="AS161">
        <v>87</v>
      </c>
      <c r="AT161" s="54">
        <f>2*9</f>
        <v>18</v>
      </c>
      <c r="AU161">
        <v>2</v>
      </c>
    </row>
    <row r="162" spans="1:47" x14ac:dyDescent="0.25">
      <c r="A162">
        <v>12</v>
      </c>
      <c r="B162" t="s">
        <v>124</v>
      </c>
      <c r="C162" t="s">
        <v>499</v>
      </c>
      <c r="D162">
        <v>2</v>
      </c>
      <c r="E162" t="s">
        <v>499</v>
      </c>
      <c r="F162">
        <v>-4.3460000000000001</v>
      </c>
      <c r="G162">
        <v>1.694</v>
      </c>
      <c r="H162">
        <v>1.2E-2</v>
      </c>
      <c r="I162">
        <v>-13.739000000000001</v>
      </c>
      <c r="J162">
        <v>-2.6989999999999998</v>
      </c>
      <c r="K162">
        <v>2.8000000000000001E-2</v>
      </c>
      <c r="L162" t="s">
        <v>774</v>
      </c>
      <c r="M162">
        <v>1</v>
      </c>
      <c r="N162" s="7">
        <v>42243</v>
      </c>
      <c r="O162" s="8">
        <v>1462.9314236111111</v>
      </c>
      <c r="P162" t="s">
        <v>777</v>
      </c>
      <c r="Q162" t="s">
        <v>778</v>
      </c>
      <c r="AN162">
        <v>618</v>
      </c>
      <c r="AO162">
        <v>618</v>
      </c>
      <c r="AP162">
        <v>2059</v>
      </c>
      <c r="AQ162">
        <v>1799</v>
      </c>
      <c r="AR162">
        <v>1672</v>
      </c>
      <c r="AS162">
        <v>127</v>
      </c>
      <c r="AT162" s="54">
        <f t="shared" ref="AT162:AT165" si="13">2*9</f>
        <v>18</v>
      </c>
      <c r="AU162">
        <v>2</v>
      </c>
    </row>
    <row r="163" spans="1:47" x14ac:dyDescent="0.25">
      <c r="A163">
        <v>13</v>
      </c>
      <c r="B163" t="s">
        <v>128</v>
      </c>
      <c r="C163" t="s">
        <v>499</v>
      </c>
      <c r="D163">
        <v>2</v>
      </c>
      <c r="E163" t="s">
        <v>499</v>
      </c>
      <c r="F163">
        <v>-4.3460000000000001</v>
      </c>
      <c r="G163">
        <v>1.948</v>
      </c>
      <c r="H163">
        <v>1.6E-2</v>
      </c>
      <c r="I163">
        <v>-13.739000000000001</v>
      </c>
      <c r="J163">
        <v>-2.411</v>
      </c>
      <c r="K163">
        <v>1.7999999999999999E-2</v>
      </c>
      <c r="L163" t="s">
        <v>774</v>
      </c>
      <c r="M163">
        <v>1</v>
      </c>
      <c r="N163" s="7">
        <v>42243</v>
      </c>
      <c r="O163" s="8" t="s">
        <v>779</v>
      </c>
      <c r="P163" t="s">
        <v>780</v>
      </c>
      <c r="Q163" t="s">
        <v>781</v>
      </c>
      <c r="AN163">
        <v>572</v>
      </c>
      <c r="AO163">
        <v>572</v>
      </c>
      <c r="AP163">
        <v>1751</v>
      </c>
      <c r="AQ163">
        <v>1605</v>
      </c>
      <c r="AR163">
        <v>1505</v>
      </c>
      <c r="AS163">
        <v>100</v>
      </c>
      <c r="AT163" s="54">
        <f t="shared" si="13"/>
        <v>18</v>
      </c>
      <c r="AU163">
        <v>2</v>
      </c>
    </row>
    <row r="164" spans="1:47" x14ac:dyDescent="0.25">
      <c r="A164">
        <v>14</v>
      </c>
      <c r="B164" t="s">
        <v>132</v>
      </c>
      <c r="C164" t="s">
        <v>499</v>
      </c>
      <c r="D164">
        <v>2</v>
      </c>
      <c r="E164" t="s">
        <v>499</v>
      </c>
      <c r="F164">
        <v>-4.3460000000000001</v>
      </c>
      <c r="G164">
        <v>1.9810000000000001</v>
      </c>
      <c r="H164">
        <v>1.9E-2</v>
      </c>
      <c r="I164">
        <v>-13.739000000000001</v>
      </c>
      <c r="J164">
        <v>-2.2389999999999999</v>
      </c>
      <c r="K164">
        <v>1.2E-2</v>
      </c>
      <c r="L164" t="s">
        <v>774</v>
      </c>
      <c r="M164">
        <v>1</v>
      </c>
      <c r="N164" s="7">
        <v>42243</v>
      </c>
      <c r="O164" s="8">
        <v>1462.9769212962963</v>
      </c>
      <c r="P164" t="s">
        <v>782</v>
      </c>
      <c r="Q164" t="s">
        <v>783</v>
      </c>
      <c r="AN164">
        <v>600</v>
      </c>
      <c r="AO164">
        <v>600</v>
      </c>
      <c r="AP164">
        <v>2008</v>
      </c>
      <c r="AQ164">
        <v>1830</v>
      </c>
      <c r="AR164">
        <v>1706</v>
      </c>
      <c r="AS164">
        <v>124</v>
      </c>
      <c r="AT164" s="54">
        <f t="shared" si="13"/>
        <v>18</v>
      </c>
      <c r="AU164">
        <v>2</v>
      </c>
    </row>
    <row r="165" spans="1:47" x14ac:dyDescent="0.25">
      <c r="A165">
        <v>15</v>
      </c>
      <c r="B165" t="s">
        <v>143</v>
      </c>
      <c r="C165" t="s">
        <v>499</v>
      </c>
      <c r="D165">
        <v>2</v>
      </c>
      <c r="E165" t="s">
        <v>499</v>
      </c>
      <c r="F165">
        <v>-4.3460000000000001</v>
      </c>
      <c r="G165">
        <v>1.867</v>
      </c>
      <c r="H165">
        <v>1.4999999999999999E-2</v>
      </c>
      <c r="I165">
        <v>-13.739000000000001</v>
      </c>
      <c r="J165">
        <v>-2.472</v>
      </c>
      <c r="K165">
        <v>5.8000000000000003E-2</v>
      </c>
      <c r="L165" t="s">
        <v>774</v>
      </c>
      <c r="M165">
        <v>1</v>
      </c>
      <c r="N165" s="7">
        <v>42243</v>
      </c>
      <c r="O165" s="8">
        <v>1462.9980092592593</v>
      </c>
      <c r="P165" t="s">
        <v>784</v>
      </c>
      <c r="Q165" t="s">
        <v>785</v>
      </c>
      <c r="AN165">
        <v>547</v>
      </c>
      <c r="AO165">
        <v>547</v>
      </c>
      <c r="AP165">
        <v>1621</v>
      </c>
      <c r="AQ165">
        <v>1485</v>
      </c>
      <c r="AR165">
        <v>1388</v>
      </c>
      <c r="AS165">
        <v>97</v>
      </c>
      <c r="AT165" s="54">
        <f t="shared" si="13"/>
        <v>18</v>
      </c>
      <c r="AU165">
        <v>2</v>
      </c>
    </row>
    <row r="166" spans="1:47" x14ac:dyDescent="0.25">
      <c r="A166">
        <v>17</v>
      </c>
      <c r="B166" t="s">
        <v>152</v>
      </c>
      <c r="C166" t="s">
        <v>500</v>
      </c>
      <c r="D166">
        <v>2</v>
      </c>
      <c r="E166" t="s">
        <v>500</v>
      </c>
      <c r="F166">
        <v>-4.3460000000000001</v>
      </c>
      <c r="G166">
        <v>1.8320000000000001</v>
      </c>
      <c r="H166">
        <v>2.1999999999999999E-2</v>
      </c>
      <c r="I166">
        <v>-13.739000000000001</v>
      </c>
      <c r="J166">
        <v>-2.5139999999999998</v>
      </c>
      <c r="K166">
        <v>2.5000000000000001E-2</v>
      </c>
      <c r="L166" t="s">
        <v>786</v>
      </c>
      <c r="M166">
        <v>1</v>
      </c>
      <c r="N166" s="7">
        <v>42244</v>
      </c>
      <c r="O166" s="8">
        <v>1462.3546296296297</v>
      </c>
      <c r="P166" t="s">
        <v>787</v>
      </c>
      <c r="Q166" t="s">
        <v>788</v>
      </c>
      <c r="AN166">
        <v>653</v>
      </c>
      <c r="AO166">
        <v>653</v>
      </c>
      <c r="AP166">
        <v>3984</v>
      </c>
      <c r="AQ166">
        <v>3565</v>
      </c>
      <c r="AR166">
        <v>3318</v>
      </c>
      <c r="AS166">
        <v>247</v>
      </c>
      <c r="AT166" s="54">
        <f>3*9</f>
        <v>27</v>
      </c>
      <c r="AU166">
        <v>2</v>
      </c>
    </row>
    <row r="167" spans="1:47" x14ac:dyDescent="0.25">
      <c r="A167">
        <v>18</v>
      </c>
      <c r="B167" t="s">
        <v>156</v>
      </c>
      <c r="C167" t="s">
        <v>500</v>
      </c>
      <c r="D167">
        <v>2</v>
      </c>
      <c r="E167" t="s">
        <v>500</v>
      </c>
      <c r="F167">
        <v>-4.3460000000000001</v>
      </c>
      <c r="G167">
        <v>1.6539999999999999</v>
      </c>
      <c r="H167">
        <v>2.5999999999999999E-2</v>
      </c>
      <c r="I167">
        <v>-13.739000000000001</v>
      </c>
      <c r="J167">
        <v>-2.6150000000000002</v>
      </c>
      <c r="K167">
        <v>1.7000000000000001E-2</v>
      </c>
      <c r="L167" t="s">
        <v>786</v>
      </c>
      <c r="M167">
        <v>1</v>
      </c>
      <c r="N167" s="7">
        <v>42244</v>
      </c>
      <c r="O167" s="8">
        <v>1462.378136574074</v>
      </c>
      <c r="P167" t="s">
        <v>789</v>
      </c>
      <c r="Q167" t="s">
        <v>790</v>
      </c>
      <c r="AN167">
        <v>721</v>
      </c>
      <c r="AO167">
        <v>721</v>
      </c>
      <c r="AP167">
        <v>2630</v>
      </c>
      <c r="AQ167">
        <v>2388</v>
      </c>
      <c r="AR167">
        <v>2223</v>
      </c>
      <c r="AS167">
        <v>165</v>
      </c>
      <c r="AT167" s="54">
        <f t="shared" ref="AT167:AT168" si="14">3*9</f>
        <v>27</v>
      </c>
      <c r="AU167">
        <v>2</v>
      </c>
    </row>
    <row r="168" spans="1:47" ht="15.75" x14ac:dyDescent="0.25">
      <c r="A168">
        <v>19</v>
      </c>
      <c r="B168" t="s">
        <v>160</v>
      </c>
      <c r="C168" t="s">
        <v>500</v>
      </c>
      <c r="D168">
        <v>2</v>
      </c>
      <c r="E168" t="s">
        <v>500</v>
      </c>
      <c r="F168">
        <v>-4.3460000000000001</v>
      </c>
      <c r="G168">
        <v>0.68700000000000006</v>
      </c>
      <c r="H168">
        <v>4.7E-2</v>
      </c>
      <c r="I168">
        <v>-13.739000000000001</v>
      </c>
      <c r="J168">
        <v>-5.3209999999999997</v>
      </c>
      <c r="K168">
        <v>6.4000000000000001E-2</v>
      </c>
      <c r="L168" t="s">
        <v>786</v>
      </c>
      <c r="M168">
        <v>1</v>
      </c>
      <c r="N168" s="7">
        <v>42244</v>
      </c>
      <c r="O168" s="8">
        <v>1462.4030671296296</v>
      </c>
      <c r="P168" t="s">
        <v>791</v>
      </c>
      <c r="Q168" t="s">
        <v>792</v>
      </c>
      <c r="AN168">
        <v>738</v>
      </c>
      <c r="AO168">
        <v>738</v>
      </c>
      <c r="AP168" s="55">
        <v>801</v>
      </c>
      <c r="AQ168">
        <v>665</v>
      </c>
      <c r="AR168">
        <v>667</v>
      </c>
      <c r="AS168">
        <v>-2</v>
      </c>
      <c r="AT168" s="54">
        <f t="shared" si="14"/>
        <v>27</v>
      </c>
      <c r="AU168">
        <v>2</v>
      </c>
    </row>
    <row r="169" spans="1:47" x14ac:dyDescent="0.25">
      <c r="A169">
        <v>24</v>
      </c>
      <c r="B169" t="s">
        <v>182</v>
      </c>
      <c r="C169" t="s">
        <v>500</v>
      </c>
      <c r="D169">
        <v>4</v>
      </c>
      <c r="E169" t="s">
        <v>500</v>
      </c>
      <c r="F169">
        <v>-4.3460000000000001</v>
      </c>
      <c r="G169">
        <v>1.9119999999999999</v>
      </c>
      <c r="H169">
        <v>1.4999999999999999E-2</v>
      </c>
      <c r="I169">
        <v>-13.739000000000001</v>
      </c>
      <c r="J169">
        <v>-2.109</v>
      </c>
      <c r="K169">
        <v>2.4E-2</v>
      </c>
      <c r="L169" t="s">
        <v>178</v>
      </c>
      <c r="M169">
        <v>1</v>
      </c>
      <c r="N169" s="7">
        <v>42244</v>
      </c>
      <c r="O169" s="8">
        <v>1462.6634837962963</v>
      </c>
      <c r="P169" t="s">
        <v>793</v>
      </c>
      <c r="Q169" t="s">
        <v>794</v>
      </c>
      <c r="AN169">
        <v>830</v>
      </c>
      <c r="AO169">
        <v>830</v>
      </c>
      <c r="AP169">
        <v>4301</v>
      </c>
      <c r="AQ169">
        <v>3817</v>
      </c>
      <c r="AR169">
        <v>3546</v>
      </c>
      <c r="AS169">
        <v>271</v>
      </c>
      <c r="AT169" s="54">
        <f>3*9</f>
        <v>27</v>
      </c>
      <c r="AU169">
        <v>4</v>
      </c>
    </row>
    <row r="170" spans="1:47" x14ac:dyDescent="0.25">
      <c r="A170">
        <v>25</v>
      </c>
      <c r="B170" t="s">
        <v>186</v>
      </c>
      <c r="C170" t="s">
        <v>500</v>
      </c>
      <c r="D170">
        <v>4</v>
      </c>
      <c r="E170" t="s">
        <v>500</v>
      </c>
      <c r="F170">
        <v>-4.3460000000000001</v>
      </c>
      <c r="G170">
        <v>1.9219999999999999</v>
      </c>
      <c r="H170">
        <v>1.4E-2</v>
      </c>
      <c r="I170">
        <v>-13.739000000000001</v>
      </c>
      <c r="J170">
        <v>-2.274</v>
      </c>
      <c r="K170">
        <v>1.6E-2</v>
      </c>
      <c r="L170" t="s">
        <v>178</v>
      </c>
      <c r="M170">
        <v>1</v>
      </c>
      <c r="N170" s="7">
        <v>42244</v>
      </c>
      <c r="O170" s="8">
        <v>1462.6879050925927</v>
      </c>
      <c r="P170" t="s">
        <v>795</v>
      </c>
      <c r="Q170" t="s">
        <v>796</v>
      </c>
      <c r="AN170">
        <v>728</v>
      </c>
      <c r="AO170">
        <v>728</v>
      </c>
      <c r="AP170">
        <v>2986</v>
      </c>
      <c r="AQ170">
        <v>2625</v>
      </c>
      <c r="AR170">
        <v>2439</v>
      </c>
      <c r="AS170">
        <v>186</v>
      </c>
      <c r="AT170" s="54">
        <f>3*9</f>
        <v>27</v>
      </c>
      <c r="AU170">
        <v>4</v>
      </c>
    </row>
    <row r="171" spans="1:47" x14ac:dyDescent="0.25">
      <c r="A171">
        <v>29</v>
      </c>
      <c r="B171" t="s">
        <v>207</v>
      </c>
      <c r="C171" t="s">
        <v>50</v>
      </c>
      <c r="D171">
        <v>2</v>
      </c>
      <c r="E171" t="s">
        <v>50</v>
      </c>
      <c r="F171">
        <v>-4.3460000000000001</v>
      </c>
      <c r="G171">
        <v>1.7549999999999999</v>
      </c>
      <c r="H171">
        <v>7.0000000000000001E-3</v>
      </c>
      <c r="I171">
        <v>-13.739000000000001</v>
      </c>
      <c r="J171">
        <v>-2.2730000000000001</v>
      </c>
      <c r="K171">
        <v>3.2000000000000001E-2</v>
      </c>
      <c r="L171" t="s">
        <v>786</v>
      </c>
      <c r="M171">
        <v>1</v>
      </c>
      <c r="N171" s="7">
        <v>42247</v>
      </c>
      <c r="O171" s="8">
        <v>1462.4504745370371</v>
      </c>
      <c r="P171" t="s">
        <v>797</v>
      </c>
      <c r="Q171" t="s">
        <v>798</v>
      </c>
      <c r="AN171">
        <v>837</v>
      </c>
      <c r="AO171">
        <v>837</v>
      </c>
      <c r="AP171">
        <v>4140</v>
      </c>
      <c r="AQ171">
        <v>3725</v>
      </c>
      <c r="AR171">
        <v>3464</v>
      </c>
      <c r="AS171">
        <v>261</v>
      </c>
      <c r="AT171" s="54">
        <f t="shared" ref="AT171:AT177" si="15">4*9</f>
        <v>36</v>
      </c>
      <c r="AU171">
        <v>2</v>
      </c>
    </row>
    <row r="172" spans="1:47" x14ac:dyDescent="0.25">
      <c r="A172">
        <v>30</v>
      </c>
      <c r="B172" t="s">
        <v>211</v>
      </c>
      <c r="C172" t="s">
        <v>50</v>
      </c>
      <c r="D172">
        <v>2</v>
      </c>
      <c r="E172" t="s">
        <v>50</v>
      </c>
      <c r="F172">
        <v>-4.3460000000000001</v>
      </c>
      <c r="G172">
        <v>1.905</v>
      </c>
      <c r="H172">
        <v>1.4999999999999999E-2</v>
      </c>
      <c r="I172">
        <v>-13.739000000000001</v>
      </c>
      <c r="J172">
        <v>-2.21</v>
      </c>
      <c r="K172">
        <v>8.9999999999999993E-3</v>
      </c>
      <c r="L172" t="s">
        <v>786</v>
      </c>
      <c r="M172">
        <v>1</v>
      </c>
      <c r="N172" s="7">
        <v>42247</v>
      </c>
      <c r="O172" s="8">
        <v>1462.4947569444444</v>
      </c>
      <c r="P172" t="s">
        <v>799</v>
      </c>
      <c r="Q172" t="s">
        <v>800</v>
      </c>
      <c r="AN172">
        <v>894</v>
      </c>
      <c r="AO172">
        <v>894</v>
      </c>
      <c r="AP172">
        <v>5234</v>
      </c>
      <c r="AQ172">
        <v>4683</v>
      </c>
      <c r="AR172">
        <v>4351</v>
      </c>
      <c r="AS172">
        <v>332</v>
      </c>
      <c r="AT172" s="54">
        <f t="shared" si="15"/>
        <v>36</v>
      </c>
      <c r="AU172">
        <v>2</v>
      </c>
    </row>
    <row r="173" spans="1:47" x14ac:dyDescent="0.25">
      <c r="A173">
        <v>31</v>
      </c>
      <c r="B173" t="s">
        <v>194</v>
      </c>
      <c r="C173" t="s">
        <v>50</v>
      </c>
      <c r="D173">
        <v>4</v>
      </c>
      <c r="E173" t="s">
        <v>50</v>
      </c>
      <c r="F173">
        <v>-4.3460000000000001</v>
      </c>
      <c r="G173">
        <v>1.7170000000000001</v>
      </c>
      <c r="H173">
        <v>6.0000000000000001E-3</v>
      </c>
      <c r="I173">
        <v>-13.739000000000001</v>
      </c>
      <c r="J173">
        <v>-2.4329999999999998</v>
      </c>
      <c r="K173">
        <v>1.4E-2</v>
      </c>
      <c r="L173" t="s">
        <v>178</v>
      </c>
      <c r="M173">
        <v>1</v>
      </c>
      <c r="N173" s="7">
        <v>42247</v>
      </c>
      <c r="O173" s="8">
        <v>1462.5194560185184</v>
      </c>
      <c r="P173" t="s">
        <v>801</v>
      </c>
      <c r="Q173" t="s">
        <v>802</v>
      </c>
      <c r="AN173">
        <v>852</v>
      </c>
      <c r="AO173">
        <v>852</v>
      </c>
      <c r="AP173">
        <v>4201</v>
      </c>
      <c r="AQ173">
        <v>3770</v>
      </c>
      <c r="AR173">
        <v>3506</v>
      </c>
      <c r="AS173">
        <v>264</v>
      </c>
      <c r="AT173" s="54">
        <f t="shared" si="15"/>
        <v>36</v>
      </c>
      <c r="AU173">
        <v>4</v>
      </c>
    </row>
    <row r="174" spans="1:47" x14ac:dyDescent="0.25">
      <c r="A174">
        <v>32</v>
      </c>
      <c r="B174" t="s">
        <v>696</v>
      </c>
      <c r="C174" t="s">
        <v>50</v>
      </c>
      <c r="D174">
        <v>4</v>
      </c>
      <c r="E174" t="s">
        <v>50</v>
      </c>
      <c r="F174">
        <v>-4.3460000000000001</v>
      </c>
      <c r="G174">
        <v>1.776</v>
      </c>
      <c r="H174">
        <v>5.0000000000000001E-3</v>
      </c>
      <c r="I174">
        <v>-13.739000000000001</v>
      </c>
      <c r="J174">
        <v>-2.3410000000000002</v>
      </c>
      <c r="K174">
        <v>0.02</v>
      </c>
      <c r="L174" t="s">
        <v>178</v>
      </c>
      <c r="M174">
        <v>1</v>
      </c>
      <c r="N174" s="7">
        <v>42247</v>
      </c>
      <c r="O174" s="8">
        <v>1462.5729166666667</v>
      </c>
      <c r="P174" t="s">
        <v>803</v>
      </c>
      <c r="Q174" t="s">
        <v>804</v>
      </c>
      <c r="AN174">
        <v>852</v>
      </c>
      <c r="AO174">
        <v>852</v>
      </c>
      <c r="AP174">
        <v>4970</v>
      </c>
      <c r="AQ174">
        <v>4424</v>
      </c>
      <c r="AR174">
        <v>4111</v>
      </c>
      <c r="AS174">
        <v>313</v>
      </c>
      <c r="AT174" s="54">
        <f t="shared" si="15"/>
        <v>36</v>
      </c>
      <c r="AU174">
        <v>4</v>
      </c>
    </row>
    <row r="175" spans="1:47" x14ac:dyDescent="0.25">
      <c r="A175">
        <v>33</v>
      </c>
      <c r="B175" t="s">
        <v>700</v>
      </c>
      <c r="C175" t="s">
        <v>50</v>
      </c>
      <c r="D175">
        <v>4</v>
      </c>
      <c r="E175" t="s">
        <v>50</v>
      </c>
      <c r="F175">
        <v>-4.3460000000000001</v>
      </c>
      <c r="G175">
        <v>1.5349999999999999</v>
      </c>
      <c r="H175">
        <v>7.0000000000000001E-3</v>
      </c>
      <c r="I175">
        <v>-13.739000000000001</v>
      </c>
      <c r="J175">
        <v>-2.4620000000000002</v>
      </c>
      <c r="K175">
        <v>1.9E-2</v>
      </c>
      <c r="L175" t="s">
        <v>178</v>
      </c>
      <c r="M175">
        <v>1</v>
      </c>
      <c r="N175" s="7">
        <v>42247</v>
      </c>
      <c r="O175" s="8">
        <v>1462.5992013888888</v>
      </c>
      <c r="P175" t="s">
        <v>805</v>
      </c>
      <c r="Q175" t="s">
        <v>806</v>
      </c>
      <c r="AN175">
        <v>809</v>
      </c>
      <c r="AO175">
        <v>809</v>
      </c>
      <c r="AP175">
        <v>3837</v>
      </c>
      <c r="AQ175">
        <v>3464</v>
      </c>
      <c r="AR175">
        <v>3221</v>
      </c>
      <c r="AS175">
        <v>243</v>
      </c>
      <c r="AT175" s="54">
        <f t="shared" si="15"/>
        <v>36</v>
      </c>
      <c r="AU175">
        <v>4</v>
      </c>
    </row>
    <row r="176" spans="1:47" x14ac:dyDescent="0.25">
      <c r="A176">
        <v>34</v>
      </c>
      <c r="B176" t="s">
        <v>704</v>
      </c>
      <c r="C176" t="s">
        <v>50</v>
      </c>
      <c r="D176">
        <v>4</v>
      </c>
      <c r="E176" t="s">
        <v>50</v>
      </c>
      <c r="F176">
        <v>-4.3460000000000001</v>
      </c>
      <c r="G176">
        <v>1.843</v>
      </c>
      <c r="H176">
        <v>1.4E-2</v>
      </c>
      <c r="I176">
        <v>-13.739000000000001</v>
      </c>
      <c r="J176">
        <v>-2.2789999999999999</v>
      </c>
      <c r="K176">
        <v>1.2999999999999999E-2</v>
      </c>
      <c r="L176" t="s">
        <v>178</v>
      </c>
      <c r="M176">
        <v>1</v>
      </c>
      <c r="N176" s="7">
        <v>42247</v>
      </c>
      <c r="O176" s="8">
        <v>1462.6431712962963</v>
      </c>
      <c r="P176" t="s">
        <v>807</v>
      </c>
      <c r="Q176" t="s">
        <v>808</v>
      </c>
      <c r="AN176">
        <v>873</v>
      </c>
      <c r="AO176">
        <v>873</v>
      </c>
      <c r="AP176">
        <v>4991</v>
      </c>
      <c r="AQ176">
        <v>4411</v>
      </c>
      <c r="AR176">
        <v>4098</v>
      </c>
      <c r="AS176">
        <v>313</v>
      </c>
      <c r="AT176" s="54">
        <f t="shared" si="15"/>
        <v>36</v>
      </c>
      <c r="AU176">
        <v>4</v>
      </c>
    </row>
    <row r="177" spans="1:47" x14ac:dyDescent="0.25">
      <c r="A177">
        <v>35</v>
      </c>
      <c r="B177" t="s">
        <v>708</v>
      </c>
      <c r="C177" t="s">
        <v>50</v>
      </c>
      <c r="D177">
        <v>4</v>
      </c>
      <c r="E177" t="s">
        <v>50</v>
      </c>
      <c r="F177">
        <v>-4.3460000000000001</v>
      </c>
      <c r="G177">
        <v>1.62</v>
      </c>
      <c r="H177">
        <v>8.0000000000000002E-3</v>
      </c>
      <c r="I177">
        <v>-13.739000000000001</v>
      </c>
      <c r="J177">
        <v>-2.2309999999999999</v>
      </c>
      <c r="K177">
        <v>1.7000000000000001E-2</v>
      </c>
      <c r="L177" t="s">
        <v>178</v>
      </c>
      <c r="M177">
        <v>1</v>
      </c>
      <c r="N177" s="7">
        <v>42247</v>
      </c>
      <c r="O177" s="8">
        <v>1462.6685763888888</v>
      </c>
      <c r="P177" t="s">
        <v>809</v>
      </c>
      <c r="Q177" t="s">
        <v>810</v>
      </c>
      <c r="AN177">
        <v>915</v>
      </c>
      <c r="AO177">
        <v>915</v>
      </c>
      <c r="AP177">
        <v>5697</v>
      </c>
      <c r="AQ177">
        <v>5067</v>
      </c>
      <c r="AR177">
        <v>4705</v>
      </c>
      <c r="AS177">
        <v>362</v>
      </c>
      <c r="AT177" s="54">
        <f t="shared" si="15"/>
        <v>36</v>
      </c>
      <c r="AU177">
        <v>4</v>
      </c>
    </row>
  </sheetData>
  <pageMargins left="0.75" right="0.75" top="1" bottom="1" header="0.5" footer="0.5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I44"/>
  <sheetViews>
    <sheetView topLeftCell="A12" workbookViewId="0">
      <selection activeCell="I32" sqref="I32"/>
    </sheetView>
  </sheetViews>
  <sheetFormatPr defaultColWidth="8.85546875" defaultRowHeight="15" x14ac:dyDescent="0.25"/>
  <sheetData>
    <row r="1" spans="1:61" x14ac:dyDescent="0.25">
      <c r="A1" t="s">
        <v>23</v>
      </c>
      <c r="D1" t="s">
        <v>217</v>
      </c>
    </row>
    <row r="3" spans="1:61" x14ac:dyDescent="0.25">
      <c r="A3" s="18" t="s">
        <v>24</v>
      </c>
      <c r="B3" s="18" t="s">
        <v>25</v>
      </c>
      <c r="C3" s="18" t="s">
        <v>26</v>
      </c>
      <c r="D3" s="18" t="s">
        <v>27</v>
      </c>
      <c r="E3" s="18" t="s">
        <v>28</v>
      </c>
      <c r="F3" s="18" t="s">
        <v>29</v>
      </c>
      <c r="G3" s="18" t="s">
        <v>30</v>
      </c>
      <c r="H3" s="18" t="s">
        <v>31</v>
      </c>
      <c r="I3" s="18" t="s">
        <v>32</v>
      </c>
      <c r="J3" s="18" t="s">
        <v>33</v>
      </c>
      <c r="K3" s="18" t="s">
        <v>34</v>
      </c>
      <c r="L3" s="18" t="s">
        <v>35</v>
      </c>
      <c r="M3" s="18" t="s">
        <v>36</v>
      </c>
      <c r="N3" s="18" t="s">
        <v>37</v>
      </c>
      <c r="O3" s="18" t="s">
        <v>38</v>
      </c>
      <c r="P3" s="18" t="s">
        <v>39</v>
      </c>
      <c r="Q3" s="18" t="s">
        <v>40</v>
      </c>
      <c r="R3" s="18" t="s">
        <v>41</v>
      </c>
      <c r="S3" s="18" t="s">
        <v>42</v>
      </c>
      <c r="T3" s="18" t="s">
        <v>43</v>
      </c>
      <c r="AQ3" t="s">
        <v>44</v>
      </c>
      <c r="AR3" t="s">
        <v>45</v>
      </c>
      <c r="AS3" t="s">
        <v>46</v>
      </c>
      <c r="AT3" t="s">
        <v>47</v>
      </c>
      <c r="AU3" t="s">
        <v>48</v>
      </c>
    </row>
    <row r="4" spans="1:61" x14ac:dyDescent="0.25">
      <c r="A4" s="18">
        <v>1</v>
      </c>
      <c r="B4" s="18" t="s">
        <v>49</v>
      </c>
      <c r="C4" s="18" t="s">
        <v>50</v>
      </c>
      <c r="E4" s="18" t="s">
        <v>50</v>
      </c>
      <c r="F4" s="18">
        <v>-4.5</v>
      </c>
      <c r="G4" s="18">
        <v>1.85</v>
      </c>
      <c r="H4" s="18">
        <v>8.0000000000000002E-3</v>
      </c>
      <c r="I4" s="18">
        <v>-14.05</v>
      </c>
      <c r="J4" s="18">
        <v>-2.3639999999999999</v>
      </c>
      <c r="K4" s="18">
        <v>1.7000000000000001E-2</v>
      </c>
      <c r="L4" s="18" t="s">
        <v>51</v>
      </c>
      <c r="M4" s="18">
        <v>3</v>
      </c>
      <c r="N4" s="18">
        <v>480</v>
      </c>
      <c r="O4" s="18">
        <v>90</v>
      </c>
      <c r="P4" s="18">
        <v>1</v>
      </c>
      <c r="Q4" s="18" t="s">
        <v>52</v>
      </c>
      <c r="R4" s="18" t="s">
        <v>53</v>
      </c>
      <c r="S4" s="18" t="s">
        <v>54</v>
      </c>
      <c r="T4" s="18" t="s">
        <v>55</v>
      </c>
      <c r="AQ4">
        <v>735</v>
      </c>
      <c r="AR4">
        <v>3708</v>
      </c>
      <c r="AS4">
        <v>3266</v>
      </c>
      <c r="AT4">
        <v>3036</v>
      </c>
      <c r="AU4">
        <f t="shared" ref="AU4:AU41" si="0">AS4-AT4</f>
        <v>230</v>
      </c>
      <c r="AW4" s="19"/>
    </row>
    <row r="5" spans="1:61" x14ac:dyDescent="0.25">
      <c r="A5" s="18">
        <v>2</v>
      </c>
      <c r="B5" s="18" t="s">
        <v>56</v>
      </c>
      <c r="C5" s="18" t="s">
        <v>50</v>
      </c>
      <c r="E5" s="18" t="s">
        <v>50</v>
      </c>
      <c r="F5" s="18">
        <v>-4.5</v>
      </c>
      <c r="G5" s="18">
        <v>1.7829999999999999</v>
      </c>
      <c r="H5" s="18">
        <v>1.2999999999999999E-2</v>
      </c>
      <c r="I5" s="18">
        <v>-14.05</v>
      </c>
      <c r="J5" s="18">
        <v>-2.496</v>
      </c>
      <c r="K5" s="18">
        <v>1.6E-2</v>
      </c>
      <c r="L5" s="18" t="s">
        <v>51</v>
      </c>
      <c r="M5" s="18">
        <v>3</v>
      </c>
      <c r="N5" s="18">
        <v>480</v>
      </c>
      <c r="O5" s="18">
        <v>90</v>
      </c>
      <c r="P5" s="18">
        <v>1</v>
      </c>
      <c r="Q5" s="18" t="s">
        <v>52</v>
      </c>
      <c r="R5" s="18" t="s">
        <v>57</v>
      </c>
      <c r="S5" s="18" t="s">
        <v>58</v>
      </c>
      <c r="T5" s="18" t="s">
        <v>59</v>
      </c>
      <c r="AQ5">
        <v>763</v>
      </c>
      <c r="AR5">
        <v>4166</v>
      </c>
      <c r="AS5">
        <v>3739</v>
      </c>
      <c r="AT5">
        <v>3477</v>
      </c>
      <c r="AU5">
        <f t="shared" si="0"/>
        <v>262</v>
      </c>
    </row>
    <row r="6" spans="1:61" x14ac:dyDescent="0.25">
      <c r="A6" s="18">
        <v>3</v>
      </c>
      <c r="B6" s="18" t="s">
        <v>60</v>
      </c>
      <c r="C6" s="18" t="s">
        <v>50</v>
      </c>
      <c r="E6" s="18" t="s">
        <v>50</v>
      </c>
      <c r="F6" s="18">
        <v>-4.5</v>
      </c>
      <c r="G6" s="18">
        <v>1.8260000000000001</v>
      </c>
      <c r="H6" s="18">
        <v>1.2E-2</v>
      </c>
      <c r="I6" s="18">
        <v>-14.05</v>
      </c>
      <c r="J6" s="18">
        <v>-2.4609999999999999</v>
      </c>
      <c r="K6" s="18">
        <v>2.5999999999999999E-2</v>
      </c>
      <c r="L6" s="18" t="s">
        <v>51</v>
      </c>
      <c r="M6" s="18">
        <v>3</v>
      </c>
      <c r="N6" s="18">
        <v>480</v>
      </c>
      <c r="O6" s="18">
        <v>90</v>
      </c>
      <c r="P6" s="18">
        <v>1</v>
      </c>
      <c r="Q6" s="18" t="s">
        <v>52</v>
      </c>
      <c r="R6" s="18" t="s">
        <v>61</v>
      </c>
      <c r="S6" s="18" t="s">
        <v>62</v>
      </c>
      <c r="T6" s="18" t="s">
        <v>63</v>
      </c>
      <c r="AQ6">
        <v>728</v>
      </c>
      <c r="AR6">
        <v>3358</v>
      </c>
      <c r="AS6">
        <v>3013</v>
      </c>
      <c r="AT6">
        <v>2802</v>
      </c>
      <c r="AU6">
        <f t="shared" si="0"/>
        <v>211</v>
      </c>
      <c r="AW6" s="19"/>
    </row>
    <row r="7" spans="1:61" x14ac:dyDescent="0.25">
      <c r="A7" s="18">
        <v>4</v>
      </c>
      <c r="B7" s="18" t="s">
        <v>64</v>
      </c>
      <c r="C7" s="18" t="s">
        <v>50</v>
      </c>
      <c r="E7" s="18" t="s">
        <v>50</v>
      </c>
      <c r="F7" s="18">
        <v>-4.5</v>
      </c>
      <c r="G7" s="18">
        <v>1.819</v>
      </c>
      <c r="H7" s="18">
        <v>7.0000000000000001E-3</v>
      </c>
      <c r="I7" s="18">
        <v>-14.05</v>
      </c>
      <c r="J7" s="18">
        <v>-2.5529999999999999</v>
      </c>
      <c r="K7" s="18">
        <v>0.01</v>
      </c>
      <c r="L7" s="18" t="s">
        <v>51</v>
      </c>
      <c r="M7" s="18">
        <v>3</v>
      </c>
      <c r="N7" s="18">
        <v>480</v>
      </c>
      <c r="O7" s="18">
        <v>90</v>
      </c>
      <c r="P7" s="18">
        <v>1</v>
      </c>
      <c r="Q7" s="18" t="s">
        <v>52</v>
      </c>
      <c r="R7" s="18" t="s">
        <v>65</v>
      </c>
      <c r="S7" s="18" t="s">
        <v>66</v>
      </c>
      <c r="T7" s="18" t="s">
        <v>67</v>
      </c>
      <c r="AQ7">
        <v>784</v>
      </c>
      <c r="AR7">
        <v>4364</v>
      </c>
      <c r="AS7">
        <v>3899</v>
      </c>
      <c r="AT7">
        <v>3624</v>
      </c>
      <c r="AU7">
        <f t="shared" si="0"/>
        <v>275</v>
      </c>
    </row>
    <row r="8" spans="1:61" x14ac:dyDescent="0.25">
      <c r="A8" s="18">
        <v>7</v>
      </c>
      <c r="B8" s="18" t="s">
        <v>68</v>
      </c>
      <c r="C8" s="18" t="s">
        <v>50</v>
      </c>
      <c r="E8" s="18" t="s">
        <v>50</v>
      </c>
      <c r="F8" s="18">
        <v>-4.5</v>
      </c>
      <c r="G8" s="18">
        <v>1.782</v>
      </c>
      <c r="H8" s="18">
        <v>8.9999999999999993E-3</v>
      </c>
      <c r="I8" s="18">
        <v>-14.05</v>
      </c>
      <c r="J8" s="18">
        <v>-2.6469999999999998</v>
      </c>
      <c r="K8" s="18">
        <v>1.2999999999999999E-2</v>
      </c>
      <c r="L8" s="18" t="s">
        <v>69</v>
      </c>
      <c r="M8" s="18">
        <v>3</v>
      </c>
      <c r="N8" s="18">
        <v>480</v>
      </c>
      <c r="O8" s="18">
        <v>135</v>
      </c>
      <c r="P8" s="18">
        <v>1</v>
      </c>
      <c r="Q8" s="18" t="s">
        <v>70</v>
      </c>
      <c r="R8" s="18" t="s">
        <v>71</v>
      </c>
      <c r="S8" s="18" t="s">
        <v>72</v>
      </c>
      <c r="T8" s="18" t="s">
        <v>73</v>
      </c>
      <c r="AQ8">
        <v>884</v>
      </c>
      <c r="AR8">
        <v>4647</v>
      </c>
      <c r="AS8">
        <v>4160</v>
      </c>
      <c r="AT8">
        <v>3867</v>
      </c>
      <c r="AU8">
        <f t="shared" si="0"/>
        <v>293</v>
      </c>
    </row>
    <row r="9" spans="1:61" x14ac:dyDescent="0.25">
      <c r="A9" s="18">
        <v>8</v>
      </c>
      <c r="B9" s="18" t="s">
        <v>74</v>
      </c>
      <c r="C9" s="18" t="s">
        <v>50</v>
      </c>
      <c r="E9" s="18" t="s">
        <v>50</v>
      </c>
      <c r="F9" s="18">
        <v>-4.5</v>
      </c>
      <c r="G9" s="18">
        <v>1.863</v>
      </c>
      <c r="H9" s="18">
        <v>1.6E-2</v>
      </c>
      <c r="I9" s="18">
        <v>-14.05</v>
      </c>
      <c r="J9" s="18">
        <v>-2.67</v>
      </c>
      <c r="K9" s="18">
        <v>1.4999999999999999E-2</v>
      </c>
      <c r="L9" s="18" t="s">
        <v>69</v>
      </c>
      <c r="M9" s="18">
        <v>3</v>
      </c>
      <c r="N9" s="18">
        <v>480</v>
      </c>
      <c r="O9" s="18">
        <v>135</v>
      </c>
      <c r="P9" s="18">
        <v>1</v>
      </c>
      <c r="Q9" s="18" t="s">
        <v>70</v>
      </c>
      <c r="R9" s="18" t="s">
        <v>75</v>
      </c>
      <c r="S9" s="18" t="s">
        <v>76</v>
      </c>
      <c r="T9" s="18" t="s">
        <v>77</v>
      </c>
      <c r="AQ9">
        <v>809</v>
      </c>
      <c r="AR9">
        <v>3561</v>
      </c>
      <c r="AS9">
        <v>3144</v>
      </c>
      <c r="AT9">
        <v>2921</v>
      </c>
      <c r="AU9">
        <f t="shared" si="0"/>
        <v>223</v>
      </c>
    </row>
    <row r="10" spans="1:61" x14ac:dyDescent="0.25">
      <c r="A10" s="18">
        <v>9</v>
      </c>
      <c r="B10" s="18" t="s">
        <v>78</v>
      </c>
      <c r="C10" s="18" t="s">
        <v>50</v>
      </c>
      <c r="E10" s="18" t="s">
        <v>50</v>
      </c>
      <c r="F10" s="18">
        <v>-4.5</v>
      </c>
      <c r="G10" s="18">
        <v>1.754</v>
      </c>
      <c r="H10" s="18">
        <v>8.0000000000000002E-3</v>
      </c>
      <c r="I10" s="18">
        <v>-14.05</v>
      </c>
      <c r="J10" s="18">
        <v>-2.577</v>
      </c>
      <c r="K10" s="18">
        <v>5.0000000000000001E-3</v>
      </c>
      <c r="L10" s="18" t="s">
        <v>69</v>
      </c>
      <c r="M10" s="18">
        <v>3</v>
      </c>
      <c r="N10" s="18">
        <v>480</v>
      </c>
      <c r="O10" s="18">
        <v>135</v>
      </c>
      <c r="P10" s="18">
        <v>1</v>
      </c>
      <c r="Q10" s="18" t="s">
        <v>70</v>
      </c>
      <c r="R10" s="18" t="s">
        <v>79</v>
      </c>
      <c r="S10" s="18" t="s">
        <v>80</v>
      </c>
      <c r="T10" s="18" t="s">
        <v>81</v>
      </c>
      <c r="AQ10">
        <v>852</v>
      </c>
      <c r="AR10">
        <v>3770</v>
      </c>
      <c r="AS10">
        <v>3333</v>
      </c>
      <c r="AT10">
        <v>3101</v>
      </c>
      <c r="AU10">
        <f t="shared" si="0"/>
        <v>232</v>
      </c>
    </row>
    <row r="11" spans="1:61" x14ac:dyDescent="0.25">
      <c r="A11" s="18">
        <v>10</v>
      </c>
      <c r="B11" s="18" t="s">
        <v>82</v>
      </c>
      <c r="C11" s="18" t="s">
        <v>50</v>
      </c>
      <c r="E11" s="18" t="s">
        <v>50</v>
      </c>
      <c r="F11" s="18">
        <v>-4.5</v>
      </c>
      <c r="G11" s="18">
        <v>1.837</v>
      </c>
      <c r="H11" s="18">
        <v>7.0000000000000001E-3</v>
      </c>
      <c r="I11" s="18">
        <v>-14.05</v>
      </c>
      <c r="J11" s="18">
        <v>-2.5190000000000001</v>
      </c>
      <c r="K11" s="18">
        <v>1.6E-2</v>
      </c>
      <c r="L11" s="18" t="s">
        <v>69</v>
      </c>
      <c r="M11" s="18">
        <v>3</v>
      </c>
      <c r="N11" s="18">
        <v>480</v>
      </c>
      <c r="O11" s="18">
        <v>135</v>
      </c>
      <c r="P11" s="18">
        <v>1</v>
      </c>
      <c r="Q11" s="18" t="s">
        <v>70</v>
      </c>
      <c r="R11" s="18" t="s">
        <v>83</v>
      </c>
      <c r="S11" s="18" t="s">
        <v>84</v>
      </c>
      <c r="T11" s="18" t="s">
        <v>85</v>
      </c>
      <c r="AQ11">
        <v>876</v>
      </c>
      <c r="AR11">
        <v>4508</v>
      </c>
      <c r="AS11">
        <v>4045</v>
      </c>
      <c r="AT11">
        <v>3760</v>
      </c>
      <c r="AU11">
        <f t="shared" si="0"/>
        <v>285</v>
      </c>
    </row>
    <row r="12" spans="1:61" x14ac:dyDescent="0.25">
      <c r="A12" s="18">
        <v>1</v>
      </c>
      <c r="B12" s="18" t="s">
        <v>49</v>
      </c>
      <c r="C12" s="18" t="s">
        <v>50</v>
      </c>
      <c r="E12" s="18" t="s">
        <v>50</v>
      </c>
      <c r="F12" s="18">
        <v>-4.5</v>
      </c>
      <c r="G12" s="18">
        <v>1.8149999999999999</v>
      </c>
      <c r="H12" s="18">
        <v>7.0000000000000001E-3</v>
      </c>
      <c r="I12" s="18">
        <v>-14.05</v>
      </c>
      <c r="J12" s="18">
        <v>-2.38</v>
      </c>
      <c r="K12" s="18">
        <v>1.9E-2</v>
      </c>
      <c r="L12" s="18" t="s">
        <v>86</v>
      </c>
      <c r="M12" s="18">
        <v>3</v>
      </c>
      <c r="N12" s="18">
        <v>600</v>
      </c>
      <c r="O12" s="18">
        <v>90</v>
      </c>
      <c r="P12" s="18">
        <v>1</v>
      </c>
      <c r="Q12" s="18" t="s">
        <v>70</v>
      </c>
      <c r="R12" s="18" t="s">
        <v>87</v>
      </c>
      <c r="S12" s="18" t="s">
        <v>88</v>
      </c>
      <c r="T12" s="18" t="s">
        <v>89</v>
      </c>
      <c r="AQ12">
        <v>912</v>
      </c>
      <c r="AR12">
        <v>5145</v>
      </c>
      <c r="AS12">
        <v>4589</v>
      </c>
      <c r="AT12">
        <v>4266</v>
      </c>
      <c r="AU12">
        <f t="shared" si="0"/>
        <v>323</v>
      </c>
      <c r="AW12" s="20"/>
      <c r="AX12" s="20"/>
      <c r="AY12" s="20"/>
      <c r="AZ12" s="20"/>
      <c r="BA12" s="20"/>
      <c r="BB12" s="20"/>
      <c r="BC12" s="20"/>
      <c r="BD12" s="20"/>
      <c r="BE12" s="20"/>
      <c r="BF12" s="20"/>
      <c r="BG12" s="20"/>
      <c r="BH12" s="20"/>
      <c r="BI12" s="20"/>
    </row>
    <row r="13" spans="1:61" x14ac:dyDescent="0.25">
      <c r="A13" s="18">
        <v>2</v>
      </c>
      <c r="B13" s="18" t="s">
        <v>56</v>
      </c>
      <c r="C13" s="18" t="s">
        <v>50</v>
      </c>
      <c r="E13" s="18" t="s">
        <v>50</v>
      </c>
      <c r="F13" s="18">
        <v>-4.5</v>
      </c>
      <c r="G13" s="18">
        <v>1.774</v>
      </c>
      <c r="H13" s="18">
        <v>7.0000000000000001E-3</v>
      </c>
      <c r="I13" s="18">
        <v>-14.05</v>
      </c>
      <c r="J13" s="18">
        <v>-2.5569999999999999</v>
      </c>
      <c r="K13" s="18">
        <v>2.3E-2</v>
      </c>
      <c r="L13" s="18" t="s">
        <v>86</v>
      </c>
      <c r="M13" s="18">
        <v>3</v>
      </c>
      <c r="N13" s="18">
        <v>600</v>
      </c>
      <c r="O13" s="18">
        <v>90</v>
      </c>
      <c r="P13" s="18">
        <v>1</v>
      </c>
      <c r="Q13" s="18" t="s">
        <v>70</v>
      </c>
      <c r="R13" s="18" t="s">
        <v>90</v>
      </c>
      <c r="S13" s="18" t="s">
        <v>91</v>
      </c>
      <c r="T13" s="18" t="s">
        <v>92</v>
      </c>
      <c r="AQ13">
        <v>894</v>
      </c>
      <c r="AR13">
        <v>5033</v>
      </c>
      <c r="AS13">
        <v>4492</v>
      </c>
      <c r="AT13">
        <v>4174</v>
      </c>
      <c r="AU13">
        <f t="shared" si="0"/>
        <v>318</v>
      </c>
    </row>
    <row r="14" spans="1:61" x14ac:dyDescent="0.25">
      <c r="A14" s="21">
        <v>32</v>
      </c>
      <c r="B14" s="21" t="s">
        <v>93</v>
      </c>
      <c r="C14" s="21" t="s">
        <v>94</v>
      </c>
      <c r="D14" s="20"/>
      <c r="E14" s="21" t="s">
        <v>94</v>
      </c>
      <c r="F14" s="21">
        <v>-4.5</v>
      </c>
      <c r="G14" s="21">
        <v>-4.7759999999999998</v>
      </c>
      <c r="H14" s="21">
        <v>0.84699999999999998</v>
      </c>
      <c r="I14" s="21">
        <v>-14.05</v>
      </c>
      <c r="J14" s="21">
        <v>-14.725</v>
      </c>
      <c r="K14" s="21">
        <v>0.55300000000000005</v>
      </c>
      <c r="L14" s="21" t="s">
        <v>95</v>
      </c>
      <c r="M14" s="21">
        <v>3</v>
      </c>
      <c r="N14" s="21">
        <v>600</v>
      </c>
      <c r="O14" s="21">
        <v>90</v>
      </c>
      <c r="P14" s="21">
        <v>1</v>
      </c>
      <c r="Q14" s="21" t="s">
        <v>96</v>
      </c>
      <c r="R14" s="21" t="s">
        <v>97</v>
      </c>
      <c r="S14" s="21" t="s">
        <v>98</v>
      </c>
      <c r="T14" s="21" t="s">
        <v>99</v>
      </c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>
        <v>37</v>
      </c>
      <c r="AR14" s="20">
        <v>5</v>
      </c>
      <c r="AS14" s="20">
        <v>8</v>
      </c>
      <c r="AT14" s="20">
        <v>874</v>
      </c>
      <c r="AU14" s="20">
        <f t="shared" si="0"/>
        <v>-866</v>
      </c>
      <c r="AV14" s="20"/>
    </row>
    <row r="15" spans="1:61" x14ac:dyDescent="0.25">
      <c r="A15" s="18">
        <v>1</v>
      </c>
      <c r="B15" s="18" t="s">
        <v>49</v>
      </c>
      <c r="C15" s="18" t="s">
        <v>100</v>
      </c>
      <c r="E15" s="18" t="s">
        <v>101</v>
      </c>
      <c r="F15" s="18">
        <v>-4.5</v>
      </c>
      <c r="G15" s="18">
        <v>1.69</v>
      </c>
      <c r="H15" s="18">
        <v>5.0000000000000001E-3</v>
      </c>
      <c r="I15" s="18">
        <v>-14.05</v>
      </c>
      <c r="J15" s="18">
        <v>-2.4710000000000001</v>
      </c>
      <c r="K15" s="18">
        <v>1.0999999999999999E-2</v>
      </c>
      <c r="L15" s="18" t="s">
        <v>102</v>
      </c>
      <c r="M15" s="18">
        <v>3</v>
      </c>
      <c r="N15" s="18">
        <v>600</v>
      </c>
      <c r="O15" s="18">
        <v>90</v>
      </c>
      <c r="P15" s="18">
        <v>1</v>
      </c>
      <c r="Q15" s="18" t="s">
        <v>103</v>
      </c>
      <c r="R15" s="18" t="s">
        <v>104</v>
      </c>
      <c r="S15" s="18" t="s">
        <v>105</v>
      </c>
      <c r="T15" s="18" t="s">
        <v>106</v>
      </c>
      <c r="AQ15">
        <v>968</v>
      </c>
      <c r="AR15">
        <v>7750</v>
      </c>
      <c r="AS15">
        <v>6805</v>
      </c>
      <c r="AT15">
        <v>6315</v>
      </c>
      <c r="AU15">
        <f t="shared" si="0"/>
        <v>490</v>
      </c>
    </row>
    <row r="16" spans="1:61" x14ac:dyDescent="0.25">
      <c r="A16" s="21">
        <v>2</v>
      </c>
      <c r="B16" s="21" t="s">
        <v>56</v>
      </c>
      <c r="C16" s="21" t="s">
        <v>100</v>
      </c>
      <c r="D16" s="20"/>
      <c r="E16" s="21" t="s">
        <v>50</v>
      </c>
      <c r="F16" s="21">
        <v>-4.5</v>
      </c>
      <c r="G16" s="21">
        <v>-4.9379999999999997</v>
      </c>
      <c r="H16" s="21">
        <v>0.36799999999999999</v>
      </c>
      <c r="I16" s="21">
        <v>-14.05</v>
      </c>
      <c r="J16" s="21">
        <v>-13.295999999999999</v>
      </c>
      <c r="K16" s="21">
        <v>0.58699999999999997</v>
      </c>
      <c r="L16" s="21" t="s">
        <v>102</v>
      </c>
      <c r="M16" s="21">
        <v>3</v>
      </c>
      <c r="N16" s="21">
        <v>600</v>
      </c>
      <c r="O16" s="21">
        <v>90</v>
      </c>
      <c r="P16" s="21">
        <v>1</v>
      </c>
      <c r="Q16" s="21" t="s">
        <v>103</v>
      </c>
      <c r="R16" s="21" t="s">
        <v>107</v>
      </c>
      <c r="S16" s="21" t="s">
        <v>108</v>
      </c>
      <c r="T16" s="21" t="s">
        <v>109</v>
      </c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>
        <v>34</v>
      </c>
      <c r="AR16" s="20">
        <v>8</v>
      </c>
      <c r="AS16" s="20">
        <v>9</v>
      </c>
      <c r="AT16" s="20">
        <v>979</v>
      </c>
      <c r="AU16" s="20">
        <f t="shared" si="0"/>
        <v>-970</v>
      </c>
    </row>
    <row r="17" spans="1:61" x14ac:dyDescent="0.25">
      <c r="A17" s="18">
        <v>5</v>
      </c>
      <c r="B17" s="18" t="s">
        <v>110</v>
      </c>
      <c r="C17" s="18" t="s">
        <v>50</v>
      </c>
      <c r="E17" s="18" t="s">
        <v>50</v>
      </c>
      <c r="F17" s="18">
        <v>-4.5</v>
      </c>
      <c r="G17" s="18">
        <v>1.8360000000000001</v>
      </c>
      <c r="H17" s="18">
        <v>7.0000000000000001E-3</v>
      </c>
      <c r="I17" s="18">
        <v>-14.05</v>
      </c>
      <c r="J17" s="18">
        <v>-2.496</v>
      </c>
      <c r="K17" s="18">
        <v>2.5000000000000001E-2</v>
      </c>
      <c r="L17" s="18" t="s">
        <v>86</v>
      </c>
      <c r="M17" s="18">
        <v>3</v>
      </c>
      <c r="N17" s="18">
        <v>600</v>
      </c>
      <c r="O17" s="18">
        <v>90</v>
      </c>
      <c r="P17" s="18">
        <v>1</v>
      </c>
      <c r="Q17" s="18" t="s">
        <v>52</v>
      </c>
      <c r="R17" s="18" t="s">
        <v>111</v>
      </c>
      <c r="S17" s="18" t="s">
        <v>112</v>
      </c>
      <c r="T17" s="18" t="s">
        <v>113</v>
      </c>
      <c r="AQ17">
        <v>802</v>
      </c>
      <c r="AR17">
        <v>4098</v>
      </c>
      <c r="AS17">
        <v>3654</v>
      </c>
      <c r="AT17">
        <v>3398</v>
      </c>
      <c r="AU17">
        <f t="shared" si="0"/>
        <v>256</v>
      </c>
    </row>
    <row r="18" spans="1:61" x14ac:dyDescent="0.25">
      <c r="A18" s="18">
        <v>6</v>
      </c>
      <c r="B18" s="18" t="s">
        <v>114</v>
      </c>
      <c r="C18" s="18" t="s">
        <v>50</v>
      </c>
      <c r="E18" s="18" t="s">
        <v>50</v>
      </c>
      <c r="F18" s="18">
        <v>-4.5</v>
      </c>
      <c r="G18" s="18">
        <v>1.7889999999999999</v>
      </c>
      <c r="H18" s="18">
        <v>1.2999999999999999E-2</v>
      </c>
      <c r="I18" s="18">
        <v>-14.05</v>
      </c>
      <c r="J18" s="18">
        <v>-2.5030000000000001</v>
      </c>
      <c r="K18" s="18">
        <v>1.7000000000000001E-2</v>
      </c>
      <c r="L18" s="18" t="s">
        <v>86</v>
      </c>
      <c r="M18" s="18">
        <v>3</v>
      </c>
      <c r="N18" s="18">
        <v>600</v>
      </c>
      <c r="O18" s="18">
        <v>90</v>
      </c>
      <c r="P18" s="18">
        <v>1</v>
      </c>
      <c r="Q18" s="18" t="s">
        <v>52</v>
      </c>
      <c r="R18" s="18" t="s">
        <v>115</v>
      </c>
      <c r="S18" s="18" t="s">
        <v>116</v>
      </c>
      <c r="T18" s="18" t="s">
        <v>117</v>
      </c>
      <c r="AQ18">
        <v>816</v>
      </c>
      <c r="AR18">
        <v>4238</v>
      </c>
      <c r="AS18">
        <v>3822</v>
      </c>
      <c r="AT18">
        <v>3553</v>
      </c>
      <c r="AU18">
        <f t="shared" si="0"/>
        <v>269</v>
      </c>
    </row>
    <row r="19" spans="1:61" x14ac:dyDescent="0.25">
      <c r="A19" s="21">
        <v>11</v>
      </c>
      <c r="B19" s="21" t="s">
        <v>118</v>
      </c>
      <c r="C19" s="21" t="s">
        <v>50</v>
      </c>
      <c r="D19" s="20"/>
      <c r="E19" s="21" t="s">
        <v>50</v>
      </c>
      <c r="F19" s="21">
        <v>-4.5</v>
      </c>
      <c r="G19" s="21">
        <v>2.2999999999999998</v>
      </c>
      <c r="H19" s="21">
        <v>7.0000000000000001E-3</v>
      </c>
      <c r="I19" s="21">
        <v>-14.05</v>
      </c>
      <c r="J19" s="21">
        <v>-1.2030000000000001</v>
      </c>
      <c r="K19" s="21">
        <v>1.2999999999999999E-2</v>
      </c>
      <c r="L19" s="21" t="s">
        <v>119</v>
      </c>
      <c r="M19" s="21">
        <v>3</v>
      </c>
      <c r="N19" s="21">
        <v>600</v>
      </c>
      <c r="O19" s="21">
        <v>135</v>
      </c>
      <c r="P19" s="21">
        <v>1</v>
      </c>
      <c r="Q19" s="21" t="s">
        <v>70</v>
      </c>
      <c r="R19" s="21" t="s">
        <v>120</v>
      </c>
      <c r="S19" s="21" t="s">
        <v>121</v>
      </c>
      <c r="T19" s="21" t="s">
        <v>122</v>
      </c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>
        <v>752</v>
      </c>
      <c r="AR19" s="20">
        <v>3042</v>
      </c>
      <c r="AS19" s="20">
        <v>2692</v>
      </c>
      <c r="AT19" s="20">
        <v>2507</v>
      </c>
      <c r="AU19" s="20">
        <f t="shared" si="0"/>
        <v>185</v>
      </c>
      <c r="AV19" s="20" t="s">
        <v>123</v>
      </c>
    </row>
    <row r="20" spans="1:61" x14ac:dyDescent="0.25">
      <c r="A20" s="18">
        <v>12</v>
      </c>
      <c r="B20" s="18" t="s">
        <v>124</v>
      </c>
      <c r="C20" s="18" t="s">
        <v>50</v>
      </c>
      <c r="E20" s="18" t="s">
        <v>50</v>
      </c>
      <c r="F20" s="18">
        <v>-4.5</v>
      </c>
      <c r="G20" s="18">
        <v>1.766</v>
      </c>
      <c r="H20" s="18">
        <v>1.9E-2</v>
      </c>
      <c r="I20" s="18">
        <v>-14.05</v>
      </c>
      <c r="J20" s="18">
        <v>-2.6579999999999999</v>
      </c>
      <c r="K20" s="18">
        <v>6.0000000000000001E-3</v>
      </c>
      <c r="L20" s="18" t="s">
        <v>119</v>
      </c>
      <c r="M20" s="18">
        <v>3</v>
      </c>
      <c r="N20" s="18">
        <v>600</v>
      </c>
      <c r="O20" s="18">
        <v>135</v>
      </c>
      <c r="P20" s="18">
        <v>1</v>
      </c>
      <c r="Q20" s="18" t="s">
        <v>70</v>
      </c>
      <c r="R20" s="18" t="s">
        <v>125</v>
      </c>
      <c r="S20" s="18" t="s">
        <v>126</v>
      </c>
      <c r="T20" s="18" t="s">
        <v>127</v>
      </c>
      <c r="AQ20">
        <v>752</v>
      </c>
      <c r="AR20">
        <v>3089</v>
      </c>
      <c r="AS20">
        <v>2726</v>
      </c>
      <c r="AT20">
        <v>2536</v>
      </c>
      <c r="AU20">
        <f t="shared" si="0"/>
        <v>190</v>
      </c>
      <c r="AW20" s="20"/>
      <c r="AX20" s="20"/>
      <c r="AY20" s="20"/>
      <c r="AZ20" s="20"/>
      <c r="BA20" s="20"/>
      <c r="BB20" s="20"/>
      <c r="BC20" s="20"/>
      <c r="BD20" s="20"/>
      <c r="BE20" s="20"/>
      <c r="BF20" s="20"/>
      <c r="BG20" s="20"/>
      <c r="BH20" s="20"/>
      <c r="BI20" s="20"/>
    </row>
    <row r="21" spans="1:61" x14ac:dyDescent="0.25">
      <c r="A21" s="18">
        <v>13</v>
      </c>
      <c r="B21" s="18" t="s">
        <v>128</v>
      </c>
      <c r="C21" s="18" t="s">
        <v>50</v>
      </c>
      <c r="E21" s="18" t="s">
        <v>50</v>
      </c>
      <c r="F21" s="18">
        <v>-4.5</v>
      </c>
      <c r="G21" s="18">
        <v>1.7869999999999999</v>
      </c>
      <c r="H21" s="18">
        <v>8.9999999999999993E-3</v>
      </c>
      <c r="I21" s="18">
        <v>-14.05</v>
      </c>
      <c r="J21" s="18">
        <v>-2.5059999999999998</v>
      </c>
      <c r="K21" s="18">
        <v>2.7E-2</v>
      </c>
      <c r="L21" s="18" t="s">
        <v>119</v>
      </c>
      <c r="M21" s="18">
        <v>3</v>
      </c>
      <c r="N21" s="18">
        <v>600</v>
      </c>
      <c r="O21" s="18">
        <v>135</v>
      </c>
      <c r="P21" s="18">
        <v>1</v>
      </c>
      <c r="Q21" s="18" t="s">
        <v>70</v>
      </c>
      <c r="R21" s="18" t="s">
        <v>129</v>
      </c>
      <c r="S21" s="18" t="s">
        <v>130</v>
      </c>
      <c r="T21" s="18" t="s">
        <v>131</v>
      </c>
      <c r="AQ21">
        <v>834</v>
      </c>
      <c r="AR21">
        <v>4146</v>
      </c>
      <c r="AS21">
        <v>3730</v>
      </c>
      <c r="AT21">
        <v>3473</v>
      </c>
      <c r="AU21">
        <f t="shared" si="0"/>
        <v>257</v>
      </c>
    </row>
    <row r="22" spans="1:61" x14ac:dyDescent="0.25">
      <c r="A22" s="18">
        <v>14</v>
      </c>
      <c r="B22" s="18" t="s">
        <v>132</v>
      </c>
      <c r="C22" s="18" t="s">
        <v>50</v>
      </c>
      <c r="E22" s="18" t="s">
        <v>50</v>
      </c>
      <c r="F22" s="18">
        <v>-4.5</v>
      </c>
      <c r="G22" s="18">
        <v>1.8420000000000001</v>
      </c>
      <c r="H22" s="18">
        <v>6.0000000000000001E-3</v>
      </c>
      <c r="I22" s="18">
        <v>-14.05</v>
      </c>
      <c r="J22" s="18">
        <v>-2.5750000000000002</v>
      </c>
      <c r="K22" s="18">
        <v>0.03</v>
      </c>
      <c r="L22" s="18" t="s">
        <v>119</v>
      </c>
      <c r="M22" s="18">
        <v>3</v>
      </c>
      <c r="N22" s="18">
        <v>600</v>
      </c>
      <c r="O22" s="18">
        <v>135</v>
      </c>
      <c r="P22" s="18">
        <v>1</v>
      </c>
      <c r="Q22" s="18" t="s">
        <v>70</v>
      </c>
      <c r="R22" s="18" t="s">
        <v>133</v>
      </c>
      <c r="S22" s="18" t="s">
        <v>134</v>
      </c>
      <c r="T22" s="18" t="s">
        <v>135</v>
      </c>
      <c r="AQ22">
        <v>873</v>
      </c>
      <c r="AR22">
        <v>4515</v>
      </c>
      <c r="AS22">
        <v>4005</v>
      </c>
      <c r="AT22">
        <v>3722</v>
      </c>
      <c r="AU22">
        <f t="shared" si="0"/>
        <v>283</v>
      </c>
    </row>
    <row r="23" spans="1:61" x14ac:dyDescent="0.25">
      <c r="A23" s="18">
        <v>3</v>
      </c>
      <c r="B23" s="18" t="s">
        <v>60</v>
      </c>
      <c r="C23" s="18" t="s">
        <v>50</v>
      </c>
      <c r="E23" s="18" t="s">
        <v>50</v>
      </c>
      <c r="F23" s="18">
        <v>-4.5</v>
      </c>
      <c r="G23" s="18">
        <v>1.754</v>
      </c>
      <c r="H23" s="18">
        <v>3.0000000000000001E-3</v>
      </c>
      <c r="I23" s="18">
        <v>-14.05</v>
      </c>
      <c r="J23" s="18">
        <v>-2.5289999999999999</v>
      </c>
      <c r="K23" s="18">
        <v>0.02</v>
      </c>
      <c r="L23" s="18" t="s">
        <v>136</v>
      </c>
      <c r="M23" s="18">
        <v>3</v>
      </c>
      <c r="N23" s="18">
        <v>720</v>
      </c>
      <c r="O23" s="18">
        <v>90</v>
      </c>
      <c r="P23" s="18">
        <v>1</v>
      </c>
      <c r="Q23" s="18" t="s">
        <v>70</v>
      </c>
      <c r="R23" s="18" t="s">
        <v>137</v>
      </c>
      <c r="S23" s="18" t="s">
        <v>138</v>
      </c>
      <c r="T23" s="18" t="s">
        <v>139</v>
      </c>
      <c r="AQ23">
        <v>905</v>
      </c>
      <c r="AR23">
        <v>5077</v>
      </c>
      <c r="AS23">
        <v>4529</v>
      </c>
      <c r="AT23">
        <v>4210</v>
      </c>
      <c r="AU23">
        <f t="shared" si="0"/>
        <v>319</v>
      </c>
    </row>
    <row r="24" spans="1:61" x14ac:dyDescent="0.25">
      <c r="A24" s="18">
        <v>6</v>
      </c>
      <c r="B24" s="18" t="s">
        <v>114</v>
      </c>
      <c r="C24" s="18" t="s">
        <v>50</v>
      </c>
      <c r="E24" s="18" t="s">
        <v>50</v>
      </c>
      <c r="F24" s="18">
        <v>-4.5</v>
      </c>
      <c r="G24" s="18">
        <v>1.742</v>
      </c>
      <c r="H24" s="18">
        <v>1.2999999999999999E-2</v>
      </c>
      <c r="I24" s="18">
        <v>-14.05</v>
      </c>
      <c r="J24" s="18">
        <v>-2.5710000000000002</v>
      </c>
      <c r="K24" s="18">
        <v>1.0999999999999999E-2</v>
      </c>
      <c r="L24" s="18" t="s">
        <v>136</v>
      </c>
      <c r="M24" s="18">
        <v>3</v>
      </c>
      <c r="N24" s="18">
        <v>720</v>
      </c>
      <c r="O24" s="18">
        <v>90</v>
      </c>
      <c r="P24" s="18">
        <v>1</v>
      </c>
      <c r="Q24" s="18" t="s">
        <v>70</v>
      </c>
      <c r="R24" s="18" t="s">
        <v>140</v>
      </c>
      <c r="S24" s="18" t="s">
        <v>141</v>
      </c>
      <c r="T24" s="18" t="s">
        <v>142</v>
      </c>
      <c r="AQ24">
        <v>944</v>
      </c>
      <c r="AR24">
        <v>5355</v>
      </c>
      <c r="AS24">
        <v>4762</v>
      </c>
      <c r="AT24">
        <v>4425</v>
      </c>
      <c r="AU24">
        <f t="shared" si="0"/>
        <v>337</v>
      </c>
    </row>
    <row r="25" spans="1:61" x14ac:dyDescent="0.25">
      <c r="A25" s="18">
        <v>15</v>
      </c>
      <c r="B25" s="18" t="s">
        <v>143</v>
      </c>
      <c r="C25" s="18" t="s">
        <v>50</v>
      </c>
      <c r="E25" s="18" t="s">
        <v>50</v>
      </c>
      <c r="F25" s="18">
        <v>-4.5</v>
      </c>
      <c r="G25" s="18">
        <v>1.8120000000000001</v>
      </c>
      <c r="H25" s="18">
        <v>1.6E-2</v>
      </c>
      <c r="I25" s="18">
        <v>-14.05</v>
      </c>
      <c r="J25" s="18">
        <v>-2.5329999999999999</v>
      </c>
      <c r="K25" s="18">
        <v>2.4E-2</v>
      </c>
      <c r="L25" s="18" t="s">
        <v>144</v>
      </c>
      <c r="M25" s="18">
        <v>3</v>
      </c>
      <c r="N25" s="18">
        <v>720</v>
      </c>
      <c r="O25" s="18">
        <v>135</v>
      </c>
      <c r="P25" s="18">
        <v>1</v>
      </c>
      <c r="Q25" s="18" t="s">
        <v>70</v>
      </c>
      <c r="R25" s="18" t="s">
        <v>145</v>
      </c>
      <c r="S25" s="18" t="s">
        <v>146</v>
      </c>
      <c r="T25" s="18" t="s">
        <v>147</v>
      </c>
      <c r="AQ25">
        <v>859</v>
      </c>
      <c r="AR25">
        <v>4345</v>
      </c>
      <c r="AS25">
        <v>3918</v>
      </c>
      <c r="AT25">
        <v>3647</v>
      </c>
      <c r="AU25">
        <f t="shared" si="0"/>
        <v>271</v>
      </c>
    </row>
    <row r="26" spans="1:61" x14ac:dyDescent="0.25">
      <c r="A26" s="18">
        <v>16</v>
      </c>
      <c r="B26" s="18" t="s">
        <v>148</v>
      </c>
      <c r="C26" s="18" t="s">
        <v>50</v>
      </c>
      <c r="E26" s="18" t="s">
        <v>50</v>
      </c>
      <c r="F26" s="18">
        <v>-4.5</v>
      </c>
      <c r="G26" s="18">
        <v>1.7390000000000001</v>
      </c>
      <c r="H26" s="18">
        <v>5.0000000000000001E-3</v>
      </c>
      <c r="I26" s="18">
        <v>-14.05</v>
      </c>
      <c r="J26" s="18">
        <v>-2.782</v>
      </c>
      <c r="K26" s="18">
        <v>2.5999999999999999E-2</v>
      </c>
      <c r="L26" s="18" t="s">
        <v>144</v>
      </c>
      <c r="M26" s="18">
        <v>3</v>
      </c>
      <c r="N26" s="18">
        <v>720</v>
      </c>
      <c r="O26" s="18">
        <v>135</v>
      </c>
      <c r="P26" s="18">
        <v>1</v>
      </c>
      <c r="Q26" s="18" t="s">
        <v>70</v>
      </c>
      <c r="R26" s="18" t="s">
        <v>149</v>
      </c>
      <c r="S26" s="18" t="s">
        <v>150</v>
      </c>
      <c r="T26" s="18" t="s">
        <v>151</v>
      </c>
      <c r="AQ26">
        <v>749</v>
      </c>
      <c r="AR26">
        <v>3012</v>
      </c>
      <c r="AS26">
        <v>2752</v>
      </c>
      <c r="AT26">
        <v>2561</v>
      </c>
      <c r="AU26">
        <f t="shared" si="0"/>
        <v>191</v>
      </c>
    </row>
    <row r="27" spans="1:61" x14ac:dyDescent="0.25">
      <c r="A27" s="18">
        <v>17</v>
      </c>
      <c r="B27" s="18" t="s">
        <v>152</v>
      </c>
      <c r="C27" s="18" t="s">
        <v>50</v>
      </c>
      <c r="E27" s="18" t="s">
        <v>50</v>
      </c>
      <c r="F27" s="18">
        <v>-4.5</v>
      </c>
      <c r="G27" s="18">
        <v>1.7809999999999999</v>
      </c>
      <c r="H27" s="18">
        <v>1.0999999999999999E-2</v>
      </c>
      <c r="I27" s="18">
        <v>-14.05</v>
      </c>
      <c r="J27" s="18">
        <v>-2.5409999999999999</v>
      </c>
      <c r="K27" s="18">
        <v>1.2E-2</v>
      </c>
      <c r="L27" s="18" t="s">
        <v>144</v>
      </c>
      <c r="M27" s="18">
        <v>3</v>
      </c>
      <c r="N27" s="18">
        <v>720</v>
      </c>
      <c r="O27" s="18">
        <v>135</v>
      </c>
      <c r="P27" s="18">
        <v>1</v>
      </c>
      <c r="Q27" s="18" t="s">
        <v>70</v>
      </c>
      <c r="R27" s="18" t="s">
        <v>153</v>
      </c>
      <c r="S27" s="18" t="s">
        <v>154</v>
      </c>
      <c r="T27" s="18" t="s">
        <v>155</v>
      </c>
      <c r="AQ27">
        <v>873</v>
      </c>
      <c r="AR27">
        <v>4495</v>
      </c>
      <c r="AS27">
        <v>4051</v>
      </c>
      <c r="AT27">
        <v>3770</v>
      </c>
      <c r="AU27">
        <f t="shared" si="0"/>
        <v>281</v>
      </c>
    </row>
    <row r="28" spans="1:61" x14ac:dyDescent="0.25">
      <c r="A28" s="18">
        <v>18</v>
      </c>
      <c r="B28" s="18" t="s">
        <v>156</v>
      </c>
      <c r="C28" s="18" t="s">
        <v>50</v>
      </c>
      <c r="E28" s="18" t="s">
        <v>50</v>
      </c>
      <c r="F28" s="18">
        <v>-4.5</v>
      </c>
      <c r="G28" s="18">
        <v>1.7490000000000001</v>
      </c>
      <c r="H28" s="18">
        <v>6.0000000000000001E-3</v>
      </c>
      <c r="I28" s="18">
        <v>-14.05</v>
      </c>
      <c r="J28" s="18">
        <v>-2.734</v>
      </c>
      <c r="K28" s="18">
        <v>2.3E-2</v>
      </c>
      <c r="L28" s="18" t="s">
        <v>144</v>
      </c>
      <c r="M28" s="18">
        <v>3</v>
      </c>
      <c r="N28" s="18">
        <v>720</v>
      </c>
      <c r="O28" s="18">
        <v>135</v>
      </c>
      <c r="P28" s="18">
        <v>1</v>
      </c>
      <c r="Q28" s="18" t="s">
        <v>70</v>
      </c>
      <c r="R28" s="18" t="s">
        <v>157</v>
      </c>
      <c r="S28" s="18" t="s">
        <v>158</v>
      </c>
      <c r="T28" s="18" t="s">
        <v>159</v>
      </c>
      <c r="AQ28">
        <v>827</v>
      </c>
      <c r="AR28">
        <v>3785</v>
      </c>
      <c r="AS28">
        <v>3404</v>
      </c>
      <c r="AT28">
        <v>3167</v>
      </c>
      <c r="AU28">
        <f t="shared" si="0"/>
        <v>237</v>
      </c>
    </row>
    <row r="29" spans="1:61" x14ac:dyDescent="0.25">
      <c r="A29" s="21">
        <v>19</v>
      </c>
      <c r="B29" s="21" t="s">
        <v>160</v>
      </c>
      <c r="C29" s="21" t="s">
        <v>50</v>
      </c>
      <c r="D29" s="20"/>
      <c r="E29" s="21" t="s">
        <v>50</v>
      </c>
      <c r="F29" s="21">
        <v>-4.5</v>
      </c>
      <c r="G29" s="21">
        <v>12.574999999999999</v>
      </c>
      <c r="H29" s="21">
        <v>0.32700000000000001</v>
      </c>
      <c r="I29" s="21">
        <v>-14.05</v>
      </c>
      <c r="J29" s="21">
        <v>-5.9640000000000004</v>
      </c>
      <c r="K29" s="21">
        <v>0.72799999999999998</v>
      </c>
      <c r="L29" s="21" t="s">
        <v>161</v>
      </c>
      <c r="M29" s="21">
        <v>4</v>
      </c>
      <c r="N29" s="21">
        <v>480</v>
      </c>
      <c r="O29" s="21">
        <v>90</v>
      </c>
      <c r="P29" s="21">
        <v>1</v>
      </c>
      <c r="Q29" s="21" t="s">
        <v>70</v>
      </c>
      <c r="R29" s="21" t="s">
        <v>162</v>
      </c>
      <c r="S29" s="21" t="s">
        <v>163</v>
      </c>
      <c r="T29" s="21" t="s">
        <v>164</v>
      </c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>
        <v>37</v>
      </c>
      <c r="AR29" s="20">
        <v>10</v>
      </c>
      <c r="AS29" s="20">
        <v>14</v>
      </c>
      <c r="AT29" s="20">
        <v>1271</v>
      </c>
      <c r="AU29" s="20">
        <f t="shared" si="0"/>
        <v>-1257</v>
      </c>
      <c r="AV29" s="20"/>
    </row>
    <row r="30" spans="1:61" x14ac:dyDescent="0.25">
      <c r="A30" s="18">
        <v>20</v>
      </c>
      <c r="B30" s="18" t="s">
        <v>165</v>
      </c>
      <c r="C30" s="18" t="s">
        <v>50</v>
      </c>
      <c r="E30" s="18" t="s">
        <v>50</v>
      </c>
      <c r="F30" s="18">
        <v>-4.5</v>
      </c>
      <c r="G30" s="18">
        <v>1.6</v>
      </c>
      <c r="H30" s="18">
        <v>1.7000000000000001E-2</v>
      </c>
      <c r="I30" s="18">
        <v>-14.05</v>
      </c>
      <c r="J30" s="18">
        <v>-2.887</v>
      </c>
      <c r="K30" s="18">
        <v>1.7999999999999999E-2</v>
      </c>
      <c r="L30" s="18" t="s">
        <v>161</v>
      </c>
      <c r="M30" s="18">
        <v>4</v>
      </c>
      <c r="N30" s="18">
        <v>480</v>
      </c>
      <c r="O30" s="18">
        <v>90</v>
      </c>
      <c r="P30" s="18">
        <v>1</v>
      </c>
      <c r="Q30" s="18" t="s">
        <v>70</v>
      </c>
      <c r="R30" s="18" t="s">
        <v>166</v>
      </c>
      <c r="S30" s="18" t="s">
        <v>167</v>
      </c>
      <c r="T30" s="18" t="s">
        <v>168</v>
      </c>
      <c r="AQ30">
        <v>813</v>
      </c>
      <c r="AR30">
        <v>3597</v>
      </c>
      <c r="AS30">
        <v>3199</v>
      </c>
      <c r="AT30">
        <v>2974</v>
      </c>
      <c r="AU30">
        <f t="shared" si="0"/>
        <v>225</v>
      </c>
    </row>
    <row r="31" spans="1:61" x14ac:dyDescent="0.25">
      <c r="A31" s="18">
        <v>21</v>
      </c>
      <c r="B31" s="18" t="s">
        <v>169</v>
      </c>
      <c r="C31" s="18" t="s">
        <v>50</v>
      </c>
      <c r="E31" s="18" t="s">
        <v>50</v>
      </c>
      <c r="F31" s="18">
        <v>-4.5</v>
      </c>
      <c r="G31" s="18">
        <v>1.7829999999999999</v>
      </c>
      <c r="H31" s="18">
        <v>1.0999999999999999E-2</v>
      </c>
      <c r="I31" s="18">
        <v>-14.05</v>
      </c>
      <c r="J31" s="18">
        <v>-2.7130000000000001</v>
      </c>
      <c r="K31" s="18">
        <v>2.1999999999999999E-2</v>
      </c>
      <c r="L31" s="18" t="s">
        <v>161</v>
      </c>
      <c r="M31" s="18">
        <v>4</v>
      </c>
      <c r="N31" s="18">
        <v>480</v>
      </c>
      <c r="O31" s="18">
        <v>90</v>
      </c>
      <c r="P31" s="18">
        <v>1</v>
      </c>
      <c r="Q31" s="18" t="s">
        <v>70</v>
      </c>
      <c r="R31" s="18" t="s">
        <v>170</v>
      </c>
      <c r="S31" s="18" t="s">
        <v>171</v>
      </c>
      <c r="T31" s="18" t="s">
        <v>172</v>
      </c>
      <c r="AQ31">
        <v>791</v>
      </c>
      <c r="AR31">
        <v>3476</v>
      </c>
      <c r="AS31">
        <v>3067</v>
      </c>
      <c r="AT31">
        <v>2852</v>
      </c>
      <c r="AU31">
        <f t="shared" si="0"/>
        <v>215</v>
      </c>
    </row>
    <row r="32" spans="1:61" x14ac:dyDescent="0.25">
      <c r="A32" s="18">
        <v>22</v>
      </c>
      <c r="B32" s="18" t="s">
        <v>173</v>
      </c>
      <c r="C32" s="18" t="s">
        <v>50</v>
      </c>
      <c r="E32" s="18" t="s">
        <v>50</v>
      </c>
      <c r="F32" s="18">
        <v>-4.5</v>
      </c>
      <c r="G32" s="18">
        <v>1.788</v>
      </c>
      <c r="H32" s="18">
        <v>1.0999999999999999E-2</v>
      </c>
      <c r="I32" s="18">
        <v>-14.05</v>
      </c>
      <c r="J32" s="18">
        <v>-2.633</v>
      </c>
      <c r="K32" s="18">
        <v>1.0999999999999999E-2</v>
      </c>
      <c r="L32" s="18" t="s">
        <v>161</v>
      </c>
      <c r="M32" s="18">
        <v>4</v>
      </c>
      <c r="N32" s="18">
        <v>480</v>
      </c>
      <c r="O32" s="18">
        <v>90</v>
      </c>
      <c r="P32" s="18">
        <v>1</v>
      </c>
      <c r="Q32" s="18" t="s">
        <v>70</v>
      </c>
      <c r="R32" s="18" t="s">
        <v>174</v>
      </c>
      <c r="S32" s="18" t="s">
        <v>175</v>
      </c>
      <c r="T32" s="18" t="s">
        <v>176</v>
      </c>
      <c r="AQ32">
        <v>745</v>
      </c>
      <c r="AR32">
        <v>2934</v>
      </c>
      <c r="AS32">
        <v>2679</v>
      </c>
      <c r="AT32">
        <v>2497</v>
      </c>
      <c r="AU32">
        <f t="shared" si="0"/>
        <v>182</v>
      </c>
    </row>
    <row r="33" spans="1:61" x14ac:dyDescent="0.25">
      <c r="A33" s="18">
        <v>23</v>
      </c>
      <c r="B33" s="18" t="s">
        <v>177</v>
      </c>
      <c r="C33" s="18" t="s">
        <v>50</v>
      </c>
      <c r="E33" s="18" t="s">
        <v>50</v>
      </c>
      <c r="F33" s="18">
        <v>-4.5</v>
      </c>
      <c r="G33" s="18">
        <v>1.7529999999999999</v>
      </c>
      <c r="H33" s="18">
        <v>1.2999999999999999E-2</v>
      </c>
      <c r="I33" s="18">
        <v>-14.05</v>
      </c>
      <c r="J33" s="18">
        <v>-2.7050000000000001</v>
      </c>
      <c r="K33" s="18">
        <v>7.0000000000000001E-3</v>
      </c>
      <c r="L33" s="18" t="s">
        <v>178</v>
      </c>
      <c r="M33" s="18">
        <v>4</v>
      </c>
      <c r="N33" s="18">
        <v>600</v>
      </c>
      <c r="O33" s="18">
        <v>90</v>
      </c>
      <c r="P33" s="18">
        <v>1</v>
      </c>
      <c r="Q33" s="18" t="s">
        <v>96</v>
      </c>
      <c r="R33" s="18" t="s">
        <v>179</v>
      </c>
      <c r="S33" s="18" t="s">
        <v>180</v>
      </c>
      <c r="T33" s="18" t="s">
        <v>181</v>
      </c>
      <c r="AQ33">
        <v>905</v>
      </c>
      <c r="AR33">
        <v>5007</v>
      </c>
      <c r="AS33">
        <v>4464</v>
      </c>
      <c r="AT33">
        <v>4149</v>
      </c>
      <c r="AU33">
        <f t="shared" si="0"/>
        <v>315</v>
      </c>
      <c r="AW33" s="20"/>
      <c r="AX33" s="20"/>
      <c r="AY33" s="20"/>
      <c r="AZ33" s="20"/>
      <c r="BA33" s="20"/>
      <c r="BB33" s="20"/>
      <c r="BC33" s="20"/>
      <c r="BD33" s="20"/>
      <c r="BE33" s="20"/>
      <c r="BF33" s="20"/>
      <c r="BG33" s="20"/>
      <c r="BH33" s="20"/>
      <c r="BI33" s="20"/>
    </row>
    <row r="34" spans="1:61" x14ac:dyDescent="0.25">
      <c r="A34" s="18">
        <v>24</v>
      </c>
      <c r="B34" s="18" t="s">
        <v>182</v>
      </c>
      <c r="C34" s="18" t="s">
        <v>50</v>
      </c>
      <c r="E34" s="18" t="s">
        <v>50</v>
      </c>
      <c r="F34" s="18">
        <v>-4.5</v>
      </c>
      <c r="G34" s="18">
        <v>1.7829999999999999</v>
      </c>
      <c r="H34" s="18">
        <v>1.0999999999999999E-2</v>
      </c>
      <c r="I34" s="18">
        <v>-14.05</v>
      </c>
      <c r="J34" s="18">
        <v>-2.7519999999999998</v>
      </c>
      <c r="K34" s="18">
        <v>1.4E-2</v>
      </c>
      <c r="L34" s="18" t="s">
        <v>178</v>
      </c>
      <c r="M34" s="18">
        <v>4</v>
      </c>
      <c r="N34" s="18">
        <v>600</v>
      </c>
      <c r="O34" s="18">
        <v>90</v>
      </c>
      <c r="P34" s="18">
        <v>1</v>
      </c>
      <c r="Q34" s="18" t="s">
        <v>96</v>
      </c>
      <c r="R34" s="18" t="s">
        <v>183</v>
      </c>
      <c r="S34" s="18" t="s">
        <v>184</v>
      </c>
      <c r="T34" s="18" t="s">
        <v>185</v>
      </c>
      <c r="AQ34">
        <v>837</v>
      </c>
      <c r="AR34">
        <v>3959</v>
      </c>
      <c r="AS34">
        <v>3556</v>
      </c>
      <c r="AT34">
        <v>3308</v>
      </c>
      <c r="AU34">
        <f t="shared" si="0"/>
        <v>248</v>
      </c>
    </row>
    <row r="35" spans="1:61" x14ac:dyDescent="0.25">
      <c r="A35" s="18">
        <v>25</v>
      </c>
      <c r="B35" s="18" t="s">
        <v>186</v>
      </c>
      <c r="C35" s="18" t="s">
        <v>50</v>
      </c>
      <c r="E35" s="18" t="s">
        <v>50</v>
      </c>
      <c r="F35" s="18">
        <v>-4.5</v>
      </c>
      <c r="G35" s="18">
        <v>1.8129999999999999</v>
      </c>
      <c r="H35" s="18">
        <v>6.0000000000000001E-3</v>
      </c>
      <c r="I35" s="18">
        <v>-14.05</v>
      </c>
      <c r="J35" s="18">
        <v>-2.581</v>
      </c>
      <c r="K35" s="18">
        <v>1.0999999999999999E-2</v>
      </c>
      <c r="L35" s="18" t="s">
        <v>178</v>
      </c>
      <c r="M35" s="18">
        <v>4</v>
      </c>
      <c r="N35" s="18">
        <v>600</v>
      </c>
      <c r="O35" s="18">
        <v>90</v>
      </c>
      <c r="P35" s="18">
        <v>1</v>
      </c>
      <c r="Q35" s="18" t="s">
        <v>96</v>
      </c>
      <c r="R35" s="18" t="s">
        <v>187</v>
      </c>
      <c r="S35" s="18" t="s">
        <v>188</v>
      </c>
      <c r="T35" s="18" t="s">
        <v>189</v>
      </c>
      <c r="AQ35">
        <v>866</v>
      </c>
      <c r="AR35">
        <v>4431</v>
      </c>
      <c r="AS35">
        <v>3987</v>
      </c>
      <c r="AT35">
        <v>3709</v>
      </c>
      <c r="AU35">
        <f t="shared" si="0"/>
        <v>278</v>
      </c>
    </row>
    <row r="36" spans="1:61" x14ac:dyDescent="0.25">
      <c r="A36" s="18">
        <v>26</v>
      </c>
      <c r="B36" s="18" t="s">
        <v>190</v>
      </c>
      <c r="C36" s="18" t="s">
        <v>50</v>
      </c>
      <c r="E36" s="18" t="s">
        <v>50</v>
      </c>
      <c r="F36" s="18">
        <v>-4.5</v>
      </c>
      <c r="G36" s="18">
        <v>1.831</v>
      </c>
      <c r="H36" s="18">
        <v>8.9999999999999993E-3</v>
      </c>
      <c r="I36" s="18">
        <v>-14.05</v>
      </c>
      <c r="J36" s="18">
        <v>-2.5259999999999998</v>
      </c>
      <c r="K36" s="18">
        <v>1.2999999999999999E-2</v>
      </c>
      <c r="L36" s="18" t="s">
        <v>178</v>
      </c>
      <c r="M36" s="18">
        <v>4</v>
      </c>
      <c r="N36" s="18">
        <v>600</v>
      </c>
      <c r="O36" s="18">
        <v>90</v>
      </c>
      <c r="P36" s="18">
        <v>1</v>
      </c>
      <c r="Q36" s="18" t="s">
        <v>96</v>
      </c>
      <c r="R36" s="18" t="s">
        <v>191</v>
      </c>
      <c r="S36" s="18" t="s">
        <v>192</v>
      </c>
      <c r="T36" s="18" t="s">
        <v>193</v>
      </c>
      <c r="AQ36">
        <v>862</v>
      </c>
      <c r="AR36">
        <v>4278</v>
      </c>
      <c r="AS36">
        <v>3817</v>
      </c>
      <c r="AT36">
        <v>3553</v>
      </c>
      <c r="AU36">
        <f t="shared" si="0"/>
        <v>264</v>
      </c>
    </row>
    <row r="37" spans="1:61" x14ac:dyDescent="0.25">
      <c r="A37" s="18">
        <v>31</v>
      </c>
      <c r="B37" s="18" t="s">
        <v>194</v>
      </c>
      <c r="C37" s="18" t="s">
        <v>50</v>
      </c>
      <c r="E37" s="18" t="s">
        <v>50</v>
      </c>
      <c r="F37" s="18">
        <v>-4.5</v>
      </c>
      <c r="G37" s="18">
        <v>1.8069999999999999</v>
      </c>
      <c r="H37" s="18">
        <v>8.9999999999999993E-3</v>
      </c>
      <c r="I37" s="18">
        <v>-14.05</v>
      </c>
      <c r="J37" s="18">
        <v>-2.68</v>
      </c>
      <c r="K37" s="18">
        <v>1.2999999999999999E-2</v>
      </c>
      <c r="L37" s="18" t="s">
        <v>178</v>
      </c>
      <c r="M37" s="18">
        <v>4</v>
      </c>
      <c r="N37" s="18">
        <v>600</v>
      </c>
      <c r="O37" s="18">
        <v>90</v>
      </c>
      <c r="P37" s="18">
        <v>1</v>
      </c>
      <c r="Q37" s="18" t="s">
        <v>96</v>
      </c>
      <c r="R37" s="18" t="s">
        <v>195</v>
      </c>
      <c r="S37" s="18" t="s">
        <v>196</v>
      </c>
      <c r="T37" s="18" t="s">
        <v>197</v>
      </c>
      <c r="AQ37">
        <v>791</v>
      </c>
      <c r="AR37">
        <v>3332</v>
      </c>
      <c r="AS37">
        <v>2998</v>
      </c>
      <c r="AT37">
        <v>2789</v>
      </c>
      <c r="AU37">
        <f t="shared" si="0"/>
        <v>209</v>
      </c>
    </row>
    <row r="38" spans="1:61" x14ac:dyDescent="0.25">
      <c r="A38" s="18">
        <v>27</v>
      </c>
      <c r="B38" s="18" t="s">
        <v>198</v>
      </c>
      <c r="C38" s="18" t="s">
        <v>50</v>
      </c>
      <c r="E38" s="18" t="s">
        <v>50</v>
      </c>
      <c r="F38" s="18">
        <v>-4.5</v>
      </c>
      <c r="G38" s="18">
        <v>1.6519999999999999</v>
      </c>
      <c r="H38" s="18">
        <v>1.0999999999999999E-2</v>
      </c>
      <c r="I38" s="18">
        <v>-14.05</v>
      </c>
      <c r="J38" s="18">
        <v>-1.9059999999999999</v>
      </c>
      <c r="K38" s="18">
        <v>2.3E-2</v>
      </c>
      <c r="L38" s="18" t="s">
        <v>199</v>
      </c>
      <c r="M38" s="18">
        <v>4</v>
      </c>
      <c r="N38" s="18">
        <v>720</v>
      </c>
      <c r="O38" s="18">
        <v>90</v>
      </c>
      <c r="P38" s="18">
        <v>1</v>
      </c>
      <c r="Q38" s="18" t="s">
        <v>96</v>
      </c>
      <c r="R38" s="18" t="s">
        <v>200</v>
      </c>
      <c r="S38" s="18" t="s">
        <v>201</v>
      </c>
      <c r="T38" s="18" t="s">
        <v>202</v>
      </c>
      <c r="AQ38">
        <v>873</v>
      </c>
      <c r="AR38">
        <v>3528</v>
      </c>
      <c r="AS38">
        <v>3128</v>
      </c>
      <c r="AT38">
        <v>2909</v>
      </c>
      <c r="AU38">
        <f t="shared" si="0"/>
        <v>219</v>
      </c>
    </row>
    <row r="39" spans="1:61" x14ac:dyDescent="0.25">
      <c r="A39" s="18">
        <v>28</v>
      </c>
      <c r="B39" s="18" t="s">
        <v>203</v>
      </c>
      <c r="C39" s="18" t="s">
        <v>50</v>
      </c>
      <c r="E39" s="18" t="s">
        <v>50</v>
      </c>
      <c r="F39" s="18">
        <v>-4.5</v>
      </c>
      <c r="G39" s="18">
        <v>1.762</v>
      </c>
      <c r="H39" s="18">
        <v>5.0000000000000001E-3</v>
      </c>
      <c r="I39" s="18">
        <v>-14.05</v>
      </c>
      <c r="J39" s="18">
        <v>-2.6240000000000001</v>
      </c>
      <c r="K39" s="18">
        <v>1.2999999999999999E-2</v>
      </c>
      <c r="L39" s="18" t="s">
        <v>199</v>
      </c>
      <c r="M39" s="18">
        <v>4</v>
      </c>
      <c r="N39" s="18">
        <v>720</v>
      </c>
      <c r="O39" s="18">
        <v>90</v>
      </c>
      <c r="P39" s="18">
        <v>1</v>
      </c>
      <c r="Q39" s="18" t="s">
        <v>96</v>
      </c>
      <c r="R39" s="18" t="s">
        <v>204</v>
      </c>
      <c r="S39" s="18" t="s">
        <v>205</v>
      </c>
      <c r="T39" s="18" t="s">
        <v>206</v>
      </c>
      <c r="AQ39">
        <v>905</v>
      </c>
      <c r="AR39">
        <v>4776</v>
      </c>
      <c r="AS39">
        <v>4246</v>
      </c>
      <c r="AT39">
        <v>3948</v>
      </c>
      <c r="AU39">
        <f t="shared" si="0"/>
        <v>298</v>
      </c>
    </row>
    <row r="40" spans="1:61" x14ac:dyDescent="0.25">
      <c r="A40" s="18">
        <v>29</v>
      </c>
      <c r="B40" s="18" t="s">
        <v>207</v>
      </c>
      <c r="C40" s="18" t="s">
        <v>50</v>
      </c>
      <c r="E40" s="18" t="s">
        <v>50</v>
      </c>
      <c r="F40" s="18">
        <v>-4.5</v>
      </c>
      <c r="G40" s="18">
        <v>1.78</v>
      </c>
      <c r="H40" s="18">
        <v>7.0000000000000001E-3</v>
      </c>
      <c r="I40" s="18">
        <v>-14.05</v>
      </c>
      <c r="J40" s="18">
        <v>-2.5680000000000001</v>
      </c>
      <c r="K40" s="18">
        <v>1.2E-2</v>
      </c>
      <c r="L40" s="18" t="s">
        <v>199</v>
      </c>
      <c r="M40" s="18">
        <v>4</v>
      </c>
      <c r="N40" s="18">
        <v>720</v>
      </c>
      <c r="O40" s="18">
        <v>90</v>
      </c>
      <c r="P40" s="18">
        <v>1</v>
      </c>
      <c r="Q40" s="18" t="s">
        <v>96</v>
      </c>
      <c r="R40" s="18" t="s">
        <v>208</v>
      </c>
      <c r="S40" s="18" t="s">
        <v>209</v>
      </c>
      <c r="T40" s="18" t="s">
        <v>210</v>
      </c>
      <c r="AQ40">
        <v>866</v>
      </c>
      <c r="AR40">
        <v>4317</v>
      </c>
      <c r="AS40">
        <v>3896</v>
      </c>
      <c r="AT40">
        <v>3626</v>
      </c>
      <c r="AU40">
        <f t="shared" si="0"/>
        <v>270</v>
      </c>
    </row>
    <row r="41" spans="1:61" x14ac:dyDescent="0.25">
      <c r="A41" s="18">
        <v>30</v>
      </c>
      <c r="B41" s="18" t="s">
        <v>211</v>
      </c>
      <c r="C41" s="18" t="s">
        <v>50</v>
      </c>
      <c r="E41" s="18" t="s">
        <v>50</v>
      </c>
      <c r="F41" s="18">
        <v>-4.5</v>
      </c>
      <c r="G41" s="18">
        <v>1.903</v>
      </c>
      <c r="H41" s="18">
        <v>8.0000000000000002E-3</v>
      </c>
      <c r="I41" s="18">
        <v>-14.05</v>
      </c>
      <c r="J41" s="18">
        <v>-2.1389999999999998</v>
      </c>
      <c r="K41" s="18">
        <v>3.2000000000000001E-2</v>
      </c>
      <c r="L41" s="18" t="s">
        <v>199</v>
      </c>
      <c r="M41" s="18">
        <v>4</v>
      </c>
      <c r="N41" s="18">
        <v>720</v>
      </c>
      <c r="O41" s="18">
        <v>90</v>
      </c>
      <c r="P41" s="18">
        <v>1</v>
      </c>
      <c r="Q41" s="18" t="s">
        <v>96</v>
      </c>
      <c r="R41" s="18" t="s">
        <v>212</v>
      </c>
      <c r="S41" s="18" t="s">
        <v>213</v>
      </c>
      <c r="T41" s="18" t="s">
        <v>214</v>
      </c>
      <c r="AQ41">
        <v>834</v>
      </c>
      <c r="AR41">
        <v>3916</v>
      </c>
      <c r="AS41">
        <v>3538</v>
      </c>
      <c r="AT41">
        <v>3293</v>
      </c>
      <c r="AU41">
        <f t="shared" si="0"/>
        <v>245</v>
      </c>
    </row>
    <row r="44" spans="1:61" x14ac:dyDescent="0.25">
      <c r="B44" s="22"/>
    </row>
  </sheetData>
  <pageMargins left="0.511811024" right="0.511811024" top="0.78740157499999996" bottom="0.78740157499999996" header="0.31496062000000002" footer="0.3149606200000000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160"/>
  <sheetViews>
    <sheetView topLeftCell="A151" workbookViewId="0">
      <selection activeCell="K185" sqref="K185"/>
    </sheetView>
  </sheetViews>
  <sheetFormatPr defaultColWidth="11.42578125" defaultRowHeight="15" x14ac:dyDescent="0.25"/>
  <sheetData>
    <row r="1" spans="1:39" x14ac:dyDescent="0.25">
      <c r="A1" t="s">
        <v>218</v>
      </c>
    </row>
    <row r="2" spans="1:39" x14ac:dyDescent="0.25">
      <c r="A2" t="s">
        <v>501</v>
      </c>
    </row>
    <row r="4" spans="1:39" x14ac:dyDescent="0.25">
      <c r="A4" s="23">
        <v>42215</v>
      </c>
    </row>
    <row r="5" spans="1:39" x14ac:dyDescent="0.25">
      <c r="A5" t="s">
        <v>219</v>
      </c>
      <c r="B5" s="18" t="s">
        <v>29</v>
      </c>
      <c r="C5" s="18" t="s">
        <v>30</v>
      </c>
      <c r="D5" s="18" t="s">
        <v>31</v>
      </c>
      <c r="E5" s="18" t="s">
        <v>32</v>
      </c>
      <c r="F5" s="18" t="s">
        <v>33</v>
      </c>
      <c r="G5" s="18" t="s">
        <v>34</v>
      </c>
      <c r="H5" s="18" t="s">
        <v>35</v>
      </c>
    </row>
    <row r="6" spans="1:39" x14ac:dyDescent="0.25">
      <c r="B6" s="18"/>
      <c r="C6" s="18"/>
      <c r="D6" s="18"/>
      <c r="E6" s="18"/>
      <c r="F6" s="18"/>
      <c r="G6" s="18"/>
      <c r="H6" s="18"/>
      <c r="AB6" t="s">
        <v>36</v>
      </c>
      <c r="AC6" t="s">
        <v>44</v>
      </c>
      <c r="AD6" t="s">
        <v>45</v>
      </c>
      <c r="AE6" t="s">
        <v>46</v>
      </c>
      <c r="AF6" t="s">
        <v>47</v>
      </c>
      <c r="AG6" t="s">
        <v>220</v>
      </c>
      <c r="AH6" t="s">
        <v>48</v>
      </c>
    </row>
    <row r="7" spans="1:39" x14ac:dyDescent="0.25">
      <c r="A7" t="s">
        <v>222</v>
      </c>
      <c r="B7" s="18">
        <v>-4.5</v>
      </c>
      <c r="C7" s="18">
        <v>1.8360000000000001</v>
      </c>
      <c r="D7" s="18">
        <v>5.0000000000000001E-3</v>
      </c>
      <c r="E7" s="18">
        <v>-14.05</v>
      </c>
      <c r="F7" s="18">
        <v>-2.3879999999999999</v>
      </c>
      <c r="G7" s="18">
        <v>2.1000000000000001E-2</v>
      </c>
      <c r="H7" s="18" t="s">
        <v>223</v>
      </c>
      <c r="I7" t="s">
        <v>224</v>
      </c>
      <c r="J7" t="s">
        <v>225</v>
      </c>
      <c r="K7" t="s">
        <v>226</v>
      </c>
      <c r="L7" t="s">
        <v>227</v>
      </c>
      <c r="M7" t="s">
        <v>228</v>
      </c>
      <c r="N7" t="s">
        <v>229</v>
      </c>
      <c r="O7" t="s">
        <v>230</v>
      </c>
      <c r="P7" t="s">
        <v>231</v>
      </c>
      <c r="Q7" t="s">
        <v>232</v>
      </c>
      <c r="R7" t="s">
        <v>233</v>
      </c>
      <c r="S7" t="s">
        <v>234</v>
      </c>
      <c r="T7" t="s">
        <v>235</v>
      </c>
      <c r="U7" t="s">
        <v>236</v>
      </c>
      <c r="V7" t="s">
        <v>237</v>
      </c>
      <c r="W7" t="s">
        <v>238</v>
      </c>
      <c r="X7" t="s">
        <v>239</v>
      </c>
      <c r="AB7">
        <v>3</v>
      </c>
      <c r="AC7">
        <v>795</v>
      </c>
      <c r="AD7">
        <v>3536</v>
      </c>
      <c r="AE7">
        <v>3173</v>
      </c>
      <c r="AF7">
        <v>2949</v>
      </c>
      <c r="AG7">
        <v>27</v>
      </c>
      <c r="AH7" s="35">
        <f>AE7-AF7</f>
        <v>224</v>
      </c>
    </row>
    <row r="8" spans="1:39" x14ac:dyDescent="0.25">
      <c r="A8" t="s">
        <v>240</v>
      </c>
      <c r="B8" s="18">
        <v>-4.5</v>
      </c>
      <c r="C8" s="18">
        <v>1.8049999999999999</v>
      </c>
      <c r="D8" s="18">
        <v>1.7999999999999999E-2</v>
      </c>
      <c r="E8" s="18">
        <v>-14.05</v>
      </c>
      <c r="F8" s="18">
        <v>-2.427</v>
      </c>
      <c r="G8" s="18">
        <v>2.5000000000000001E-2</v>
      </c>
      <c r="H8" s="18" t="s">
        <v>223</v>
      </c>
      <c r="I8" t="s">
        <v>241</v>
      </c>
      <c r="J8" t="s">
        <v>242</v>
      </c>
      <c r="K8" t="s">
        <v>243</v>
      </c>
      <c r="L8" t="s">
        <v>244</v>
      </c>
      <c r="M8" t="s">
        <v>229</v>
      </c>
      <c r="N8" t="s">
        <v>245</v>
      </c>
      <c r="O8" t="s">
        <v>246</v>
      </c>
      <c r="P8" t="s">
        <v>247</v>
      </c>
      <c r="Q8" t="s">
        <v>248</v>
      </c>
      <c r="R8" t="s">
        <v>249</v>
      </c>
      <c r="S8" t="s">
        <v>250</v>
      </c>
      <c r="T8" t="s">
        <v>251</v>
      </c>
      <c r="U8" t="s">
        <v>252</v>
      </c>
      <c r="V8" t="s">
        <v>253</v>
      </c>
      <c r="AB8">
        <v>3</v>
      </c>
      <c r="AC8">
        <v>841</v>
      </c>
      <c r="AD8">
        <v>4302</v>
      </c>
      <c r="AE8">
        <v>3851</v>
      </c>
      <c r="AF8">
        <v>3580</v>
      </c>
      <c r="AG8">
        <v>27</v>
      </c>
      <c r="AH8" s="35">
        <f t="shared" ref="AH8:AH33" si="0">AE8-AF8</f>
        <v>271</v>
      </c>
    </row>
    <row r="9" spans="1:39" x14ac:dyDescent="0.25">
      <c r="A9" t="s">
        <v>254</v>
      </c>
      <c r="B9" s="18">
        <v>-4.5</v>
      </c>
      <c r="C9" s="18">
        <v>1.8220000000000001</v>
      </c>
      <c r="D9" s="18">
        <v>2.3E-2</v>
      </c>
      <c r="E9" s="18">
        <v>-14.05</v>
      </c>
      <c r="F9" s="18">
        <v>-2.238</v>
      </c>
      <c r="G9" s="18">
        <v>2.5000000000000001E-2</v>
      </c>
      <c r="H9" s="18" t="s">
        <v>255</v>
      </c>
      <c r="I9" t="s">
        <v>256</v>
      </c>
      <c r="J9" t="s">
        <v>242</v>
      </c>
      <c r="K9" t="s">
        <v>257</v>
      </c>
      <c r="L9" t="s">
        <v>258</v>
      </c>
      <c r="M9" t="s">
        <v>229</v>
      </c>
      <c r="N9" t="s">
        <v>259</v>
      </c>
      <c r="O9" t="s">
        <v>260</v>
      </c>
      <c r="P9" t="s">
        <v>261</v>
      </c>
      <c r="Q9" t="s">
        <v>233</v>
      </c>
      <c r="R9" t="s">
        <v>234</v>
      </c>
      <c r="S9" t="s">
        <v>262</v>
      </c>
      <c r="T9" t="s">
        <v>263</v>
      </c>
      <c r="U9" t="s">
        <v>264</v>
      </c>
      <c r="V9" t="s">
        <v>265</v>
      </c>
      <c r="W9" t="s">
        <v>266</v>
      </c>
      <c r="AB9">
        <v>3</v>
      </c>
      <c r="AC9">
        <v>466</v>
      </c>
      <c r="AD9">
        <v>1138</v>
      </c>
      <c r="AE9">
        <v>1063</v>
      </c>
      <c r="AF9">
        <v>992</v>
      </c>
      <c r="AG9">
        <v>9</v>
      </c>
      <c r="AH9" s="35">
        <f t="shared" si="0"/>
        <v>71</v>
      </c>
    </row>
    <row r="10" spans="1:39" x14ac:dyDescent="0.25">
      <c r="A10" s="27" t="s">
        <v>267</v>
      </c>
      <c r="B10" s="28">
        <v>1.804</v>
      </c>
      <c r="C10" s="28">
        <v>1.798</v>
      </c>
      <c r="D10" s="28">
        <v>8.9999999999999993E-3</v>
      </c>
      <c r="E10" s="28">
        <v>-3.0859999999999999</v>
      </c>
      <c r="F10" s="28">
        <v>-2.8780000000000001</v>
      </c>
      <c r="G10" s="28">
        <v>6.6000000000000003E-2</v>
      </c>
      <c r="H10" s="28" t="s">
        <v>255</v>
      </c>
      <c r="I10" s="27" t="s">
        <v>268</v>
      </c>
      <c r="J10" s="27" t="s">
        <v>242</v>
      </c>
      <c r="K10" s="27" t="s">
        <v>269</v>
      </c>
      <c r="L10" s="27" t="s">
        <v>270</v>
      </c>
      <c r="M10" s="27" t="s">
        <v>229</v>
      </c>
      <c r="N10" s="27" t="s">
        <v>271</v>
      </c>
      <c r="O10" s="27" t="s">
        <v>272</v>
      </c>
      <c r="P10" s="27" t="s">
        <v>273</v>
      </c>
      <c r="Q10" s="27" t="s">
        <v>234</v>
      </c>
      <c r="R10" s="27" t="s">
        <v>274</v>
      </c>
      <c r="S10" s="27" t="s">
        <v>275</v>
      </c>
      <c r="T10" s="27" t="s">
        <v>276</v>
      </c>
      <c r="U10" s="27" t="s">
        <v>277</v>
      </c>
      <c r="V10" s="27" t="s">
        <v>278</v>
      </c>
      <c r="W10" s="27"/>
      <c r="X10" s="27"/>
      <c r="Y10" s="27"/>
      <c r="Z10" s="27"/>
      <c r="AA10" s="27"/>
      <c r="AB10">
        <v>3</v>
      </c>
      <c r="AC10" s="27">
        <v>434</v>
      </c>
      <c r="AD10" s="27">
        <v>929</v>
      </c>
      <c r="AE10" s="27">
        <v>872</v>
      </c>
      <c r="AF10" s="27">
        <v>897</v>
      </c>
      <c r="AG10" s="27">
        <v>9</v>
      </c>
      <c r="AH10" s="35">
        <f t="shared" si="0"/>
        <v>-25</v>
      </c>
      <c r="AI10" s="27"/>
      <c r="AJ10" s="27"/>
      <c r="AK10" s="27"/>
      <c r="AL10" s="27"/>
      <c r="AM10" s="27"/>
    </row>
    <row r="11" spans="1:39" x14ac:dyDescent="0.25">
      <c r="A11" t="s">
        <v>286</v>
      </c>
      <c r="B11" s="18">
        <v>-4.5</v>
      </c>
      <c r="C11" s="18">
        <v>1.865</v>
      </c>
      <c r="D11" s="18">
        <v>1.6E-2</v>
      </c>
      <c r="E11" s="18">
        <v>-14.05</v>
      </c>
      <c r="F11" s="18">
        <v>-2.6259999999999999</v>
      </c>
      <c r="G11" s="18">
        <v>7.3999999999999996E-2</v>
      </c>
      <c r="H11" s="18" t="s">
        <v>255</v>
      </c>
      <c r="I11" t="s">
        <v>287</v>
      </c>
      <c r="J11" t="s">
        <v>242</v>
      </c>
      <c r="K11" t="s">
        <v>288</v>
      </c>
      <c r="L11" t="s">
        <v>289</v>
      </c>
      <c r="M11" t="s">
        <v>229</v>
      </c>
      <c r="N11" t="s">
        <v>290</v>
      </c>
      <c r="O11" t="s">
        <v>291</v>
      </c>
      <c r="P11" t="s">
        <v>292</v>
      </c>
      <c r="Q11" t="s">
        <v>273</v>
      </c>
      <c r="R11" t="s">
        <v>282</v>
      </c>
      <c r="S11" t="s">
        <v>293</v>
      </c>
      <c r="T11" t="s">
        <v>294</v>
      </c>
      <c r="U11" t="s">
        <v>295</v>
      </c>
      <c r="V11" t="s">
        <v>296</v>
      </c>
      <c r="W11" t="s">
        <v>297</v>
      </c>
      <c r="AB11">
        <v>3</v>
      </c>
      <c r="AC11">
        <v>558</v>
      </c>
      <c r="AD11">
        <v>1564</v>
      </c>
      <c r="AE11">
        <v>1364</v>
      </c>
      <c r="AF11">
        <v>1269</v>
      </c>
      <c r="AG11">
        <v>9</v>
      </c>
      <c r="AH11" s="35">
        <f t="shared" si="0"/>
        <v>95</v>
      </c>
    </row>
    <row r="12" spans="1:39" x14ac:dyDescent="0.25">
      <c r="A12" t="s">
        <v>299</v>
      </c>
      <c r="B12" s="18">
        <v>-4.5</v>
      </c>
      <c r="C12" s="18">
        <v>1.8340000000000001</v>
      </c>
      <c r="D12" s="18">
        <v>2.4E-2</v>
      </c>
      <c r="E12" s="18">
        <v>-14.05</v>
      </c>
      <c r="F12" s="18">
        <v>-2.9790000000000001</v>
      </c>
      <c r="G12" s="18">
        <v>3.7999999999999999E-2</v>
      </c>
      <c r="H12" s="18" t="s">
        <v>255</v>
      </c>
      <c r="I12" t="s">
        <v>300</v>
      </c>
      <c r="J12" t="s">
        <v>242</v>
      </c>
      <c r="K12" t="s">
        <v>257</v>
      </c>
      <c r="L12" t="s">
        <v>301</v>
      </c>
      <c r="M12" t="s">
        <v>229</v>
      </c>
      <c r="N12" t="s">
        <v>302</v>
      </c>
      <c r="O12" t="s">
        <v>303</v>
      </c>
      <c r="P12" t="s">
        <v>247</v>
      </c>
      <c r="Q12" t="s">
        <v>282</v>
      </c>
      <c r="R12" t="s">
        <v>304</v>
      </c>
      <c r="S12" t="s">
        <v>305</v>
      </c>
      <c r="T12" t="s">
        <v>306</v>
      </c>
      <c r="U12" t="s">
        <v>307</v>
      </c>
      <c r="V12" t="s">
        <v>308</v>
      </c>
      <c r="AB12">
        <v>3</v>
      </c>
      <c r="AC12">
        <v>402</v>
      </c>
      <c r="AD12">
        <v>896</v>
      </c>
      <c r="AE12">
        <v>840</v>
      </c>
      <c r="AF12">
        <v>867</v>
      </c>
      <c r="AG12">
        <v>9</v>
      </c>
      <c r="AH12" s="35">
        <f t="shared" si="0"/>
        <v>-27</v>
      </c>
    </row>
    <row r="13" spans="1:39" x14ac:dyDescent="0.25">
      <c r="A13" t="s">
        <v>309</v>
      </c>
      <c r="B13" s="18">
        <v>-4.5</v>
      </c>
      <c r="C13" s="18">
        <v>1.871</v>
      </c>
      <c r="D13" s="18">
        <v>1.9E-2</v>
      </c>
      <c r="E13" s="18">
        <v>-14.05</v>
      </c>
      <c r="F13" s="18">
        <v>-2.4540000000000002</v>
      </c>
      <c r="G13" s="18">
        <v>2.9000000000000001E-2</v>
      </c>
      <c r="H13" s="18" t="s">
        <v>255</v>
      </c>
      <c r="I13" t="s">
        <v>298</v>
      </c>
      <c r="J13" t="s">
        <v>242</v>
      </c>
      <c r="K13" t="s">
        <v>257</v>
      </c>
      <c r="L13" t="s">
        <v>310</v>
      </c>
      <c r="M13" t="s">
        <v>229</v>
      </c>
      <c r="N13" t="s">
        <v>311</v>
      </c>
      <c r="O13" t="s">
        <v>312</v>
      </c>
      <c r="P13" t="s">
        <v>273</v>
      </c>
      <c r="Q13" t="s">
        <v>234</v>
      </c>
      <c r="R13" t="s">
        <v>283</v>
      </c>
      <c r="S13" t="s">
        <v>284</v>
      </c>
      <c r="T13" t="s">
        <v>306</v>
      </c>
      <c r="U13" t="s">
        <v>313</v>
      </c>
      <c r="V13" t="s">
        <v>314</v>
      </c>
      <c r="AB13">
        <v>3</v>
      </c>
      <c r="AC13">
        <v>554</v>
      </c>
      <c r="AD13">
        <v>1580</v>
      </c>
      <c r="AE13">
        <v>1413</v>
      </c>
      <c r="AF13">
        <v>1315</v>
      </c>
      <c r="AG13">
        <v>18</v>
      </c>
      <c r="AH13" s="35">
        <f t="shared" si="0"/>
        <v>98</v>
      </c>
    </row>
    <row r="14" spans="1:39" x14ac:dyDescent="0.25">
      <c r="A14" t="s">
        <v>315</v>
      </c>
      <c r="B14" s="18">
        <v>-4.5</v>
      </c>
      <c r="C14" s="18">
        <v>1.84</v>
      </c>
      <c r="D14" s="18">
        <v>0.02</v>
      </c>
      <c r="E14" s="18">
        <v>-14.05</v>
      </c>
      <c r="F14" s="18">
        <v>-2.702</v>
      </c>
      <c r="G14" s="18">
        <v>5.5E-2</v>
      </c>
      <c r="H14" s="18" t="s">
        <v>255</v>
      </c>
      <c r="I14" t="s">
        <v>316</v>
      </c>
      <c r="J14" t="s">
        <v>242</v>
      </c>
      <c r="K14" t="s">
        <v>257</v>
      </c>
      <c r="L14" t="s">
        <v>317</v>
      </c>
      <c r="M14" t="s">
        <v>229</v>
      </c>
      <c r="N14" t="s">
        <v>318</v>
      </c>
      <c r="O14" t="s">
        <v>319</v>
      </c>
      <c r="P14" t="s">
        <v>320</v>
      </c>
      <c r="Q14" t="s">
        <v>282</v>
      </c>
      <c r="R14" t="s">
        <v>321</v>
      </c>
      <c r="S14" t="s">
        <v>322</v>
      </c>
      <c r="T14" t="s">
        <v>323</v>
      </c>
      <c r="U14" t="s">
        <v>324</v>
      </c>
      <c r="V14" t="s">
        <v>325</v>
      </c>
      <c r="AB14">
        <v>3</v>
      </c>
      <c r="AC14">
        <v>593</v>
      </c>
      <c r="AD14">
        <v>1821</v>
      </c>
      <c r="AE14">
        <v>1582</v>
      </c>
      <c r="AF14">
        <v>1489</v>
      </c>
      <c r="AG14">
        <v>18</v>
      </c>
      <c r="AH14" s="35">
        <f t="shared" si="0"/>
        <v>93</v>
      </c>
    </row>
    <row r="15" spans="1:39" x14ac:dyDescent="0.25">
      <c r="A15" t="s">
        <v>328</v>
      </c>
      <c r="B15" s="18">
        <v>-4.5</v>
      </c>
      <c r="C15" s="18">
        <v>1.8440000000000001</v>
      </c>
      <c r="D15" s="18">
        <v>1.2E-2</v>
      </c>
      <c r="E15" s="18">
        <v>-14.05</v>
      </c>
      <c r="F15" s="18">
        <v>-2.4990000000000001</v>
      </c>
      <c r="G15" s="18">
        <v>3.1E-2</v>
      </c>
      <c r="H15" s="18" t="s">
        <v>255</v>
      </c>
      <c r="I15" t="s">
        <v>268</v>
      </c>
      <c r="J15" t="s">
        <v>242</v>
      </c>
      <c r="K15" t="s">
        <v>243</v>
      </c>
      <c r="L15" t="s">
        <v>329</v>
      </c>
      <c r="M15" t="s">
        <v>229</v>
      </c>
      <c r="N15" t="s">
        <v>330</v>
      </c>
      <c r="O15" t="s">
        <v>281</v>
      </c>
      <c r="P15" t="s">
        <v>327</v>
      </c>
      <c r="Q15" t="s">
        <v>234</v>
      </c>
      <c r="R15" t="s">
        <v>283</v>
      </c>
      <c r="S15" t="s">
        <v>305</v>
      </c>
      <c r="T15" t="s">
        <v>331</v>
      </c>
      <c r="U15" t="s">
        <v>332</v>
      </c>
      <c r="V15" t="s">
        <v>333</v>
      </c>
      <c r="AB15">
        <v>3</v>
      </c>
      <c r="AC15">
        <v>621</v>
      </c>
      <c r="AD15">
        <v>1962</v>
      </c>
      <c r="AE15">
        <v>1704</v>
      </c>
      <c r="AF15">
        <v>1590</v>
      </c>
      <c r="AG15">
        <v>18</v>
      </c>
      <c r="AH15" s="35">
        <f t="shared" si="0"/>
        <v>114</v>
      </c>
    </row>
    <row r="16" spans="1:39" x14ac:dyDescent="0.25">
      <c r="A16" t="s">
        <v>334</v>
      </c>
      <c r="B16" s="18">
        <v>-4.5</v>
      </c>
      <c r="C16" s="18">
        <v>1.6859999999999999</v>
      </c>
      <c r="D16" s="18">
        <v>1.2999999999999999E-2</v>
      </c>
      <c r="E16" s="18">
        <v>-14.05</v>
      </c>
      <c r="F16" s="18">
        <v>-2.7919999999999998</v>
      </c>
      <c r="G16" s="18">
        <v>1.4E-2</v>
      </c>
      <c r="H16" s="18" t="s">
        <v>255</v>
      </c>
      <c r="I16" t="s">
        <v>285</v>
      </c>
      <c r="J16" t="s">
        <v>242</v>
      </c>
      <c r="K16" t="s">
        <v>243</v>
      </c>
      <c r="L16" t="s">
        <v>335</v>
      </c>
      <c r="M16" t="s">
        <v>229</v>
      </c>
      <c r="N16" t="s">
        <v>336</v>
      </c>
      <c r="O16" t="s">
        <v>337</v>
      </c>
      <c r="P16" t="s">
        <v>273</v>
      </c>
      <c r="Q16" t="s">
        <v>234</v>
      </c>
      <c r="R16" t="s">
        <v>274</v>
      </c>
      <c r="S16" t="s">
        <v>338</v>
      </c>
      <c r="T16" t="s">
        <v>251</v>
      </c>
      <c r="U16" t="s">
        <v>339</v>
      </c>
      <c r="V16" t="s">
        <v>340</v>
      </c>
      <c r="AB16">
        <v>3</v>
      </c>
      <c r="AC16">
        <v>618</v>
      </c>
      <c r="AD16">
        <v>2070</v>
      </c>
      <c r="AE16">
        <v>1876</v>
      </c>
      <c r="AF16">
        <v>1746</v>
      </c>
      <c r="AG16">
        <v>18</v>
      </c>
      <c r="AH16" s="35">
        <f t="shared" si="0"/>
        <v>130</v>
      </c>
    </row>
    <row r="17" spans="1:34" x14ac:dyDescent="0.25">
      <c r="A17" t="s">
        <v>341</v>
      </c>
      <c r="B17" s="18">
        <v>-4.5</v>
      </c>
      <c r="C17" s="18">
        <v>1.823</v>
      </c>
      <c r="D17" s="18">
        <v>5.0000000000000001E-3</v>
      </c>
      <c r="E17" s="18">
        <v>-14.05</v>
      </c>
      <c r="F17" s="18">
        <v>-2.407</v>
      </c>
      <c r="G17" s="18">
        <v>3.3000000000000002E-2</v>
      </c>
      <c r="H17" s="18" t="s">
        <v>255</v>
      </c>
      <c r="I17" t="s">
        <v>342</v>
      </c>
      <c r="J17" t="s">
        <v>242</v>
      </c>
      <c r="K17" t="s">
        <v>269</v>
      </c>
      <c r="L17" t="s">
        <v>343</v>
      </c>
      <c r="M17" t="s">
        <v>229</v>
      </c>
      <c r="N17" t="s">
        <v>344</v>
      </c>
      <c r="O17" t="s">
        <v>345</v>
      </c>
      <c r="P17" t="s">
        <v>247</v>
      </c>
      <c r="Q17" t="s">
        <v>234</v>
      </c>
      <c r="R17" t="s">
        <v>346</v>
      </c>
      <c r="S17" t="s">
        <v>347</v>
      </c>
      <c r="T17" t="s">
        <v>348</v>
      </c>
      <c r="U17" t="s">
        <v>349</v>
      </c>
      <c r="V17" t="s">
        <v>350</v>
      </c>
      <c r="AB17">
        <v>3</v>
      </c>
      <c r="AC17">
        <v>568</v>
      </c>
      <c r="AD17">
        <v>1576</v>
      </c>
      <c r="AE17">
        <v>1400</v>
      </c>
      <c r="AF17">
        <v>1303</v>
      </c>
      <c r="AG17">
        <v>18</v>
      </c>
      <c r="AH17" s="35">
        <f t="shared" si="0"/>
        <v>97</v>
      </c>
    </row>
    <row r="18" spans="1:34" x14ac:dyDescent="0.25">
      <c r="A18" t="s">
        <v>353</v>
      </c>
      <c r="B18" s="18">
        <v>-4.5</v>
      </c>
      <c r="C18" s="18">
        <v>1.8480000000000001</v>
      </c>
      <c r="D18" s="18">
        <v>1.0999999999999999E-2</v>
      </c>
      <c r="E18" s="18">
        <v>-14.05</v>
      </c>
      <c r="F18" s="18">
        <v>-2.6280000000000001</v>
      </c>
      <c r="G18" s="18">
        <v>2.3E-2</v>
      </c>
      <c r="H18" s="18" t="s">
        <v>255</v>
      </c>
      <c r="I18" t="s">
        <v>354</v>
      </c>
      <c r="J18" t="s">
        <v>242</v>
      </c>
      <c r="K18" t="s">
        <v>243</v>
      </c>
      <c r="L18" t="s">
        <v>355</v>
      </c>
      <c r="M18" t="s">
        <v>229</v>
      </c>
      <c r="N18" t="s">
        <v>356</v>
      </c>
      <c r="O18" t="s">
        <v>357</v>
      </c>
      <c r="P18" t="s">
        <v>327</v>
      </c>
      <c r="Q18" t="s">
        <v>234</v>
      </c>
      <c r="R18" t="s">
        <v>358</v>
      </c>
      <c r="S18" t="s">
        <v>275</v>
      </c>
      <c r="T18" t="s">
        <v>359</v>
      </c>
      <c r="U18" t="s">
        <v>360</v>
      </c>
      <c r="V18" t="s">
        <v>361</v>
      </c>
      <c r="AB18">
        <v>3</v>
      </c>
      <c r="AC18">
        <v>660</v>
      </c>
      <c r="AD18">
        <v>2249</v>
      </c>
      <c r="AE18">
        <v>1970</v>
      </c>
      <c r="AF18">
        <v>1829</v>
      </c>
      <c r="AG18">
        <v>18</v>
      </c>
      <c r="AH18" s="35">
        <f t="shared" si="0"/>
        <v>141</v>
      </c>
    </row>
    <row r="19" spans="1:34" x14ac:dyDescent="0.25">
      <c r="A19" t="s">
        <v>362</v>
      </c>
      <c r="B19" s="18">
        <v>-4.5</v>
      </c>
      <c r="C19" s="18">
        <v>1.855</v>
      </c>
      <c r="D19" s="18">
        <v>8.9999999999999993E-3</v>
      </c>
      <c r="E19" s="18">
        <v>-14.05</v>
      </c>
      <c r="F19" s="18">
        <v>-2.5179999999999998</v>
      </c>
      <c r="G19" s="18">
        <v>2.7E-2</v>
      </c>
      <c r="H19" s="18" t="s">
        <v>255</v>
      </c>
      <c r="I19" t="s">
        <v>363</v>
      </c>
      <c r="J19" t="s">
        <v>242</v>
      </c>
      <c r="K19" t="s">
        <v>326</v>
      </c>
      <c r="L19" t="s">
        <v>364</v>
      </c>
      <c r="M19" t="s">
        <v>229</v>
      </c>
      <c r="N19" t="s">
        <v>365</v>
      </c>
      <c r="O19" t="s">
        <v>366</v>
      </c>
      <c r="P19" t="s">
        <v>233</v>
      </c>
      <c r="Q19" t="s">
        <v>234</v>
      </c>
      <c r="R19" t="s">
        <v>367</v>
      </c>
      <c r="S19" t="s">
        <v>347</v>
      </c>
      <c r="T19" t="s">
        <v>368</v>
      </c>
      <c r="U19" t="s">
        <v>369</v>
      </c>
      <c r="V19" t="s">
        <v>370</v>
      </c>
      <c r="AB19">
        <v>3</v>
      </c>
      <c r="AC19">
        <v>636</v>
      </c>
      <c r="AD19">
        <v>1873</v>
      </c>
      <c r="AE19">
        <v>1664</v>
      </c>
      <c r="AF19">
        <v>1553</v>
      </c>
      <c r="AG19">
        <v>18</v>
      </c>
      <c r="AH19" s="35">
        <f t="shared" si="0"/>
        <v>111</v>
      </c>
    </row>
    <row r="20" spans="1:34" x14ac:dyDescent="0.25">
      <c r="A20" t="s">
        <v>371</v>
      </c>
      <c r="B20" s="18">
        <v>-4.5</v>
      </c>
      <c r="C20" s="18">
        <v>1.8819999999999999</v>
      </c>
      <c r="D20" s="18">
        <v>0.01</v>
      </c>
      <c r="E20" s="18">
        <v>-14.05</v>
      </c>
      <c r="F20" s="18">
        <v>-2.4089999999999998</v>
      </c>
      <c r="G20" s="18">
        <v>2.1000000000000001E-2</v>
      </c>
      <c r="H20" s="18" t="s">
        <v>102</v>
      </c>
      <c r="I20" t="s">
        <v>354</v>
      </c>
      <c r="J20" t="s">
        <v>242</v>
      </c>
      <c r="K20" t="s">
        <v>257</v>
      </c>
      <c r="L20" t="s">
        <v>372</v>
      </c>
      <c r="M20" t="s">
        <v>229</v>
      </c>
      <c r="N20" t="s">
        <v>373</v>
      </c>
      <c r="O20" t="s">
        <v>374</v>
      </c>
      <c r="P20" t="s">
        <v>375</v>
      </c>
      <c r="Q20" t="s">
        <v>233</v>
      </c>
      <c r="R20" t="s">
        <v>234</v>
      </c>
      <c r="S20" t="s">
        <v>376</v>
      </c>
      <c r="T20" t="s">
        <v>377</v>
      </c>
      <c r="U20" t="s">
        <v>378</v>
      </c>
      <c r="V20" t="s">
        <v>379</v>
      </c>
      <c r="W20" t="s">
        <v>380</v>
      </c>
      <c r="AB20">
        <v>3</v>
      </c>
      <c r="AC20">
        <v>760</v>
      </c>
      <c r="AD20">
        <v>2967</v>
      </c>
      <c r="AE20">
        <v>2593</v>
      </c>
      <c r="AF20">
        <v>2411</v>
      </c>
      <c r="AG20">
        <v>27</v>
      </c>
      <c r="AH20" s="35">
        <f t="shared" si="0"/>
        <v>182</v>
      </c>
    </row>
    <row r="21" spans="1:34" x14ac:dyDescent="0.25">
      <c r="A21" t="s">
        <v>381</v>
      </c>
      <c r="B21" s="18">
        <v>-4.5</v>
      </c>
      <c r="C21" s="18">
        <v>1.867</v>
      </c>
      <c r="D21" s="18">
        <v>6.0000000000000001E-3</v>
      </c>
      <c r="E21" s="18">
        <v>-14.05</v>
      </c>
      <c r="F21" s="18">
        <v>-2.431</v>
      </c>
      <c r="G21" s="18">
        <v>1.0999999999999999E-2</v>
      </c>
      <c r="H21" s="18" t="s">
        <v>102</v>
      </c>
      <c r="I21" t="s">
        <v>382</v>
      </c>
      <c r="J21" t="s">
        <v>242</v>
      </c>
      <c r="K21" t="s">
        <v>269</v>
      </c>
      <c r="L21" t="s">
        <v>383</v>
      </c>
      <c r="M21" t="s">
        <v>229</v>
      </c>
      <c r="N21" t="s">
        <v>384</v>
      </c>
      <c r="O21" t="s">
        <v>385</v>
      </c>
      <c r="P21" t="s">
        <v>273</v>
      </c>
      <c r="Q21" t="s">
        <v>234</v>
      </c>
      <c r="R21" t="s">
        <v>386</v>
      </c>
      <c r="S21" t="s">
        <v>387</v>
      </c>
      <c r="T21" t="s">
        <v>388</v>
      </c>
      <c r="U21" t="s">
        <v>389</v>
      </c>
      <c r="V21" t="s">
        <v>390</v>
      </c>
      <c r="AB21">
        <v>3</v>
      </c>
      <c r="AC21">
        <v>728</v>
      </c>
      <c r="AD21">
        <v>2588</v>
      </c>
      <c r="AE21">
        <v>2272</v>
      </c>
      <c r="AF21">
        <v>2112</v>
      </c>
      <c r="AG21">
        <v>27</v>
      </c>
      <c r="AH21" s="35">
        <f t="shared" si="0"/>
        <v>160</v>
      </c>
    </row>
    <row r="22" spans="1:34" x14ac:dyDescent="0.25">
      <c r="A22" t="s">
        <v>391</v>
      </c>
      <c r="B22" s="18">
        <v>-4.5</v>
      </c>
      <c r="C22" s="18">
        <v>1.841</v>
      </c>
      <c r="D22" s="18">
        <v>8.0000000000000002E-3</v>
      </c>
      <c r="E22" s="18">
        <v>-14.05</v>
      </c>
      <c r="F22" s="18">
        <v>-2.4969999999999999</v>
      </c>
      <c r="G22" s="18">
        <v>2.1999999999999999E-2</v>
      </c>
      <c r="H22" s="18" t="s">
        <v>102</v>
      </c>
      <c r="I22" t="s">
        <v>354</v>
      </c>
      <c r="J22" t="s">
        <v>242</v>
      </c>
      <c r="K22" t="s">
        <v>269</v>
      </c>
      <c r="L22" t="s">
        <v>392</v>
      </c>
      <c r="M22" t="s">
        <v>229</v>
      </c>
      <c r="N22" t="s">
        <v>393</v>
      </c>
      <c r="O22" t="s">
        <v>394</v>
      </c>
      <c r="P22" t="s">
        <v>233</v>
      </c>
      <c r="Q22" t="s">
        <v>234</v>
      </c>
      <c r="R22" t="s">
        <v>395</v>
      </c>
      <c r="S22" t="s">
        <v>396</v>
      </c>
      <c r="T22" t="s">
        <v>397</v>
      </c>
      <c r="U22" t="s">
        <v>398</v>
      </c>
      <c r="V22" t="s">
        <v>399</v>
      </c>
      <c r="AB22">
        <v>3</v>
      </c>
      <c r="AC22">
        <v>823</v>
      </c>
      <c r="AD22">
        <v>3470</v>
      </c>
      <c r="AE22">
        <v>3082</v>
      </c>
      <c r="AF22">
        <v>2867</v>
      </c>
      <c r="AG22">
        <v>27</v>
      </c>
      <c r="AH22" s="35">
        <f t="shared" si="0"/>
        <v>215</v>
      </c>
    </row>
    <row r="23" spans="1:34" x14ac:dyDescent="0.25">
      <c r="A23" t="s">
        <v>400</v>
      </c>
      <c r="B23" s="18">
        <v>-4.5</v>
      </c>
      <c r="C23" s="18">
        <v>1.8169999999999999</v>
      </c>
      <c r="D23" s="18">
        <v>1.2E-2</v>
      </c>
      <c r="E23" s="18">
        <v>-14.05</v>
      </c>
      <c r="F23" s="18">
        <v>-2.6080000000000001</v>
      </c>
      <c r="G23" s="18">
        <v>2.8000000000000001E-2</v>
      </c>
      <c r="H23" s="18" t="s">
        <v>102</v>
      </c>
      <c r="I23" t="s">
        <v>401</v>
      </c>
      <c r="J23" t="s">
        <v>242</v>
      </c>
      <c r="K23" t="s">
        <v>326</v>
      </c>
      <c r="L23" t="s">
        <v>402</v>
      </c>
      <c r="M23" t="s">
        <v>229</v>
      </c>
      <c r="N23" t="s">
        <v>403</v>
      </c>
      <c r="O23" t="s">
        <v>404</v>
      </c>
      <c r="P23" t="s">
        <v>233</v>
      </c>
      <c r="Q23" t="s">
        <v>234</v>
      </c>
      <c r="R23" t="s">
        <v>405</v>
      </c>
      <c r="S23" t="s">
        <v>406</v>
      </c>
      <c r="T23" t="s">
        <v>407</v>
      </c>
      <c r="U23" t="s">
        <v>408</v>
      </c>
      <c r="V23" t="s">
        <v>409</v>
      </c>
      <c r="AB23">
        <v>3</v>
      </c>
      <c r="AC23">
        <v>714</v>
      </c>
      <c r="AD23">
        <v>2395</v>
      </c>
      <c r="AE23">
        <v>2100</v>
      </c>
      <c r="AF23">
        <v>1953</v>
      </c>
      <c r="AG23">
        <v>27</v>
      </c>
      <c r="AH23" s="35">
        <f t="shared" si="0"/>
        <v>147</v>
      </c>
    </row>
    <row r="24" spans="1:34" x14ac:dyDescent="0.25">
      <c r="A24" t="s">
        <v>410</v>
      </c>
      <c r="B24" s="18">
        <v>-4.5</v>
      </c>
      <c r="C24" s="18">
        <v>1.833</v>
      </c>
      <c r="D24" s="18">
        <v>1.2999999999999999E-2</v>
      </c>
      <c r="E24" s="18">
        <v>-14.05</v>
      </c>
      <c r="F24" s="18">
        <v>-2.431</v>
      </c>
      <c r="G24" s="18">
        <v>1.9E-2</v>
      </c>
      <c r="H24" s="18" t="s">
        <v>102</v>
      </c>
      <c r="I24" t="s">
        <v>285</v>
      </c>
      <c r="J24" t="s">
        <v>242</v>
      </c>
      <c r="K24" t="s">
        <v>326</v>
      </c>
      <c r="L24" t="s">
        <v>392</v>
      </c>
      <c r="M24" t="s">
        <v>229</v>
      </c>
      <c r="N24" t="s">
        <v>393</v>
      </c>
      <c r="O24" t="s">
        <v>411</v>
      </c>
      <c r="P24" t="s">
        <v>412</v>
      </c>
      <c r="Q24" t="s">
        <v>234</v>
      </c>
      <c r="R24" t="s">
        <v>413</v>
      </c>
      <c r="S24" t="s">
        <v>414</v>
      </c>
      <c r="T24" t="s">
        <v>415</v>
      </c>
      <c r="U24" t="s">
        <v>416</v>
      </c>
      <c r="V24" t="s">
        <v>417</v>
      </c>
      <c r="AB24">
        <v>3</v>
      </c>
      <c r="AC24">
        <v>823</v>
      </c>
      <c r="AD24">
        <v>3492</v>
      </c>
      <c r="AE24">
        <v>3086</v>
      </c>
      <c r="AF24">
        <v>2872</v>
      </c>
      <c r="AG24">
        <v>27</v>
      </c>
      <c r="AH24" s="35">
        <f t="shared" si="0"/>
        <v>214</v>
      </c>
    </row>
    <row r="25" spans="1:34" x14ac:dyDescent="0.25">
      <c r="A25" t="s">
        <v>418</v>
      </c>
      <c r="B25" s="18">
        <v>-4.5</v>
      </c>
      <c r="C25" s="18">
        <v>1.825</v>
      </c>
      <c r="D25" s="18">
        <v>7.0000000000000001E-3</v>
      </c>
      <c r="E25" s="18">
        <v>-14.05</v>
      </c>
      <c r="F25" s="18">
        <v>-2.46</v>
      </c>
      <c r="G25" s="18">
        <v>2.8000000000000001E-2</v>
      </c>
      <c r="H25" s="18" t="s">
        <v>102</v>
      </c>
      <c r="I25" t="s">
        <v>419</v>
      </c>
      <c r="J25" t="s">
        <v>242</v>
      </c>
      <c r="K25" t="s">
        <v>326</v>
      </c>
      <c r="L25" t="s">
        <v>420</v>
      </c>
      <c r="M25" t="s">
        <v>229</v>
      </c>
      <c r="N25" t="s">
        <v>421</v>
      </c>
      <c r="O25" t="s">
        <v>422</v>
      </c>
      <c r="P25" t="s">
        <v>273</v>
      </c>
      <c r="Q25" t="s">
        <v>234</v>
      </c>
      <c r="R25" t="s">
        <v>423</v>
      </c>
      <c r="S25" t="s">
        <v>424</v>
      </c>
      <c r="T25" t="s">
        <v>425</v>
      </c>
      <c r="U25" t="s">
        <v>426</v>
      </c>
      <c r="V25" t="s">
        <v>427</v>
      </c>
      <c r="AB25">
        <v>3</v>
      </c>
      <c r="AC25">
        <v>742</v>
      </c>
      <c r="AD25">
        <v>2649</v>
      </c>
      <c r="AE25">
        <v>2397</v>
      </c>
      <c r="AF25">
        <v>2231</v>
      </c>
      <c r="AG25">
        <v>27</v>
      </c>
      <c r="AH25" s="35">
        <f t="shared" si="0"/>
        <v>166</v>
      </c>
    </row>
    <row r="26" spans="1:34" x14ac:dyDescent="0.25">
      <c r="A26" t="s">
        <v>428</v>
      </c>
      <c r="B26" s="18">
        <v>-4.5</v>
      </c>
      <c r="C26" s="18">
        <v>1.8580000000000001</v>
      </c>
      <c r="D26" s="18">
        <v>1.0999999999999999E-2</v>
      </c>
      <c r="E26" s="18">
        <v>-14.05</v>
      </c>
      <c r="F26" s="18">
        <v>-2.4609999999999999</v>
      </c>
      <c r="G26" s="18">
        <v>1.4E-2</v>
      </c>
      <c r="H26" s="18" t="s">
        <v>102</v>
      </c>
      <c r="I26" t="s">
        <v>285</v>
      </c>
      <c r="J26" t="s">
        <v>242</v>
      </c>
      <c r="K26" t="s">
        <v>326</v>
      </c>
      <c r="L26" t="s">
        <v>429</v>
      </c>
      <c r="M26" t="s">
        <v>229</v>
      </c>
      <c r="N26" t="s">
        <v>430</v>
      </c>
      <c r="O26" t="s">
        <v>431</v>
      </c>
      <c r="P26" t="s">
        <v>375</v>
      </c>
      <c r="Q26" t="s">
        <v>412</v>
      </c>
      <c r="R26" t="s">
        <v>234</v>
      </c>
      <c r="S26" t="s">
        <v>432</v>
      </c>
      <c r="T26" t="s">
        <v>433</v>
      </c>
      <c r="U26" t="s">
        <v>434</v>
      </c>
      <c r="V26" t="s">
        <v>435</v>
      </c>
      <c r="W26" t="s">
        <v>436</v>
      </c>
      <c r="AB26">
        <v>3</v>
      </c>
      <c r="AC26">
        <v>827</v>
      </c>
      <c r="AD26">
        <v>3509</v>
      </c>
      <c r="AE26">
        <v>3110</v>
      </c>
      <c r="AF26">
        <v>2893</v>
      </c>
      <c r="AG26">
        <v>27</v>
      </c>
      <c r="AH26" s="35">
        <f t="shared" si="0"/>
        <v>217</v>
      </c>
    </row>
    <row r="27" spans="1:34" x14ac:dyDescent="0.25">
      <c r="A27" t="s">
        <v>437</v>
      </c>
      <c r="B27" s="18">
        <v>-4.5</v>
      </c>
      <c r="C27" s="18">
        <v>1.772</v>
      </c>
      <c r="D27" s="18">
        <v>0.02</v>
      </c>
      <c r="E27" s="18">
        <v>-14.05</v>
      </c>
      <c r="F27" s="18">
        <v>-2.7360000000000002</v>
      </c>
      <c r="G27" s="18">
        <v>1.6E-2</v>
      </c>
      <c r="H27" s="18" t="s">
        <v>102</v>
      </c>
      <c r="I27" t="s">
        <v>363</v>
      </c>
      <c r="J27" t="s">
        <v>242</v>
      </c>
      <c r="K27" t="s">
        <v>326</v>
      </c>
      <c r="L27" t="s">
        <v>438</v>
      </c>
      <c r="M27" t="s">
        <v>229</v>
      </c>
      <c r="N27" t="s">
        <v>439</v>
      </c>
      <c r="O27" t="s">
        <v>440</v>
      </c>
      <c r="P27" t="s">
        <v>412</v>
      </c>
      <c r="Q27" t="s">
        <v>234</v>
      </c>
      <c r="R27" t="s">
        <v>441</v>
      </c>
      <c r="S27" t="s">
        <v>442</v>
      </c>
      <c r="T27" t="s">
        <v>443</v>
      </c>
      <c r="U27" t="s">
        <v>444</v>
      </c>
      <c r="V27" t="s">
        <v>445</v>
      </c>
      <c r="AB27">
        <v>3</v>
      </c>
      <c r="AC27">
        <v>752</v>
      </c>
      <c r="AD27">
        <v>2735</v>
      </c>
      <c r="AE27">
        <v>2365</v>
      </c>
      <c r="AF27">
        <v>2198</v>
      </c>
      <c r="AG27">
        <v>27</v>
      </c>
      <c r="AH27" s="35">
        <f t="shared" si="0"/>
        <v>167</v>
      </c>
    </row>
    <row r="28" spans="1:34" x14ac:dyDescent="0.25">
      <c r="A28" s="32" t="s">
        <v>446</v>
      </c>
      <c r="B28" s="33">
        <v>1.768</v>
      </c>
      <c r="C28" s="33">
        <v>1.7709999999999999</v>
      </c>
      <c r="D28" s="33">
        <v>6.0000000000000001E-3</v>
      </c>
      <c r="E28" s="33">
        <v>-2.6419999999999999</v>
      </c>
      <c r="F28" s="33">
        <v>-2.5840000000000001</v>
      </c>
      <c r="G28" s="33">
        <v>4.1000000000000002E-2</v>
      </c>
      <c r="H28" s="33" t="s">
        <v>102</v>
      </c>
      <c r="I28" s="32" t="s">
        <v>354</v>
      </c>
      <c r="J28" s="32" t="s">
        <v>242</v>
      </c>
      <c r="K28" s="32" t="s">
        <v>288</v>
      </c>
      <c r="L28" s="32" t="s">
        <v>447</v>
      </c>
      <c r="M28" s="32" t="s">
        <v>229</v>
      </c>
      <c r="N28" s="32" t="s">
        <v>448</v>
      </c>
      <c r="O28" s="32" t="s">
        <v>394</v>
      </c>
      <c r="P28" s="32" t="s">
        <v>233</v>
      </c>
      <c r="Q28" s="32" t="s">
        <v>234</v>
      </c>
      <c r="R28" s="32" t="s">
        <v>405</v>
      </c>
      <c r="S28" s="32" t="s">
        <v>406</v>
      </c>
      <c r="T28" s="32" t="s">
        <v>449</v>
      </c>
      <c r="U28" s="32" t="s">
        <v>450</v>
      </c>
      <c r="V28" s="32" t="s">
        <v>451</v>
      </c>
      <c r="W28" s="32"/>
      <c r="X28" s="32"/>
      <c r="Y28" s="32"/>
      <c r="Z28" s="32"/>
      <c r="AA28" s="32"/>
      <c r="AB28">
        <v>3</v>
      </c>
      <c r="AC28" s="32">
        <v>880</v>
      </c>
      <c r="AD28" s="32">
        <v>3965</v>
      </c>
      <c r="AE28" s="32">
        <v>3585</v>
      </c>
      <c r="AF28" s="32">
        <v>3335</v>
      </c>
      <c r="AG28" s="32">
        <v>36</v>
      </c>
      <c r="AH28" s="35">
        <f t="shared" si="0"/>
        <v>250</v>
      </c>
    </row>
    <row r="29" spans="1:34" x14ac:dyDescent="0.25">
      <c r="A29" t="s">
        <v>452</v>
      </c>
      <c r="B29" s="18">
        <v>-4.5</v>
      </c>
      <c r="C29" s="18">
        <v>1.7010000000000001</v>
      </c>
      <c r="D29" s="18">
        <v>1.9E-2</v>
      </c>
      <c r="E29" s="18">
        <v>-14.05</v>
      </c>
      <c r="F29" s="18">
        <v>-2.4790000000000001</v>
      </c>
      <c r="G29" s="18">
        <v>1.7000000000000001E-2</v>
      </c>
      <c r="H29" s="18" t="s">
        <v>102</v>
      </c>
      <c r="I29" t="s">
        <v>363</v>
      </c>
      <c r="J29" t="s">
        <v>242</v>
      </c>
      <c r="K29" t="s">
        <v>269</v>
      </c>
      <c r="L29" t="s">
        <v>453</v>
      </c>
      <c r="M29" t="s">
        <v>229</v>
      </c>
      <c r="N29" t="s">
        <v>454</v>
      </c>
      <c r="O29" t="s">
        <v>411</v>
      </c>
      <c r="P29" t="s">
        <v>455</v>
      </c>
      <c r="Q29" t="s">
        <v>234</v>
      </c>
      <c r="R29" t="s">
        <v>456</v>
      </c>
      <c r="S29" t="s">
        <v>457</v>
      </c>
      <c r="T29" t="s">
        <v>458</v>
      </c>
      <c r="U29" t="s">
        <v>459</v>
      </c>
      <c r="V29" t="s">
        <v>460</v>
      </c>
      <c r="AB29">
        <v>3</v>
      </c>
      <c r="AC29">
        <v>891</v>
      </c>
      <c r="AD29">
        <v>4012</v>
      </c>
      <c r="AE29">
        <v>3603</v>
      </c>
      <c r="AF29">
        <v>3348</v>
      </c>
      <c r="AG29">
        <v>36</v>
      </c>
      <c r="AH29" s="35">
        <f t="shared" si="0"/>
        <v>255</v>
      </c>
    </row>
    <row r="30" spans="1:34" x14ac:dyDescent="0.25">
      <c r="A30" t="s">
        <v>462</v>
      </c>
      <c r="B30" s="18">
        <v>-4.5</v>
      </c>
      <c r="C30" s="18">
        <v>1.796</v>
      </c>
      <c r="D30" s="18">
        <v>1.4E-2</v>
      </c>
      <c r="E30" s="18">
        <v>-14.05</v>
      </c>
      <c r="F30" s="18">
        <v>-2.4929999999999999</v>
      </c>
      <c r="G30" s="18">
        <v>1.4999999999999999E-2</v>
      </c>
      <c r="H30" s="18" t="s">
        <v>102</v>
      </c>
      <c r="I30" t="s">
        <v>342</v>
      </c>
      <c r="J30" t="s">
        <v>242</v>
      </c>
      <c r="K30" t="s">
        <v>269</v>
      </c>
      <c r="L30" t="s">
        <v>463</v>
      </c>
      <c r="M30" t="s">
        <v>229</v>
      </c>
      <c r="N30" t="s">
        <v>464</v>
      </c>
      <c r="O30" t="s">
        <v>374</v>
      </c>
      <c r="P30" t="s">
        <v>465</v>
      </c>
      <c r="Q30" t="s">
        <v>466</v>
      </c>
      <c r="R30" t="s">
        <v>234</v>
      </c>
      <c r="S30" t="s">
        <v>467</v>
      </c>
      <c r="T30" t="s">
        <v>396</v>
      </c>
      <c r="U30" t="s">
        <v>468</v>
      </c>
      <c r="V30" t="s">
        <v>469</v>
      </c>
      <c r="W30" t="s">
        <v>470</v>
      </c>
      <c r="AB30">
        <v>3</v>
      </c>
      <c r="AC30">
        <v>876</v>
      </c>
      <c r="AD30">
        <v>4099</v>
      </c>
      <c r="AE30">
        <v>3673</v>
      </c>
      <c r="AF30">
        <v>3414</v>
      </c>
      <c r="AG30">
        <v>36</v>
      </c>
      <c r="AH30" s="35">
        <f t="shared" si="0"/>
        <v>259</v>
      </c>
    </row>
    <row r="31" spans="1:34" x14ac:dyDescent="0.25">
      <c r="A31" t="s">
        <v>471</v>
      </c>
      <c r="B31" s="18">
        <v>-4.5</v>
      </c>
      <c r="C31" s="18">
        <v>1.8360000000000001</v>
      </c>
      <c r="D31" s="18">
        <v>4.0000000000000001E-3</v>
      </c>
      <c r="E31" s="18">
        <v>-14.05</v>
      </c>
      <c r="F31" s="18">
        <v>-2.4550000000000001</v>
      </c>
      <c r="G31" s="18">
        <v>2.3E-2</v>
      </c>
      <c r="H31" s="18" t="s">
        <v>102</v>
      </c>
      <c r="I31" t="s">
        <v>472</v>
      </c>
      <c r="J31" t="s">
        <v>242</v>
      </c>
      <c r="K31" t="s">
        <v>288</v>
      </c>
      <c r="L31" t="s">
        <v>473</v>
      </c>
      <c r="M31" t="s">
        <v>229</v>
      </c>
      <c r="N31" t="s">
        <v>474</v>
      </c>
      <c r="O31" t="s">
        <v>475</v>
      </c>
      <c r="P31" t="s">
        <v>233</v>
      </c>
      <c r="Q31" t="s">
        <v>234</v>
      </c>
      <c r="R31" t="s">
        <v>461</v>
      </c>
      <c r="S31" t="s">
        <v>476</v>
      </c>
      <c r="T31" t="s">
        <v>477</v>
      </c>
      <c r="U31" t="s">
        <v>478</v>
      </c>
      <c r="V31" t="s">
        <v>479</v>
      </c>
      <c r="AB31">
        <v>3</v>
      </c>
      <c r="AC31">
        <v>919</v>
      </c>
      <c r="AD31">
        <v>4548</v>
      </c>
      <c r="AE31">
        <v>4059</v>
      </c>
      <c r="AF31">
        <v>3772</v>
      </c>
      <c r="AG31">
        <v>36</v>
      </c>
      <c r="AH31" s="35">
        <f t="shared" si="0"/>
        <v>287</v>
      </c>
    </row>
    <row r="32" spans="1:34" x14ac:dyDescent="0.25">
      <c r="A32" t="s">
        <v>480</v>
      </c>
      <c r="B32" s="18">
        <v>-4.5</v>
      </c>
      <c r="C32" s="18">
        <v>1.8480000000000001</v>
      </c>
      <c r="D32" s="18">
        <v>1.0999999999999999E-2</v>
      </c>
      <c r="E32" s="18">
        <v>-14.05</v>
      </c>
      <c r="F32" s="18">
        <v>-2.4990000000000001</v>
      </c>
      <c r="G32" s="18">
        <v>2.1999999999999999E-2</v>
      </c>
      <c r="H32" s="18" t="s">
        <v>102</v>
      </c>
      <c r="I32" t="s">
        <v>342</v>
      </c>
      <c r="J32" t="s">
        <v>242</v>
      </c>
      <c r="K32" t="s">
        <v>269</v>
      </c>
      <c r="L32" t="s">
        <v>481</v>
      </c>
      <c r="M32" t="s">
        <v>229</v>
      </c>
      <c r="N32" t="s">
        <v>482</v>
      </c>
      <c r="O32" t="s">
        <v>404</v>
      </c>
      <c r="P32" t="s">
        <v>273</v>
      </c>
      <c r="Q32" t="s">
        <v>234</v>
      </c>
      <c r="R32" t="s">
        <v>483</v>
      </c>
      <c r="S32" t="s">
        <v>484</v>
      </c>
      <c r="T32" t="s">
        <v>485</v>
      </c>
      <c r="U32" t="s">
        <v>486</v>
      </c>
      <c r="V32" t="s">
        <v>487</v>
      </c>
      <c r="AB32">
        <v>3</v>
      </c>
      <c r="AC32">
        <v>855</v>
      </c>
      <c r="AD32">
        <v>3813</v>
      </c>
      <c r="AE32">
        <v>3331</v>
      </c>
      <c r="AF32">
        <v>3095</v>
      </c>
      <c r="AG32">
        <v>36</v>
      </c>
      <c r="AH32" s="35">
        <f t="shared" si="0"/>
        <v>236</v>
      </c>
    </row>
    <row r="33" spans="1:37" x14ac:dyDescent="0.25">
      <c r="A33" t="s">
        <v>488</v>
      </c>
      <c r="B33" s="18">
        <v>-4.5</v>
      </c>
      <c r="C33" s="18">
        <v>1.8120000000000001</v>
      </c>
      <c r="D33" s="18">
        <v>1.0999999999999999E-2</v>
      </c>
      <c r="E33" s="18">
        <v>-14.05</v>
      </c>
      <c r="F33" s="18">
        <v>-2.552</v>
      </c>
      <c r="G33" s="18">
        <v>1.7999999999999999E-2</v>
      </c>
      <c r="H33" s="18" t="s">
        <v>102</v>
      </c>
      <c r="I33" t="s">
        <v>489</v>
      </c>
      <c r="J33" t="s">
        <v>242</v>
      </c>
      <c r="K33" t="s">
        <v>326</v>
      </c>
      <c r="L33" t="s">
        <v>490</v>
      </c>
      <c r="M33" t="s">
        <v>229</v>
      </c>
      <c r="N33" t="s">
        <v>491</v>
      </c>
      <c r="O33" t="s">
        <v>492</v>
      </c>
      <c r="P33" t="s">
        <v>233</v>
      </c>
      <c r="Q33" t="s">
        <v>282</v>
      </c>
      <c r="R33" t="s">
        <v>493</v>
      </c>
      <c r="S33" t="s">
        <v>494</v>
      </c>
      <c r="T33" t="s">
        <v>495</v>
      </c>
      <c r="U33" t="s">
        <v>496</v>
      </c>
      <c r="V33" t="s">
        <v>497</v>
      </c>
      <c r="AB33">
        <v>3</v>
      </c>
      <c r="AC33">
        <v>852</v>
      </c>
      <c r="AD33">
        <v>3677</v>
      </c>
      <c r="AE33">
        <v>3253</v>
      </c>
      <c r="AF33">
        <v>3025</v>
      </c>
      <c r="AG33">
        <v>36</v>
      </c>
      <c r="AH33" s="35">
        <f t="shared" si="0"/>
        <v>228</v>
      </c>
    </row>
    <row r="35" spans="1:37" x14ac:dyDescent="0.25">
      <c r="A35" s="38">
        <v>42219</v>
      </c>
      <c r="B35" s="34"/>
      <c r="C35" s="34"/>
      <c r="D35" s="34"/>
      <c r="E35" s="34"/>
      <c r="F35" s="34"/>
      <c r="G35" s="34"/>
      <c r="I35" s="35"/>
    </row>
    <row r="36" spans="1:37" x14ac:dyDescent="0.25">
      <c r="A36" s="18" t="s">
        <v>24</v>
      </c>
      <c r="B36" s="18" t="s">
        <v>25</v>
      </c>
      <c r="C36" s="21" t="s">
        <v>26</v>
      </c>
      <c r="D36" s="18" t="s">
        <v>27</v>
      </c>
      <c r="E36" s="18" t="s">
        <v>28</v>
      </c>
      <c r="F36" s="18" t="s">
        <v>29</v>
      </c>
      <c r="G36" s="18" t="s">
        <v>30</v>
      </c>
      <c r="H36" s="18" t="s">
        <v>31</v>
      </c>
      <c r="I36" s="18" t="s">
        <v>32</v>
      </c>
      <c r="J36" s="18" t="s">
        <v>33</v>
      </c>
      <c r="K36" s="18" t="s">
        <v>34</v>
      </c>
      <c r="L36" s="18" t="s">
        <v>35</v>
      </c>
      <c r="M36" s="18" t="s">
        <v>39</v>
      </c>
      <c r="N36" s="18" t="s">
        <v>40</v>
      </c>
      <c r="O36" s="18" t="s">
        <v>41</v>
      </c>
      <c r="P36" s="18" t="s">
        <v>42</v>
      </c>
      <c r="Q36" s="18" t="s">
        <v>43</v>
      </c>
      <c r="AH36" t="s">
        <v>36</v>
      </c>
      <c r="AI36" t="s">
        <v>44</v>
      </c>
      <c r="AJ36" t="s">
        <v>506</v>
      </c>
      <c r="AK36" t="s">
        <v>45</v>
      </c>
    </row>
    <row r="37" spans="1:37" x14ac:dyDescent="0.25">
      <c r="A37" s="18">
        <v>1</v>
      </c>
      <c r="B37" s="18" t="s">
        <v>49</v>
      </c>
      <c r="C37" s="18" t="s">
        <v>500</v>
      </c>
      <c r="D37" s="18" t="s">
        <v>19</v>
      </c>
      <c r="E37" s="39" t="s">
        <v>500</v>
      </c>
      <c r="F37" s="18">
        <v>-4.5</v>
      </c>
      <c r="G37" s="18">
        <v>1.859</v>
      </c>
      <c r="H37" s="18">
        <v>3.0000000000000001E-3</v>
      </c>
      <c r="I37" s="18">
        <v>-14.05</v>
      </c>
      <c r="J37" s="18">
        <v>-2.5609999999999999</v>
      </c>
      <c r="K37" s="18">
        <v>2.3E-2</v>
      </c>
      <c r="L37" s="18" t="s">
        <v>102</v>
      </c>
      <c r="M37" s="18">
        <v>1</v>
      </c>
      <c r="N37" s="18" t="s">
        <v>507</v>
      </c>
      <c r="O37" s="18" t="s">
        <v>508</v>
      </c>
      <c r="P37" s="18" t="s">
        <v>509</v>
      </c>
      <c r="Q37" s="18" t="s">
        <v>510</v>
      </c>
      <c r="AH37" s="4">
        <v>3</v>
      </c>
      <c r="AI37">
        <v>731</v>
      </c>
      <c r="AJ37" s="18">
        <f>3*9</f>
        <v>27</v>
      </c>
      <c r="AK37">
        <v>3008</v>
      </c>
    </row>
    <row r="38" spans="1:37" x14ac:dyDescent="0.25">
      <c r="A38" s="18">
        <v>2</v>
      </c>
      <c r="B38" s="18" t="s">
        <v>56</v>
      </c>
      <c r="C38" s="18" t="s">
        <v>500</v>
      </c>
      <c r="D38" s="18" t="s">
        <v>19</v>
      </c>
      <c r="E38" s="39" t="s">
        <v>500</v>
      </c>
      <c r="F38" s="18">
        <v>-4.5</v>
      </c>
      <c r="G38" s="18">
        <v>1.88</v>
      </c>
      <c r="H38" s="18">
        <v>1.9E-2</v>
      </c>
      <c r="I38" s="18">
        <v>-14.05</v>
      </c>
      <c r="J38" s="18">
        <v>-2.5870000000000002</v>
      </c>
      <c r="K38" s="18">
        <v>2.1999999999999999E-2</v>
      </c>
      <c r="L38" s="18" t="s">
        <v>102</v>
      </c>
      <c r="M38" s="18">
        <v>1</v>
      </c>
      <c r="N38" s="18" t="s">
        <v>507</v>
      </c>
      <c r="O38" s="18" t="s">
        <v>511</v>
      </c>
      <c r="P38" s="18" t="s">
        <v>512</v>
      </c>
      <c r="Q38" s="18" t="s">
        <v>513</v>
      </c>
      <c r="AH38" s="4">
        <v>3</v>
      </c>
      <c r="AI38">
        <v>529</v>
      </c>
      <c r="AJ38" s="18">
        <f t="shared" ref="AJ38:AJ46" si="1">3*9</f>
        <v>27</v>
      </c>
      <c r="AK38">
        <v>1408</v>
      </c>
    </row>
    <row r="39" spans="1:37" x14ac:dyDescent="0.25">
      <c r="A39" s="18">
        <v>3</v>
      </c>
      <c r="B39" s="18" t="s">
        <v>514</v>
      </c>
      <c r="C39" s="18" t="s">
        <v>500</v>
      </c>
      <c r="D39" s="18" t="s">
        <v>19</v>
      </c>
      <c r="E39" s="39" t="s">
        <v>498</v>
      </c>
      <c r="F39" s="18">
        <v>-4.5</v>
      </c>
      <c r="G39" s="18">
        <v>1.831</v>
      </c>
      <c r="H39" s="18">
        <v>1.6E-2</v>
      </c>
      <c r="I39" s="18">
        <v>-14.05</v>
      </c>
      <c r="J39" s="18">
        <v>-2.609</v>
      </c>
      <c r="K39" s="18">
        <v>1.6E-2</v>
      </c>
      <c r="L39" s="18" t="s">
        <v>102</v>
      </c>
      <c r="M39" s="18">
        <v>1</v>
      </c>
      <c r="N39" s="18" t="s">
        <v>507</v>
      </c>
      <c r="O39" s="18" t="s">
        <v>515</v>
      </c>
      <c r="P39" s="18" t="s">
        <v>516</v>
      </c>
      <c r="Q39" s="18" t="s">
        <v>517</v>
      </c>
      <c r="AH39" s="4">
        <v>3</v>
      </c>
      <c r="AI39">
        <v>710</v>
      </c>
      <c r="AJ39" s="18">
        <f t="shared" si="1"/>
        <v>27</v>
      </c>
      <c r="AK39">
        <v>2777</v>
      </c>
    </row>
    <row r="40" spans="1:37" x14ac:dyDescent="0.25">
      <c r="A40" s="18">
        <v>4</v>
      </c>
      <c r="B40" s="18" t="s">
        <v>518</v>
      </c>
      <c r="C40" s="18" t="s">
        <v>500</v>
      </c>
      <c r="D40" s="18" t="s">
        <v>19</v>
      </c>
      <c r="E40" s="39" t="s">
        <v>498</v>
      </c>
      <c r="F40" s="18">
        <v>-4.5</v>
      </c>
      <c r="G40" s="18">
        <v>1.776</v>
      </c>
      <c r="H40" s="18">
        <v>1.2999999999999999E-2</v>
      </c>
      <c r="I40" s="18">
        <v>-14.05</v>
      </c>
      <c r="J40" s="18">
        <v>-2.698</v>
      </c>
      <c r="K40" s="18">
        <v>0.04</v>
      </c>
      <c r="L40" s="18" t="s">
        <v>102</v>
      </c>
      <c r="M40" s="18">
        <v>1</v>
      </c>
      <c r="N40" s="18" t="s">
        <v>507</v>
      </c>
      <c r="O40" s="18" t="s">
        <v>519</v>
      </c>
      <c r="P40" s="18" t="s">
        <v>520</v>
      </c>
      <c r="Q40" s="18" t="s">
        <v>521</v>
      </c>
      <c r="AH40" s="4">
        <v>3</v>
      </c>
      <c r="AI40">
        <v>671</v>
      </c>
      <c r="AJ40" s="18">
        <f t="shared" si="1"/>
        <v>27</v>
      </c>
      <c r="AK40">
        <v>2438</v>
      </c>
    </row>
    <row r="41" spans="1:37" x14ac:dyDescent="0.25">
      <c r="A41" s="18">
        <v>5</v>
      </c>
      <c r="B41" s="18" t="s">
        <v>522</v>
      </c>
      <c r="C41" s="18" t="s">
        <v>500</v>
      </c>
      <c r="D41" s="18" t="s">
        <v>19</v>
      </c>
      <c r="E41" s="39" t="s">
        <v>498</v>
      </c>
      <c r="F41" s="18">
        <v>-4.5</v>
      </c>
      <c r="G41" s="18">
        <v>1.8720000000000001</v>
      </c>
      <c r="H41" s="18">
        <v>1.2999999999999999E-2</v>
      </c>
      <c r="I41" s="18">
        <v>-14.05</v>
      </c>
      <c r="J41" s="18">
        <v>-2.4780000000000002</v>
      </c>
      <c r="K41" s="18">
        <v>1.9E-2</v>
      </c>
      <c r="L41" s="18" t="s">
        <v>102</v>
      </c>
      <c r="M41" s="18">
        <v>1</v>
      </c>
      <c r="N41" s="18" t="s">
        <v>507</v>
      </c>
      <c r="O41" s="18" t="s">
        <v>523</v>
      </c>
      <c r="P41" s="18" t="s">
        <v>524</v>
      </c>
      <c r="Q41" s="18" t="s">
        <v>525</v>
      </c>
      <c r="AH41" s="4">
        <v>3</v>
      </c>
      <c r="AI41">
        <v>678</v>
      </c>
      <c r="AJ41" s="18">
        <f t="shared" si="1"/>
        <v>27</v>
      </c>
      <c r="AK41">
        <v>2354</v>
      </c>
    </row>
    <row r="42" spans="1:37" x14ac:dyDescent="0.25">
      <c r="A42" s="18">
        <v>6</v>
      </c>
      <c r="B42" s="18" t="s">
        <v>114</v>
      </c>
      <c r="C42" s="18" t="s">
        <v>500</v>
      </c>
      <c r="D42" s="18" t="s">
        <v>20</v>
      </c>
      <c r="E42" s="39" t="s">
        <v>498</v>
      </c>
      <c r="F42" s="18">
        <v>-4.5</v>
      </c>
      <c r="G42" s="18">
        <v>1.8280000000000001</v>
      </c>
      <c r="H42" s="18">
        <v>0.01</v>
      </c>
      <c r="I42" s="18">
        <v>-14.05</v>
      </c>
      <c r="J42" s="18">
        <v>-2.484</v>
      </c>
      <c r="K42" s="18">
        <v>1.7000000000000001E-2</v>
      </c>
      <c r="L42" s="18" t="s">
        <v>223</v>
      </c>
      <c r="M42" s="18">
        <v>1</v>
      </c>
      <c r="N42" s="18" t="s">
        <v>526</v>
      </c>
      <c r="O42" s="18" t="s">
        <v>527</v>
      </c>
      <c r="P42" s="18" t="s">
        <v>528</v>
      </c>
      <c r="Q42" s="18" t="s">
        <v>529</v>
      </c>
      <c r="AH42" s="4">
        <v>3</v>
      </c>
      <c r="AI42">
        <v>813</v>
      </c>
      <c r="AJ42" s="18">
        <f t="shared" si="1"/>
        <v>27</v>
      </c>
      <c r="AK42">
        <v>3878</v>
      </c>
    </row>
    <row r="43" spans="1:37" x14ac:dyDescent="0.25">
      <c r="A43" s="18">
        <v>7</v>
      </c>
      <c r="B43" s="18" t="s">
        <v>530</v>
      </c>
      <c r="C43" s="18" t="s">
        <v>500</v>
      </c>
      <c r="D43" s="18" t="s">
        <v>19</v>
      </c>
      <c r="E43" s="39" t="s">
        <v>498</v>
      </c>
      <c r="F43" s="18">
        <v>-4.5</v>
      </c>
      <c r="G43" s="18">
        <v>1.8460000000000001</v>
      </c>
      <c r="H43" s="18">
        <v>1.0999999999999999E-2</v>
      </c>
      <c r="I43" s="18">
        <v>-14.05</v>
      </c>
      <c r="J43" s="18">
        <v>-2.532</v>
      </c>
      <c r="K43" s="18">
        <v>1.6E-2</v>
      </c>
      <c r="L43" s="18" t="s">
        <v>102</v>
      </c>
      <c r="M43" s="18">
        <v>1</v>
      </c>
      <c r="N43" s="18" t="s">
        <v>507</v>
      </c>
      <c r="O43" s="18" t="s">
        <v>531</v>
      </c>
      <c r="P43" s="18" t="s">
        <v>532</v>
      </c>
      <c r="Q43" s="18" t="s">
        <v>533</v>
      </c>
      <c r="AH43" s="4">
        <v>3</v>
      </c>
      <c r="AI43">
        <v>721</v>
      </c>
      <c r="AJ43" s="18">
        <f t="shared" si="1"/>
        <v>27</v>
      </c>
      <c r="AK43">
        <v>2482</v>
      </c>
    </row>
    <row r="44" spans="1:37" x14ac:dyDescent="0.25">
      <c r="A44" s="18">
        <v>8</v>
      </c>
      <c r="B44" s="18" t="s">
        <v>534</v>
      </c>
      <c r="C44" s="18" t="s">
        <v>500</v>
      </c>
      <c r="D44" s="18" t="s">
        <v>19</v>
      </c>
      <c r="E44" s="39" t="s">
        <v>498</v>
      </c>
      <c r="F44" s="18">
        <v>-4.5</v>
      </c>
      <c r="G44" s="18">
        <v>1.8180000000000001</v>
      </c>
      <c r="H44" s="18">
        <v>1.2E-2</v>
      </c>
      <c r="I44" s="18">
        <v>-14.05</v>
      </c>
      <c r="J44" s="18">
        <v>-2.661</v>
      </c>
      <c r="K44" s="18">
        <v>1.0999999999999999E-2</v>
      </c>
      <c r="L44" s="18" t="s">
        <v>102</v>
      </c>
      <c r="M44" s="18">
        <v>1</v>
      </c>
      <c r="N44" s="18" t="s">
        <v>507</v>
      </c>
      <c r="O44" s="18" t="s">
        <v>535</v>
      </c>
      <c r="P44" s="18" t="s">
        <v>536</v>
      </c>
      <c r="Q44" s="18" t="s">
        <v>537</v>
      </c>
      <c r="AH44" s="4">
        <v>3</v>
      </c>
      <c r="AI44">
        <v>671</v>
      </c>
      <c r="AJ44" s="18">
        <f t="shared" si="1"/>
        <v>27</v>
      </c>
      <c r="AK44">
        <v>2312</v>
      </c>
    </row>
    <row r="45" spans="1:37" x14ac:dyDescent="0.25">
      <c r="A45" s="18">
        <v>9</v>
      </c>
      <c r="B45" s="18" t="s">
        <v>538</v>
      </c>
      <c r="C45" s="18" t="s">
        <v>500</v>
      </c>
      <c r="D45" s="18" t="s">
        <v>19</v>
      </c>
      <c r="E45" s="39" t="s">
        <v>498</v>
      </c>
      <c r="F45" s="18">
        <v>-4.5</v>
      </c>
      <c r="G45" s="18">
        <v>1.841</v>
      </c>
      <c r="H45" s="18">
        <v>0.01</v>
      </c>
      <c r="I45" s="18">
        <v>-14.05</v>
      </c>
      <c r="J45" s="18">
        <v>-2.5840000000000001</v>
      </c>
      <c r="K45" s="18">
        <v>3.4000000000000002E-2</v>
      </c>
      <c r="L45" s="18" t="s">
        <v>102</v>
      </c>
      <c r="M45" s="18">
        <v>1</v>
      </c>
      <c r="N45" s="18" t="s">
        <v>507</v>
      </c>
      <c r="O45" s="18" t="s">
        <v>539</v>
      </c>
      <c r="P45" s="18" t="s">
        <v>540</v>
      </c>
      <c r="Q45" s="18" t="s">
        <v>541</v>
      </c>
      <c r="AH45" s="4">
        <v>3</v>
      </c>
      <c r="AI45">
        <v>710</v>
      </c>
      <c r="AJ45" s="18">
        <f t="shared" si="1"/>
        <v>27</v>
      </c>
      <c r="AK45">
        <v>2521</v>
      </c>
    </row>
    <row r="46" spans="1:37" x14ac:dyDescent="0.25">
      <c r="A46" s="18">
        <v>10</v>
      </c>
      <c r="B46" s="18" t="s">
        <v>82</v>
      </c>
      <c r="C46" s="18" t="s">
        <v>500</v>
      </c>
      <c r="D46" s="18" t="s">
        <v>19</v>
      </c>
      <c r="E46" s="39" t="s">
        <v>498</v>
      </c>
      <c r="F46" s="18">
        <v>-4.5</v>
      </c>
      <c r="G46" s="18">
        <v>1.8129999999999999</v>
      </c>
      <c r="H46" s="18">
        <v>1.0999999999999999E-2</v>
      </c>
      <c r="I46" s="18">
        <v>-14.05</v>
      </c>
      <c r="J46" s="18">
        <v>-2.621</v>
      </c>
      <c r="K46" s="18">
        <v>2.7E-2</v>
      </c>
      <c r="L46" s="18" t="s">
        <v>102</v>
      </c>
      <c r="M46" s="18">
        <v>1</v>
      </c>
      <c r="N46" s="18" t="s">
        <v>507</v>
      </c>
      <c r="O46" s="18" t="s">
        <v>542</v>
      </c>
      <c r="P46" s="18" t="s">
        <v>543</v>
      </c>
      <c r="Q46" s="18" t="s">
        <v>544</v>
      </c>
      <c r="AH46" s="4">
        <v>3</v>
      </c>
      <c r="AI46">
        <v>745</v>
      </c>
      <c r="AJ46" s="18">
        <f t="shared" si="1"/>
        <v>27</v>
      </c>
      <c r="AK46">
        <v>2964</v>
      </c>
    </row>
    <row r="47" spans="1:37" x14ac:dyDescent="0.25">
      <c r="A47" s="18">
        <v>11</v>
      </c>
      <c r="B47" s="18" t="s">
        <v>118</v>
      </c>
      <c r="C47" s="18" t="s">
        <v>50</v>
      </c>
      <c r="D47" s="18" t="s">
        <v>19</v>
      </c>
      <c r="E47" s="39" t="s">
        <v>499</v>
      </c>
      <c r="F47" s="18">
        <v>-4.5</v>
      </c>
      <c r="G47" s="18">
        <v>1.859</v>
      </c>
      <c r="H47" s="18">
        <v>1.0999999999999999E-2</v>
      </c>
      <c r="I47" s="18">
        <v>-14.05</v>
      </c>
      <c r="J47" s="18">
        <v>-2.4609999999999999</v>
      </c>
      <c r="K47" s="18">
        <v>8.9999999999999993E-3</v>
      </c>
      <c r="L47" s="18" t="s">
        <v>102</v>
      </c>
      <c r="M47" s="18">
        <v>1</v>
      </c>
      <c r="N47" s="18" t="s">
        <v>507</v>
      </c>
      <c r="O47" s="18" t="s">
        <v>545</v>
      </c>
      <c r="P47" s="18" t="s">
        <v>546</v>
      </c>
      <c r="Q47" s="18" t="s">
        <v>547</v>
      </c>
      <c r="AH47" s="4">
        <v>3</v>
      </c>
      <c r="AI47">
        <v>908</v>
      </c>
      <c r="AJ47" s="18">
        <f>4*9</f>
        <v>36</v>
      </c>
      <c r="AK47">
        <v>5338</v>
      </c>
    </row>
    <row r="48" spans="1:37" x14ac:dyDescent="0.25">
      <c r="A48" s="18">
        <v>12</v>
      </c>
      <c r="B48" s="18" t="s">
        <v>124</v>
      </c>
      <c r="C48" s="18" t="s">
        <v>50</v>
      </c>
      <c r="D48" s="18" t="s">
        <v>19</v>
      </c>
      <c r="E48" s="39" t="s">
        <v>499</v>
      </c>
      <c r="F48" s="18">
        <v>-4.5</v>
      </c>
      <c r="G48" s="18">
        <v>1.8160000000000001</v>
      </c>
      <c r="H48" s="18">
        <v>1.4999999999999999E-2</v>
      </c>
      <c r="I48" s="18">
        <v>-14.05</v>
      </c>
      <c r="J48" s="18">
        <v>-2.548</v>
      </c>
      <c r="K48" s="18">
        <v>2.5999999999999999E-2</v>
      </c>
      <c r="L48" s="18" t="s">
        <v>102</v>
      </c>
      <c r="M48" s="18">
        <v>1</v>
      </c>
      <c r="N48" s="18" t="s">
        <v>507</v>
      </c>
      <c r="O48" s="18" t="s">
        <v>548</v>
      </c>
      <c r="P48" s="18" t="s">
        <v>549</v>
      </c>
      <c r="Q48" s="18" t="s">
        <v>550</v>
      </c>
      <c r="AH48" s="4">
        <v>3</v>
      </c>
      <c r="AI48">
        <v>845</v>
      </c>
      <c r="AJ48" s="18">
        <f t="shared" ref="AJ48:AJ56" si="2">4*9</f>
        <v>36</v>
      </c>
      <c r="AK48">
        <v>4035</v>
      </c>
    </row>
    <row r="49" spans="1:37" x14ac:dyDescent="0.25">
      <c r="A49" s="18">
        <v>13</v>
      </c>
      <c r="B49" s="18" t="s">
        <v>128</v>
      </c>
      <c r="C49" s="18" t="s">
        <v>50</v>
      </c>
      <c r="D49" s="18" t="s">
        <v>19</v>
      </c>
      <c r="E49" s="39" t="s">
        <v>499</v>
      </c>
      <c r="F49" s="18">
        <v>-4.5</v>
      </c>
      <c r="G49" s="18">
        <v>1.825</v>
      </c>
      <c r="H49" s="18">
        <v>1.2E-2</v>
      </c>
      <c r="I49" s="18">
        <v>-14.05</v>
      </c>
      <c r="J49" s="18">
        <v>-2.5139999999999998</v>
      </c>
      <c r="K49" s="18">
        <v>1.7000000000000001E-2</v>
      </c>
      <c r="L49" s="18" t="s">
        <v>102</v>
      </c>
      <c r="M49" s="18">
        <v>1</v>
      </c>
      <c r="N49" s="18" t="s">
        <v>507</v>
      </c>
      <c r="O49" s="18" t="s">
        <v>551</v>
      </c>
      <c r="P49" s="18" t="s">
        <v>552</v>
      </c>
      <c r="Q49" s="18" t="s">
        <v>553</v>
      </c>
      <c r="AH49" s="4">
        <v>3</v>
      </c>
      <c r="AI49">
        <v>894</v>
      </c>
      <c r="AJ49" s="18">
        <f t="shared" si="2"/>
        <v>36</v>
      </c>
      <c r="AK49">
        <v>4700</v>
      </c>
    </row>
    <row r="50" spans="1:37" x14ac:dyDescent="0.25">
      <c r="A50" s="18">
        <v>14</v>
      </c>
      <c r="B50" s="18" t="s">
        <v>132</v>
      </c>
      <c r="C50" s="18" t="s">
        <v>50</v>
      </c>
      <c r="D50" s="18" t="s">
        <v>19</v>
      </c>
      <c r="E50" s="39" t="s">
        <v>499</v>
      </c>
      <c r="F50" s="18">
        <v>-4.5</v>
      </c>
      <c r="G50" s="18">
        <v>1.861</v>
      </c>
      <c r="H50" s="18">
        <v>8.0000000000000002E-3</v>
      </c>
      <c r="I50" s="18">
        <v>-14.05</v>
      </c>
      <c r="J50" s="18">
        <v>-2.4929999999999999</v>
      </c>
      <c r="K50" s="18">
        <v>2.8000000000000001E-2</v>
      </c>
      <c r="L50" s="18" t="s">
        <v>102</v>
      </c>
      <c r="M50" s="18">
        <v>1</v>
      </c>
      <c r="N50" s="18" t="s">
        <v>507</v>
      </c>
      <c r="O50" s="18" t="s">
        <v>554</v>
      </c>
      <c r="P50" s="18" t="s">
        <v>555</v>
      </c>
      <c r="Q50" s="18" t="s">
        <v>556</v>
      </c>
      <c r="AH50" s="4">
        <v>3</v>
      </c>
      <c r="AI50">
        <v>816</v>
      </c>
      <c r="AJ50" s="18">
        <f t="shared" si="2"/>
        <v>36</v>
      </c>
      <c r="AK50">
        <v>3735</v>
      </c>
    </row>
    <row r="51" spans="1:37" x14ac:dyDescent="0.25">
      <c r="A51" s="18">
        <v>15</v>
      </c>
      <c r="B51" s="18" t="s">
        <v>143</v>
      </c>
      <c r="C51" s="18" t="s">
        <v>50</v>
      </c>
      <c r="D51" s="18" t="s">
        <v>19</v>
      </c>
      <c r="E51" s="39" t="s">
        <v>499</v>
      </c>
      <c r="F51" s="18">
        <v>-4.5</v>
      </c>
      <c r="G51" s="18">
        <v>1.794</v>
      </c>
      <c r="H51" s="18">
        <v>8.9999999999999993E-3</v>
      </c>
      <c r="I51" s="18">
        <v>-14.05</v>
      </c>
      <c r="J51" s="18">
        <v>-2.4990000000000001</v>
      </c>
      <c r="K51" s="18">
        <v>5.0000000000000001E-3</v>
      </c>
      <c r="L51" s="18" t="s">
        <v>102</v>
      </c>
      <c r="M51" s="18">
        <v>1</v>
      </c>
      <c r="N51" s="18" t="s">
        <v>507</v>
      </c>
      <c r="O51" s="18" t="s">
        <v>557</v>
      </c>
      <c r="P51" s="18" t="s">
        <v>558</v>
      </c>
      <c r="Q51" s="18" t="s">
        <v>559</v>
      </c>
      <c r="AH51" s="4">
        <v>3</v>
      </c>
      <c r="AI51">
        <v>873</v>
      </c>
      <c r="AJ51" s="18">
        <f t="shared" si="2"/>
        <v>36</v>
      </c>
      <c r="AK51">
        <v>4962</v>
      </c>
    </row>
    <row r="52" spans="1:37" x14ac:dyDescent="0.25">
      <c r="A52" s="18">
        <v>16</v>
      </c>
      <c r="B52" s="18" t="s">
        <v>148</v>
      </c>
      <c r="C52" s="18" t="s">
        <v>50</v>
      </c>
      <c r="D52" s="18" t="s">
        <v>19</v>
      </c>
      <c r="E52" s="39" t="s">
        <v>499</v>
      </c>
      <c r="F52" s="18">
        <v>-4.5</v>
      </c>
      <c r="G52" s="18">
        <v>1.7949999999999999</v>
      </c>
      <c r="H52" s="18">
        <v>4.0000000000000001E-3</v>
      </c>
      <c r="I52" s="18">
        <v>-14.05</v>
      </c>
      <c r="J52" s="18">
        <v>-2.4940000000000002</v>
      </c>
      <c r="K52" s="18">
        <v>2.7E-2</v>
      </c>
      <c r="L52" s="18" t="s">
        <v>102</v>
      </c>
      <c r="M52" s="18">
        <v>1</v>
      </c>
      <c r="N52" s="18" t="s">
        <v>507</v>
      </c>
      <c r="O52" s="18" t="s">
        <v>560</v>
      </c>
      <c r="P52" s="18" t="s">
        <v>561</v>
      </c>
      <c r="Q52" s="18" t="s">
        <v>562</v>
      </c>
      <c r="AH52" s="4">
        <v>3</v>
      </c>
      <c r="AI52">
        <v>745</v>
      </c>
      <c r="AJ52" s="18">
        <f t="shared" si="2"/>
        <v>36</v>
      </c>
      <c r="AK52">
        <v>3039</v>
      </c>
    </row>
    <row r="53" spans="1:37" x14ac:dyDescent="0.25">
      <c r="A53" s="18">
        <v>17</v>
      </c>
      <c r="B53" s="18" t="s">
        <v>152</v>
      </c>
      <c r="C53" s="18" t="s">
        <v>50</v>
      </c>
      <c r="D53" s="18" t="s">
        <v>19</v>
      </c>
      <c r="E53" s="39" t="s">
        <v>499</v>
      </c>
      <c r="F53" s="18">
        <v>-4.5</v>
      </c>
      <c r="G53" s="18">
        <v>1.8720000000000001</v>
      </c>
      <c r="H53" s="18">
        <v>7.0000000000000001E-3</v>
      </c>
      <c r="I53" s="18">
        <v>-14.05</v>
      </c>
      <c r="J53" s="18">
        <v>-2.4380000000000002</v>
      </c>
      <c r="K53" s="18">
        <v>8.0000000000000002E-3</v>
      </c>
      <c r="L53" s="18" t="s">
        <v>102</v>
      </c>
      <c r="M53" s="18">
        <v>1</v>
      </c>
      <c r="N53" s="18" t="s">
        <v>507</v>
      </c>
      <c r="O53" s="18" t="s">
        <v>563</v>
      </c>
      <c r="P53" s="18" t="s">
        <v>564</v>
      </c>
      <c r="Q53" s="18" t="s">
        <v>565</v>
      </c>
      <c r="AH53" s="4">
        <v>3</v>
      </c>
      <c r="AI53">
        <v>873</v>
      </c>
      <c r="AJ53" s="18">
        <f t="shared" si="2"/>
        <v>36</v>
      </c>
      <c r="AK53">
        <v>4485</v>
      </c>
    </row>
    <row r="54" spans="1:37" x14ac:dyDescent="0.25">
      <c r="A54" s="18">
        <v>18</v>
      </c>
      <c r="B54" s="18" t="s">
        <v>156</v>
      </c>
      <c r="C54" s="18" t="s">
        <v>50</v>
      </c>
      <c r="D54" s="18" t="s">
        <v>19</v>
      </c>
      <c r="E54" s="39" t="s">
        <v>499</v>
      </c>
      <c r="F54" s="18">
        <v>-4.5</v>
      </c>
      <c r="G54" s="18">
        <v>1.8959999999999999</v>
      </c>
      <c r="H54" s="18">
        <v>8.0000000000000002E-3</v>
      </c>
      <c r="I54" s="18">
        <v>-14.05</v>
      </c>
      <c r="J54" s="18">
        <v>-2.4089999999999998</v>
      </c>
      <c r="K54" s="18">
        <v>1.2E-2</v>
      </c>
      <c r="L54" s="18" t="s">
        <v>102</v>
      </c>
      <c r="M54" s="18">
        <v>1</v>
      </c>
      <c r="N54" s="18" t="s">
        <v>507</v>
      </c>
      <c r="O54" s="18" t="s">
        <v>566</v>
      </c>
      <c r="P54" s="18" t="s">
        <v>567</v>
      </c>
      <c r="Q54" s="18" t="s">
        <v>568</v>
      </c>
      <c r="AH54" s="4">
        <v>3</v>
      </c>
      <c r="AI54">
        <v>767</v>
      </c>
      <c r="AJ54" s="18">
        <f t="shared" si="2"/>
        <v>36</v>
      </c>
      <c r="AK54">
        <v>3269</v>
      </c>
    </row>
    <row r="55" spans="1:37" x14ac:dyDescent="0.25">
      <c r="A55" s="18">
        <v>19</v>
      </c>
      <c r="B55" s="18" t="s">
        <v>160</v>
      </c>
      <c r="C55" s="18" t="s">
        <v>50</v>
      </c>
      <c r="D55" s="18" t="s">
        <v>19</v>
      </c>
      <c r="E55" s="39" t="s">
        <v>500</v>
      </c>
      <c r="F55" s="18">
        <v>-4.5</v>
      </c>
      <c r="G55" s="18">
        <v>1.833</v>
      </c>
      <c r="H55" s="18">
        <v>8.0000000000000002E-3</v>
      </c>
      <c r="I55" s="18">
        <v>-14.05</v>
      </c>
      <c r="J55" s="18">
        <v>-2.62</v>
      </c>
      <c r="K55" s="18">
        <v>1.7999999999999999E-2</v>
      </c>
      <c r="L55" s="18" t="s">
        <v>102</v>
      </c>
      <c r="M55" s="18">
        <v>1</v>
      </c>
      <c r="N55" s="18" t="s">
        <v>507</v>
      </c>
      <c r="O55" s="18" t="s">
        <v>569</v>
      </c>
      <c r="P55" s="18" t="s">
        <v>570</v>
      </c>
      <c r="Q55" s="18" t="s">
        <v>571</v>
      </c>
      <c r="AH55" s="4">
        <v>3</v>
      </c>
      <c r="AI55">
        <v>756</v>
      </c>
      <c r="AJ55" s="18">
        <f t="shared" si="2"/>
        <v>36</v>
      </c>
      <c r="AK55">
        <v>3258</v>
      </c>
    </row>
    <row r="56" spans="1:37" x14ac:dyDescent="0.25">
      <c r="A56" s="18">
        <v>20</v>
      </c>
      <c r="B56" s="18" t="s">
        <v>165</v>
      </c>
      <c r="C56" s="18" t="s">
        <v>50</v>
      </c>
      <c r="D56" s="18" t="s">
        <v>19</v>
      </c>
      <c r="E56" s="39" t="s">
        <v>500</v>
      </c>
      <c r="F56" s="18">
        <v>-4.5</v>
      </c>
      <c r="G56" s="18">
        <v>1.7689999999999999</v>
      </c>
      <c r="H56" s="18">
        <v>5.0000000000000001E-3</v>
      </c>
      <c r="I56" s="18">
        <v>-14.05</v>
      </c>
      <c r="J56" s="18">
        <v>-2.464</v>
      </c>
      <c r="K56" s="18">
        <v>2.7E-2</v>
      </c>
      <c r="L56" s="18" t="s">
        <v>102</v>
      </c>
      <c r="M56" s="18">
        <v>1</v>
      </c>
      <c r="N56" s="18" t="s">
        <v>507</v>
      </c>
      <c r="O56" s="18" t="s">
        <v>572</v>
      </c>
      <c r="P56" s="18" t="s">
        <v>573</v>
      </c>
      <c r="Q56" s="18" t="s">
        <v>574</v>
      </c>
      <c r="AH56" s="4">
        <v>3</v>
      </c>
      <c r="AI56">
        <v>898</v>
      </c>
      <c r="AJ56" s="18">
        <f t="shared" si="2"/>
        <v>36</v>
      </c>
      <c r="AK56">
        <v>5402</v>
      </c>
    </row>
    <row r="57" spans="1:37" x14ac:dyDescent="0.25">
      <c r="A57" s="18">
        <v>21</v>
      </c>
      <c r="B57" s="18" t="s">
        <v>169</v>
      </c>
      <c r="C57" s="18" t="s">
        <v>575</v>
      </c>
      <c r="D57" s="18" t="s">
        <v>13</v>
      </c>
      <c r="E57" s="39" t="s">
        <v>500</v>
      </c>
      <c r="F57" s="18">
        <v>-4.5</v>
      </c>
      <c r="G57" s="18">
        <v>1.8480000000000001</v>
      </c>
      <c r="H57" s="18">
        <v>0.01</v>
      </c>
      <c r="I57" s="18">
        <v>-14.05</v>
      </c>
      <c r="J57" s="18">
        <v>-2.5470000000000002</v>
      </c>
      <c r="K57" s="18">
        <v>6.0000000000000001E-3</v>
      </c>
      <c r="L57" s="18" t="s">
        <v>576</v>
      </c>
      <c r="M57" s="18">
        <v>1</v>
      </c>
      <c r="N57" s="18" t="s">
        <v>507</v>
      </c>
      <c r="O57" s="18" t="s">
        <v>577</v>
      </c>
      <c r="P57" s="18" t="s">
        <v>578</v>
      </c>
      <c r="Q57" s="18" t="s">
        <v>579</v>
      </c>
      <c r="R57" s="40"/>
      <c r="AH57" s="4">
        <v>3</v>
      </c>
      <c r="AI57">
        <v>887</v>
      </c>
      <c r="AJ57" s="18">
        <f>5*9</f>
        <v>45</v>
      </c>
      <c r="AK57">
        <v>4968</v>
      </c>
    </row>
    <row r="58" spans="1:37" x14ac:dyDescent="0.25">
      <c r="A58" s="18">
        <v>22</v>
      </c>
      <c r="B58" s="18" t="s">
        <v>173</v>
      </c>
      <c r="C58" s="18" t="s">
        <v>575</v>
      </c>
      <c r="D58" s="18" t="s">
        <v>13</v>
      </c>
      <c r="E58" s="39" t="s">
        <v>500</v>
      </c>
      <c r="F58" s="18">
        <v>-4.5</v>
      </c>
      <c r="G58" s="18">
        <v>1.7609999999999999</v>
      </c>
      <c r="H58" s="18">
        <v>4.0000000000000001E-3</v>
      </c>
      <c r="I58" s="18">
        <v>-14.05</v>
      </c>
      <c r="J58" s="18">
        <v>-2.5169999999999999</v>
      </c>
      <c r="K58" s="18">
        <v>2.4E-2</v>
      </c>
      <c r="L58" s="18" t="s">
        <v>576</v>
      </c>
      <c r="M58" s="18">
        <v>1</v>
      </c>
      <c r="N58" s="18" t="s">
        <v>507</v>
      </c>
      <c r="O58" s="18" t="s">
        <v>580</v>
      </c>
      <c r="P58" s="18" t="s">
        <v>581</v>
      </c>
      <c r="Q58" s="18" t="s">
        <v>582</v>
      </c>
      <c r="AH58" s="4">
        <v>3</v>
      </c>
      <c r="AI58">
        <v>901</v>
      </c>
      <c r="AJ58" s="18">
        <f t="shared" ref="AJ58:AJ66" si="3">5*9</f>
        <v>45</v>
      </c>
      <c r="AK58">
        <v>5306</v>
      </c>
    </row>
    <row r="59" spans="1:37" x14ac:dyDescent="0.25">
      <c r="A59" s="18">
        <v>23</v>
      </c>
      <c r="B59" s="18" t="s">
        <v>177</v>
      </c>
      <c r="C59" s="18" t="s">
        <v>575</v>
      </c>
      <c r="D59" s="18" t="s">
        <v>13</v>
      </c>
      <c r="E59" s="39" t="s">
        <v>500</v>
      </c>
      <c r="F59" s="18">
        <v>-4.5</v>
      </c>
      <c r="G59" s="18">
        <v>1.833</v>
      </c>
      <c r="H59" s="18">
        <v>0.02</v>
      </c>
      <c r="I59" s="18">
        <v>-14.05</v>
      </c>
      <c r="J59" s="18">
        <v>-2.3730000000000002</v>
      </c>
      <c r="K59" s="18">
        <v>1.4E-2</v>
      </c>
      <c r="L59" s="18" t="s">
        <v>576</v>
      </c>
      <c r="M59" s="18">
        <v>1</v>
      </c>
      <c r="N59" s="18" t="s">
        <v>507</v>
      </c>
      <c r="O59" s="18" t="s">
        <v>583</v>
      </c>
      <c r="P59" s="18" t="s">
        <v>584</v>
      </c>
      <c r="Q59" s="18" t="s">
        <v>585</v>
      </c>
      <c r="AH59" s="4">
        <v>3</v>
      </c>
      <c r="AI59">
        <v>965</v>
      </c>
      <c r="AJ59" s="18">
        <f t="shared" si="3"/>
        <v>45</v>
      </c>
      <c r="AK59">
        <v>6327</v>
      </c>
    </row>
    <row r="60" spans="1:37" x14ac:dyDescent="0.25">
      <c r="A60" s="18">
        <v>24</v>
      </c>
      <c r="B60" s="18" t="s">
        <v>182</v>
      </c>
      <c r="C60" s="18" t="s">
        <v>575</v>
      </c>
      <c r="D60" s="18" t="s">
        <v>13</v>
      </c>
      <c r="E60" s="39" t="s">
        <v>500</v>
      </c>
      <c r="F60" s="18">
        <v>-4.5</v>
      </c>
      <c r="G60" s="18">
        <v>1.869</v>
      </c>
      <c r="H60" s="18">
        <v>1.2E-2</v>
      </c>
      <c r="I60" s="18">
        <v>-14.05</v>
      </c>
      <c r="J60" s="18">
        <v>-2.3809999999999998</v>
      </c>
      <c r="K60" s="18">
        <v>0.03</v>
      </c>
      <c r="L60" s="18" t="s">
        <v>576</v>
      </c>
      <c r="M60" s="18">
        <v>1</v>
      </c>
      <c r="N60" s="18" t="s">
        <v>507</v>
      </c>
      <c r="O60" s="18" t="s">
        <v>586</v>
      </c>
      <c r="P60" s="18" t="s">
        <v>587</v>
      </c>
      <c r="Q60" s="18" t="s">
        <v>588</v>
      </c>
      <c r="AH60" s="4">
        <v>3</v>
      </c>
      <c r="AI60">
        <v>919</v>
      </c>
      <c r="AJ60" s="18">
        <f t="shared" si="3"/>
        <v>45</v>
      </c>
      <c r="AK60">
        <v>5331</v>
      </c>
    </row>
    <row r="61" spans="1:37" x14ac:dyDescent="0.25">
      <c r="A61" s="18">
        <v>25</v>
      </c>
      <c r="B61" s="18" t="s">
        <v>186</v>
      </c>
      <c r="C61" s="18" t="s">
        <v>575</v>
      </c>
      <c r="D61" s="18" t="s">
        <v>13</v>
      </c>
      <c r="E61" s="39" t="s">
        <v>500</v>
      </c>
      <c r="F61" s="18">
        <v>-4.5</v>
      </c>
      <c r="G61" s="18">
        <v>1.819</v>
      </c>
      <c r="H61" s="18">
        <v>6.0000000000000001E-3</v>
      </c>
      <c r="I61" s="18">
        <v>-14.05</v>
      </c>
      <c r="J61" s="18">
        <v>-2.5070000000000001</v>
      </c>
      <c r="K61" s="18">
        <v>5.0000000000000001E-3</v>
      </c>
      <c r="L61" s="18" t="s">
        <v>576</v>
      </c>
      <c r="M61" s="18">
        <v>1</v>
      </c>
      <c r="N61" s="18" t="s">
        <v>507</v>
      </c>
      <c r="O61" s="18" t="s">
        <v>589</v>
      </c>
      <c r="P61" s="18" t="s">
        <v>590</v>
      </c>
      <c r="Q61" s="18" t="s">
        <v>591</v>
      </c>
      <c r="AH61" s="4">
        <v>3</v>
      </c>
      <c r="AI61">
        <v>976</v>
      </c>
      <c r="AJ61" s="18">
        <f t="shared" si="3"/>
        <v>45</v>
      </c>
      <c r="AK61">
        <v>6036</v>
      </c>
    </row>
    <row r="62" spans="1:37" x14ac:dyDescent="0.25">
      <c r="A62" s="18">
        <v>26</v>
      </c>
      <c r="B62" s="18" t="s">
        <v>190</v>
      </c>
      <c r="C62" s="18" t="s">
        <v>575</v>
      </c>
      <c r="D62" s="18" t="s">
        <v>13</v>
      </c>
      <c r="E62" s="39" t="s">
        <v>500</v>
      </c>
      <c r="F62" s="18">
        <v>-4.5</v>
      </c>
      <c r="G62" s="18">
        <v>1.8220000000000001</v>
      </c>
      <c r="H62" s="18">
        <v>6.0000000000000001E-3</v>
      </c>
      <c r="I62" s="18">
        <v>-14.05</v>
      </c>
      <c r="J62" s="18">
        <v>-2.4289999999999998</v>
      </c>
      <c r="K62" s="18">
        <v>1.7000000000000001E-2</v>
      </c>
      <c r="L62" s="18" t="s">
        <v>576</v>
      </c>
      <c r="M62" s="18">
        <v>1</v>
      </c>
      <c r="N62" s="18" t="s">
        <v>507</v>
      </c>
      <c r="O62" s="18" t="s">
        <v>592</v>
      </c>
      <c r="P62" s="18" t="s">
        <v>593</v>
      </c>
      <c r="Q62" s="18" t="s">
        <v>594</v>
      </c>
      <c r="AH62" s="4">
        <v>3</v>
      </c>
      <c r="AI62">
        <v>958</v>
      </c>
      <c r="AJ62" s="18">
        <f t="shared" si="3"/>
        <v>45</v>
      </c>
      <c r="AK62">
        <v>6087</v>
      </c>
    </row>
    <row r="63" spans="1:37" x14ac:dyDescent="0.25">
      <c r="A63" s="18">
        <v>27</v>
      </c>
      <c r="B63" s="18" t="s">
        <v>198</v>
      </c>
      <c r="C63" s="18" t="s">
        <v>575</v>
      </c>
      <c r="D63" s="18" t="s">
        <v>13</v>
      </c>
      <c r="E63" s="39" t="s">
        <v>50</v>
      </c>
      <c r="F63" s="18">
        <v>-4.5</v>
      </c>
      <c r="G63" s="18">
        <v>1.833</v>
      </c>
      <c r="H63" s="18">
        <v>1.0999999999999999E-2</v>
      </c>
      <c r="I63" s="18">
        <v>-14.05</v>
      </c>
      <c r="J63" s="18">
        <v>-2.5099999999999998</v>
      </c>
      <c r="K63" s="18">
        <v>1.6E-2</v>
      </c>
      <c r="L63" s="18" t="s">
        <v>576</v>
      </c>
      <c r="M63" s="18">
        <v>1</v>
      </c>
      <c r="N63" s="18" t="s">
        <v>526</v>
      </c>
      <c r="O63" s="18" t="s">
        <v>595</v>
      </c>
      <c r="P63" s="18" t="s">
        <v>596</v>
      </c>
      <c r="Q63" s="18" t="s">
        <v>597</v>
      </c>
      <c r="AH63" s="4">
        <v>3</v>
      </c>
      <c r="AI63">
        <v>947</v>
      </c>
      <c r="AJ63" s="18">
        <f t="shared" si="3"/>
        <v>45</v>
      </c>
      <c r="AK63">
        <v>5487</v>
      </c>
    </row>
    <row r="64" spans="1:37" x14ac:dyDescent="0.25">
      <c r="A64" s="18">
        <v>28</v>
      </c>
      <c r="B64" s="18" t="s">
        <v>203</v>
      </c>
      <c r="C64" s="18" t="s">
        <v>575</v>
      </c>
      <c r="D64" s="18" t="s">
        <v>13</v>
      </c>
      <c r="E64" s="39" t="s">
        <v>50</v>
      </c>
      <c r="F64" s="18">
        <v>-4.5</v>
      </c>
      <c r="G64" s="18">
        <v>1.823</v>
      </c>
      <c r="H64" s="18">
        <v>5.0000000000000001E-3</v>
      </c>
      <c r="I64" s="18">
        <v>-14.05</v>
      </c>
      <c r="J64" s="18">
        <v>-2.4780000000000002</v>
      </c>
      <c r="K64" s="18">
        <v>1.7999999999999999E-2</v>
      </c>
      <c r="L64" s="18" t="s">
        <v>576</v>
      </c>
      <c r="M64" s="18">
        <v>1</v>
      </c>
      <c r="N64" s="18" t="s">
        <v>526</v>
      </c>
      <c r="O64" s="18" t="s">
        <v>598</v>
      </c>
      <c r="P64" s="18" t="s">
        <v>599</v>
      </c>
      <c r="Q64" s="18" t="s">
        <v>600</v>
      </c>
      <c r="AH64" s="4">
        <v>3</v>
      </c>
      <c r="AI64">
        <v>944</v>
      </c>
      <c r="AJ64" s="18">
        <f t="shared" si="3"/>
        <v>45</v>
      </c>
      <c r="AK64">
        <v>5278</v>
      </c>
    </row>
    <row r="65" spans="1:40" x14ac:dyDescent="0.25">
      <c r="A65" s="18">
        <v>29</v>
      </c>
      <c r="B65" s="18" t="s">
        <v>207</v>
      </c>
      <c r="C65" s="18" t="s">
        <v>575</v>
      </c>
      <c r="D65" s="18" t="s">
        <v>13</v>
      </c>
      <c r="E65" s="39" t="s">
        <v>50</v>
      </c>
      <c r="F65" s="18">
        <v>-4.5</v>
      </c>
      <c r="G65" s="18">
        <v>1.8540000000000001</v>
      </c>
      <c r="H65" s="18">
        <v>6.0000000000000001E-3</v>
      </c>
      <c r="I65" s="18">
        <v>-14.05</v>
      </c>
      <c r="J65" s="18">
        <v>-2.4830000000000001</v>
      </c>
      <c r="K65" s="18">
        <v>2.1000000000000001E-2</v>
      </c>
      <c r="L65" s="18" t="s">
        <v>576</v>
      </c>
      <c r="M65" s="18">
        <v>1</v>
      </c>
      <c r="N65" s="18" t="s">
        <v>526</v>
      </c>
      <c r="O65" s="18" t="s">
        <v>601</v>
      </c>
      <c r="P65" s="18" t="s">
        <v>602</v>
      </c>
      <c r="Q65" s="18" t="s">
        <v>603</v>
      </c>
      <c r="AH65" s="4">
        <v>3</v>
      </c>
      <c r="AI65">
        <v>968</v>
      </c>
      <c r="AJ65" s="18">
        <f t="shared" si="3"/>
        <v>45</v>
      </c>
      <c r="AK65">
        <v>5949</v>
      </c>
    </row>
    <row r="66" spans="1:40" x14ac:dyDescent="0.25">
      <c r="A66" s="18">
        <v>30</v>
      </c>
      <c r="B66" s="18" t="s">
        <v>211</v>
      </c>
      <c r="C66" s="18" t="s">
        <v>575</v>
      </c>
      <c r="D66" s="18" t="s">
        <v>13</v>
      </c>
      <c r="E66" s="39" t="s">
        <v>50</v>
      </c>
      <c r="F66" s="18">
        <v>-4.5</v>
      </c>
      <c r="G66" s="18">
        <v>1.8180000000000001</v>
      </c>
      <c r="H66" s="18">
        <v>0.01</v>
      </c>
      <c r="I66" s="18">
        <v>-14.05</v>
      </c>
      <c r="J66" s="18">
        <v>-2.4470000000000001</v>
      </c>
      <c r="K66" s="18">
        <v>5.0000000000000001E-3</v>
      </c>
      <c r="L66" s="18" t="s">
        <v>576</v>
      </c>
      <c r="M66" s="18">
        <v>1</v>
      </c>
      <c r="N66" s="18" t="s">
        <v>526</v>
      </c>
      <c r="O66" s="18" t="s">
        <v>604</v>
      </c>
      <c r="P66" s="18" t="s">
        <v>605</v>
      </c>
      <c r="Q66" s="18" t="s">
        <v>606</v>
      </c>
      <c r="AH66" s="4">
        <v>3</v>
      </c>
      <c r="AI66">
        <v>944</v>
      </c>
      <c r="AJ66" s="18">
        <f t="shared" si="3"/>
        <v>45</v>
      </c>
      <c r="AK66">
        <v>5227</v>
      </c>
    </row>
    <row r="68" spans="1:40" x14ac:dyDescent="0.25">
      <c r="A68" s="45">
        <v>42228</v>
      </c>
    </row>
    <row r="69" spans="1:40" x14ac:dyDescent="0.25">
      <c r="A69" s="18" t="s">
        <v>24</v>
      </c>
      <c r="B69" s="18" t="s">
        <v>25</v>
      </c>
      <c r="C69" s="18" t="s">
        <v>26</v>
      </c>
      <c r="D69" s="18" t="s">
        <v>27</v>
      </c>
      <c r="E69" s="18" t="s">
        <v>28</v>
      </c>
      <c r="F69" s="18" t="s">
        <v>30</v>
      </c>
      <c r="G69" s="18" t="s">
        <v>31</v>
      </c>
      <c r="H69" s="18" t="s">
        <v>33</v>
      </c>
      <c r="I69" s="18" t="s">
        <v>34</v>
      </c>
      <c r="J69" s="18" t="s">
        <v>35</v>
      </c>
      <c r="K69" s="18" t="s">
        <v>40</v>
      </c>
      <c r="L69" s="18" t="s">
        <v>41</v>
      </c>
      <c r="M69" s="18" t="s">
        <v>42</v>
      </c>
      <c r="N69" s="18" t="s">
        <v>43</v>
      </c>
      <c r="AF69" t="s">
        <v>36</v>
      </c>
      <c r="AG69" t="s">
        <v>44</v>
      </c>
      <c r="AH69" t="s">
        <v>608</v>
      </c>
      <c r="AI69" t="s">
        <v>45</v>
      </c>
      <c r="AJ69" t="s">
        <v>46</v>
      </c>
      <c r="AK69" t="s">
        <v>47</v>
      </c>
      <c r="AL69" t="s">
        <v>609</v>
      </c>
      <c r="AM69" t="s">
        <v>48</v>
      </c>
    </row>
    <row r="70" spans="1:40" x14ac:dyDescent="0.25">
      <c r="A70" s="18">
        <v>1</v>
      </c>
      <c r="B70" s="18" t="s">
        <v>49</v>
      </c>
      <c r="C70" s="18" t="s">
        <v>50</v>
      </c>
      <c r="D70" s="18" t="s">
        <v>13</v>
      </c>
      <c r="E70" s="18" t="s">
        <v>50</v>
      </c>
      <c r="F70" s="41">
        <v>1.8420000000000001</v>
      </c>
      <c r="G70" s="41">
        <v>4.0000000000000001E-3</v>
      </c>
      <c r="H70" s="41">
        <v>-2.3119999999999998</v>
      </c>
      <c r="I70" s="18">
        <v>5.0000000000000001E-3</v>
      </c>
      <c r="J70" s="18" t="s">
        <v>576</v>
      </c>
      <c r="K70" s="18" t="s">
        <v>610</v>
      </c>
      <c r="L70" s="18" t="s">
        <v>611</v>
      </c>
      <c r="M70" s="18" t="s">
        <v>612</v>
      </c>
      <c r="N70" s="18" t="s">
        <v>613</v>
      </c>
      <c r="AF70">
        <v>3</v>
      </c>
      <c r="AG70">
        <v>848</v>
      </c>
      <c r="AI70">
        <v>5288</v>
      </c>
      <c r="AJ70">
        <v>4739</v>
      </c>
      <c r="AK70">
        <v>4402</v>
      </c>
      <c r="AL70" s="35">
        <f>4*9</f>
        <v>36</v>
      </c>
      <c r="AM70" s="35">
        <f>AJ70-AK70</f>
        <v>337</v>
      </c>
      <c r="AN70" s="35"/>
    </row>
    <row r="71" spans="1:40" x14ac:dyDescent="0.25">
      <c r="A71" s="18">
        <v>2</v>
      </c>
      <c r="B71" s="18" t="s">
        <v>56</v>
      </c>
      <c r="C71" s="18" t="s">
        <v>50</v>
      </c>
      <c r="D71" s="18" t="s">
        <v>13</v>
      </c>
      <c r="E71" s="18" t="s">
        <v>50</v>
      </c>
      <c r="F71" s="41">
        <v>1.788</v>
      </c>
      <c r="G71" s="41">
        <v>8.0000000000000002E-3</v>
      </c>
      <c r="H71" s="41">
        <v>-2.415</v>
      </c>
      <c r="I71" s="18">
        <v>1.2E-2</v>
      </c>
      <c r="J71" s="18" t="s">
        <v>576</v>
      </c>
      <c r="K71" s="18" t="s">
        <v>610</v>
      </c>
      <c r="L71" s="18" t="s">
        <v>614</v>
      </c>
      <c r="M71" s="18" t="s">
        <v>615</v>
      </c>
      <c r="N71" s="18" t="s">
        <v>616</v>
      </c>
      <c r="AF71">
        <v>3</v>
      </c>
      <c r="AG71">
        <v>816</v>
      </c>
      <c r="AI71">
        <v>4185</v>
      </c>
      <c r="AJ71">
        <v>3710</v>
      </c>
      <c r="AK71">
        <v>3444</v>
      </c>
      <c r="AL71" s="35">
        <f t="shared" ref="AL71:AL80" si="4">4*9</f>
        <v>36</v>
      </c>
      <c r="AM71" s="35">
        <f t="shared" ref="AM71:AM107" si="5">AJ71-AK71</f>
        <v>266</v>
      </c>
      <c r="AN71" s="35"/>
    </row>
    <row r="72" spans="1:40" x14ac:dyDescent="0.25">
      <c r="A72" s="18">
        <v>3</v>
      </c>
      <c r="B72" s="18" t="s">
        <v>60</v>
      </c>
      <c r="C72" s="18" t="s">
        <v>50</v>
      </c>
      <c r="D72" s="18" t="s">
        <v>13</v>
      </c>
      <c r="E72" s="18" t="s">
        <v>50</v>
      </c>
      <c r="F72" s="41">
        <v>1.7969999999999999</v>
      </c>
      <c r="G72" s="41">
        <v>1.0999999999999999E-2</v>
      </c>
      <c r="H72" s="41">
        <v>-2.4670000000000001</v>
      </c>
      <c r="I72" s="18">
        <v>1.7999999999999999E-2</v>
      </c>
      <c r="J72" s="18" t="s">
        <v>576</v>
      </c>
      <c r="K72" s="18" t="s">
        <v>610</v>
      </c>
      <c r="L72" s="18" t="s">
        <v>617</v>
      </c>
      <c r="M72" s="18" t="s">
        <v>618</v>
      </c>
      <c r="N72" s="18" t="s">
        <v>619</v>
      </c>
      <c r="AF72">
        <v>3</v>
      </c>
      <c r="AG72">
        <v>845</v>
      </c>
      <c r="AI72">
        <v>4819</v>
      </c>
      <c r="AJ72">
        <v>4284</v>
      </c>
      <c r="AK72">
        <v>3980</v>
      </c>
      <c r="AL72" s="35">
        <f t="shared" si="4"/>
        <v>36</v>
      </c>
      <c r="AM72" s="35">
        <f t="shared" si="5"/>
        <v>304</v>
      </c>
      <c r="AN72" s="35"/>
    </row>
    <row r="73" spans="1:40" x14ac:dyDescent="0.25">
      <c r="A73" s="18">
        <v>4</v>
      </c>
      <c r="B73" s="18" t="s">
        <v>64</v>
      </c>
      <c r="C73" s="18" t="s">
        <v>50</v>
      </c>
      <c r="D73" s="18" t="s">
        <v>13</v>
      </c>
      <c r="E73" s="18" t="s">
        <v>50</v>
      </c>
      <c r="F73" s="41">
        <v>1.766</v>
      </c>
      <c r="G73" s="41">
        <v>5.0000000000000001E-3</v>
      </c>
      <c r="H73" s="41">
        <v>-2.5569999999999999</v>
      </c>
      <c r="I73" s="18">
        <v>0.02</v>
      </c>
      <c r="J73" s="18" t="s">
        <v>576</v>
      </c>
      <c r="K73" s="18" t="s">
        <v>610</v>
      </c>
      <c r="L73" s="18" t="s">
        <v>620</v>
      </c>
      <c r="M73" s="18" t="s">
        <v>621</v>
      </c>
      <c r="N73" s="18" t="s">
        <v>622</v>
      </c>
      <c r="AF73">
        <v>3</v>
      </c>
      <c r="AG73">
        <v>760</v>
      </c>
      <c r="AI73">
        <v>3798</v>
      </c>
      <c r="AJ73">
        <v>3396</v>
      </c>
      <c r="AK73">
        <v>3156</v>
      </c>
      <c r="AL73" s="35">
        <f t="shared" si="4"/>
        <v>36</v>
      </c>
      <c r="AM73" s="35">
        <f t="shared" si="5"/>
        <v>240</v>
      </c>
      <c r="AN73" s="35"/>
    </row>
    <row r="74" spans="1:40" x14ac:dyDescent="0.25">
      <c r="A74" s="18">
        <v>5</v>
      </c>
      <c r="B74" s="18" t="s">
        <v>110</v>
      </c>
      <c r="C74" s="18" t="s">
        <v>50</v>
      </c>
      <c r="D74" s="18" t="s">
        <v>13</v>
      </c>
      <c r="E74" s="18" t="s">
        <v>50</v>
      </c>
      <c r="F74" s="41">
        <v>1.794</v>
      </c>
      <c r="G74" s="41">
        <v>6.0000000000000001E-3</v>
      </c>
      <c r="H74" s="41">
        <v>-2.5179999999999998</v>
      </c>
      <c r="I74" s="18">
        <v>1.6E-2</v>
      </c>
      <c r="J74" s="18" t="s">
        <v>576</v>
      </c>
      <c r="K74" s="18" t="s">
        <v>610</v>
      </c>
      <c r="L74" s="18" t="s">
        <v>623</v>
      </c>
      <c r="M74" s="18" t="s">
        <v>624</v>
      </c>
      <c r="N74" s="18" t="s">
        <v>625</v>
      </c>
      <c r="AF74">
        <v>3</v>
      </c>
      <c r="AG74">
        <v>830</v>
      </c>
      <c r="AI74">
        <v>5318</v>
      </c>
      <c r="AJ74">
        <v>4762</v>
      </c>
      <c r="AK74">
        <v>4424</v>
      </c>
      <c r="AL74" s="35">
        <f t="shared" si="4"/>
        <v>36</v>
      </c>
      <c r="AM74" s="35">
        <f t="shared" si="5"/>
        <v>338</v>
      </c>
      <c r="AN74" s="35"/>
    </row>
    <row r="75" spans="1:40" x14ac:dyDescent="0.25">
      <c r="A75" s="18">
        <v>6</v>
      </c>
      <c r="B75" s="18" t="s">
        <v>114</v>
      </c>
      <c r="C75" s="18" t="s">
        <v>50</v>
      </c>
      <c r="D75" s="18" t="s">
        <v>13</v>
      </c>
      <c r="E75" s="18" t="s">
        <v>50</v>
      </c>
      <c r="F75" s="41">
        <v>1.8440000000000001</v>
      </c>
      <c r="G75" s="41">
        <v>1.4E-2</v>
      </c>
      <c r="H75" s="41">
        <v>-2.472</v>
      </c>
      <c r="I75" s="18">
        <v>2.4E-2</v>
      </c>
      <c r="J75" s="18" t="s">
        <v>576</v>
      </c>
      <c r="K75" s="18" t="s">
        <v>610</v>
      </c>
      <c r="L75" s="18" t="s">
        <v>626</v>
      </c>
      <c r="M75" s="18" t="s">
        <v>627</v>
      </c>
      <c r="N75" s="18" t="s">
        <v>628</v>
      </c>
      <c r="AF75">
        <v>3</v>
      </c>
      <c r="AG75">
        <v>837</v>
      </c>
      <c r="AI75">
        <v>4843</v>
      </c>
      <c r="AJ75">
        <v>4281</v>
      </c>
      <c r="AK75">
        <v>3978</v>
      </c>
      <c r="AL75" s="35">
        <f t="shared" si="4"/>
        <v>36</v>
      </c>
      <c r="AM75" s="35">
        <f t="shared" si="5"/>
        <v>303</v>
      </c>
      <c r="AN75" s="35"/>
    </row>
    <row r="76" spans="1:40" x14ac:dyDescent="0.25">
      <c r="A76" s="18">
        <v>7</v>
      </c>
      <c r="B76" s="18" t="s">
        <v>68</v>
      </c>
      <c r="C76" s="18" t="s">
        <v>50</v>
      </c>
      <c r="D76" s="18" t="s">
        <v>13</v>
      </c>
      <c r="E76" s="18" t="s">
        <v>50</v>
      </c>
      <c r="F76" s="41">
        <v>1.542</v>
      </c>
      <c r="G76" s="41">
        <v>3.0000000000000001E-3</v>
      </c>
      <c r="H76" s="41">
        <v>-2.5150000000000001</v>
      </c>
      <c r="I76" s="18">
        <v>2.5000000000000001E-2</v>
      </c>
      <c r="J76" s="18" t="s">
        <v>576</v>
      </c>
      <c r="K76" s="18" t="s">
        <v>610</v>
      </c>
      <c r="L76" s="18" t="s">
        <v>629</v>
      </c>
      <c r="M76" s="18" t="s">
        <v>630</v>
      </c>
      <c r="N76" s="18" t="s">
        <v>631</v>
      </c>
      <c r="AF76">
        <v>3</v>
      </c>
      <c r="AG76">
        <v>806</v>
      </c>
      <c r="AI76">
        <v>4041</v>
      </c>
      <c r="AJ76">
        <v>3628</v>
      </c>
      <c r="AK76">
        <v>3372</v>
      </c>
      <c r="AL76" s="35">
        <f t="shared" si="4"/>
        <v>36</v>
      </c>
      <c r="AM76" s="35">
        <f t="shared" si="5"/>
        <v>256</v>
      </c>
      <c r="AN76" s="35"/>
    </row>
    <row r="77" spans="1:40" x14ac:dyDescent="0.25">
      <c r="A77" s="18">
        <v>8</v>
      </c>
      <c r="B77" s="18" t="s">
        <v>74</v>
      </c>
      <c r="C77" s="18" t="s">
        <v>50</v>
      </c>
      <c r="D77" s="18" t="s">
        <v>13</v>
      </c>
      <c r="E77" s="18" t="s">
        <v>50</v>
      </c>
      <c r="F77" s="41">
        <v>1.8380000000000001</v>
      </c>
      <c r="G77" s="41">
        <v>6.0000000000000001E-3</v>
      </c>
      <c r="H77" s="41">
        <v>-2.496</v>
      </c>
      <c r="I77" s="18">
        <v>1.6E-2</v>
      </c>
      <c r="J77" s="18" t="s">
        <v>576</v>
      </c>
      <c r="K77" s="18" t="s">
        <v>610</v>
      </c>
      <c r="L77" s="18" t="s">
        <v>632</v>
      </c>
      <c r="M77" s="18" t="s">
        <v>633</v>
      </c>
      <c r="N77" s="18" t="s">
        <v>634</v>
      </c>
      <c r="AF77">
        <v>3</v>
      </c>
      <c r="AG77">
        <v>813</v>
      </c>
      <c r="AI77">
        <v>4041</v>
      </c>
      <c r="AJ77">
        <v>3614</v>
      </c>
      <c r="AK77">
        <v>3359</v>
      </c>
      <c r="AL77" s="35">
        <f t="shared" si="4"/>
        <v>36</v>
      </c>
      <c r="AM77" s="35">
        <f t="shared" si="5"/>
        <v>255</v>
      </c>
      <c r="AN77" s="35"/>
    </row>
    <row r="78" spans="1:40" x14ac:dyDescent="0.25">
      <c r="A78" s="18">
        <v>9</v>
      </c>
      <c r="B78" s="18" t="s">
        <v>78</v>
      </c>
      <c r="C78" s="18" t="s">
        <v>50</v>
      </c>
      <c r="D78" s="18" t="s">
        <v>13</v>
      </c>
      <c r="E78" s="18" t="s">
        <v>50</v>
      </c>
      <c r="F78" s="41">
        <v>1.4350000000000001</v>
      </c>
      <c r="G78" s="41">
        <v>8.0000000000000002E-3</v>
      </c>
      <c r="H78" s="41">
        <v>-2.5470000000000002</v>
      </c>
      <c r="I78" s="18">
        <v>2.5999999999999999E-2</v>
      </c>
      <c r="J78" s="18" t="s">
        <v>576</v>
      </c>
      <c r="K78" s="18" t="s">
        <v>610</v>
      </c>
      <c r="L78" s="18" t="s">
        <v>635</v>
      </c>
      <c r="M78" s="18" t="s">
        <v>636</v>
      </c>
      <c r="N78" s="18" t="s">
        <v>637</v>
      </c>
      <c r="AF78">
        <v>3</v>
      </c>
      <c r="AG78">
        <v>806</v>
      </c>
      <c r="AI78">
        <v>4030</v>
      </c>
      <c r="AJ78">
        <v>3614</v>
      </c>
      <c r="AK78">
        <v>3360</v>
      </c>
      <c r="AL78" s="35">
        <f t="shared" si="4"/>
        <v>36</v>
      </c>
      <c r="AM78" s="35">
        <f t="shared" si="5"/>
        <v>254</v>
      </c>
      <c r="AN78" s="35"/>
    </row>
    <row r="79" spans="1:40" x14ac:dyDescent="0.25">
      <c r="A79" s="18">
        <v>10</v>
      </c>
      <c r="B79" s="18" t="s">
        <v>82</v>
      </c>
      <c r="C79" s="18" t="s">
        <v>50</v>
      </c>
      <c r="D79" s="18" t="s">
        <v>13</v>
      </c>
      <c r="E79" s="18" t="s">
        <v>50</v>
      </c>
      <c r="F79" s="41">
        <v>1.786</v>
      </c>
      <c r="G79" s="41">
        <v>8.9999999999999993E-3</v>
      </c>
      <c r="H79" s="41">
        <v>-2.6360000000000001</v>
      </c>
      <c r="I79" s="18">
        <v>2.1999999999999999E-2</v>
      </c>
      <c r="J79" s="18" t="s">
        <v>576</v>
      </c>
      <c r="K79" s="18" t="s">
        <v>610</v>
      </c>
      <c r="L79" s="18" t="s">
        <v>638</v>
      </c>
      <c r="M79" s="18" t="s">
        <v>639</v>
      </c>
      <c r="N79" s="18" t="s">
        <v>640</v>
      </c>
      <c r="AF79">
        <v>3</v>
      </c>
      <c r="AG79">
        <v>745</v>
      </c>
      <c r="AI79">
        <v>3124</v>
      </c>
      <c r="AJ79">
        <v>2744</v>
      </c>
      <c r="AK79">
        <v>2550</v>
      </c>
      <c r="AL79" s="35">
        <f t="shared" si="4"/>
        <v>36</v>
      </c>
      <c r="AM79" s="35">
        <f t="shared" si="5"/>
        <v>194</v>
      </c>
      <c r="AN79" s="35"/>
    </row>
    <row r="80" spans="1:40" x14ac:dyDescent="0.25">
      <c r="A80" s="18">
        <v>11</v>
      </c>
      <c r="B80" s="18" t="s">
        <v>118</v>
      </c>
      <c r="C80" s="18" t="s">
        <v>50</v>
      </c>
      <c r="D80" s="18" t="s">
        <v>13</v>
      </c>
      <c r="E80" s="18" t="s">
        <v>50</v>
      </c>
      <c r="F80" s="41">
        <v>1.6850000000000001</v>
      </c>
      <c r="G80" s="41">
        <v>0.01</v>
      </c>
      <c r="H80" s="41">
        <v>-2.5529999999999999</v>
      </c>
      <c r="I80" s="18">
        <v>1.7999999999999999E-2</v>
      </c>
      <c r="J80" s="18" t="s">
        <v>576</v>
      </c>
      <c r="K80" s="18" t="s">
        <v>610</v>
      </c>
      <c r="L80" s="18" t="s">
        <v>641</v>
      </c>
      <c r="M80" s="18" t="s">
        <v>642</v>
      </c>
      <c r="N80" s="18" t="s">
        <v>643</v>
      </c>
      <c r="AF80">
        <v>3</v>
      </c>
      <c r="AG80">
        <v>756</v>
      </c>
      <c r="AI80">
        <v>3117</v>
      </c>
      <c r="AJ80">
        <v>2733</v>
      </c>
      <c r="AK80">
        <v>2542</v>
      </c>
      <c r="AL80" s="35">
        <f t="shared" si="4"/>
        <v>36</v>
      </c>
      <c r="AM80" s="35">
        <f t="shared" si="5"/>
        <v>191</v>
      </c>
      <c r="AN80" s="35"/>
    </row>
    <row r="81" spans="1:40" x14ac:dyDescent="0.25">
      <c r="A81" s="18">
        <v>12</v>
      </c>
      <c r="B81" s="18" t="s">
        <v>124</v>
      </c>
      <c r="C81" s="18" t="s">
        <v>50</v>
      </c>
      <c r="D81" s="18" t="s">
        <v>13</v>
      </c>
      <c r="E81" s="18" t="s">
        <v>50</v>
      </c>
      <c r="F81" s="41">
        <v>1.8320000000000001</v>
      </c>
      <c r="G81" s="41">
        <v>7.0000000000000001E-3</v>
      </c>
      <c r="H81" s="41">
        <v>-2.4809999999999999</v>
      </c>
      <c r="I81" s="18">
        <v>2.9000000000000001E-2</v>
      </c>
      <c r="J81" s="18" t="s">
        <v>576</v>
      </c>
      <c r="K81" s="18" t="s">
        <v>610</v>
      </c>
      <c r="L81" s="18" t="s">
        <v>644</v>
      </c>
      <c r="M81" s="18" t="s">
        <v>645</v>
      </c>
      <c r="N81" s="18" t="s">
        <v>646</v>
      </c>
      <c r="AF81">
        <v>3</v>
      </c>
      <c r="AG81">
        <v>834</v>
      </c>
      <c r="AI81">
        <v>4191</v>
      </c>
      <c r="AJ81">
        <v>3748</v>
      </c>
      <c r="AK81">
        <v>3479</v>
      </c>
      <c r="AL81" s="35">
        <f>4*9</f>
        <v>36</v>
      </c>
      <c r="AM81" s="35">
        <f t="shared" si="5"/>
        <v>269</v>
      </c>
      <c r="AN81" s="35"/>
    </row>
    <row r="82" spans="1:40" x14ac:dyDescent="0.25">
      <c r="A82" s="18">
        <v>13</v>
      </c>
      <c r="B82" s="18" t="s">
        <v>128</v>
      </c>
      <c r="C82" s="18" t="s">
        <v>575</v>
      </c>
      <c r="D82" s="18" t="s">
        <v>13</v>
      </c>
      <c r="E82" s="18" t="s">
        <v>575</v>
      </c>
      <c r="F82" s="41">
        <v>1.736</v>
      </c>
      <c r="G82" s="41">
        <v>1.2999999999999999E-2</v>
      </c>
      <c r="H82" s="41">
        <v>-2.5470000000000002</v>
      </c>
      <c r="I82" s="18">
        <v>8.0000000000000002E-3</v>
      </c>
      <c r="J82" s="18" t="s">
        <v>576</v>
      </c>
      <c r="K82" s="18" t="s">
        <v>610</v>
      </c>
      <c r="L82" s="18" t="s">
        <v>647</v>
      </c>
      <c r="M82" s="18" t="s">
        <v>648</v>
      </c>
      <c r="N82" s="18" t="s">
        <v>649</v>
      </c>
      <c r="AF82">
        <v>3</v>
      </c>
      <c r="AG82">
        <v>901</v>
      </c>
      <c r="AI82">
        <v>5869</v>
      </c>
      <c r="AJ82">
        <v>5220</v>
      </c>
      <c r="AK82">
        <v>4848</v>
      </c>
      <c r="AL82" s="35">
        <f>5*9</f>
        <v>45</v>
      </c>
      <c r="AM82" s="35">
        <f t="shared" si="5"/>
        <v>372</v>
      </c>
      <c r="AN82" s="35"/>
    </row>
    <row r="83" spans="1:40" x14ac:dyDescent="0.25">
      <c r="A83" s="18">
        <v>14</v>
      </c>
      <c r="B83" s="18" t="s">
        <v>132</v>
      </c>
      <c r="C83" s="18" t="s">
        <v>575</v>
      </c>
      <c r="D83" s="18" t="s">
        <v>13</v>
      </c>
      <c r="E83" s="18" t="s">
        <v>575</v>
      </c>
      <c r="F83" s="41">
        <v>1.706</v>
      </c>
      <c r="G83" s="41">
        <v>0.01</v>
      </c>
      <c r="H83" s="41">
        <v>-2.5499999999999998</v>
      </c>
      <c r="I83" s="18">
        <v>2.5999999999999999E-2</v>
      </c>
      <c r="J83" s="18" t="s">
        <v>576</v>
      </c>
      <c r="K83" s="18" t="s">
        <v>610</v>
      </c>
      <c r="L83" s="18" t="s">
        <v>650</v>
      </c>
      <c r="M83" s="18" t="s">
        <v>651</v>
      </c>
      <c r="N83" s="18" t="s">
        <v>652</v>
      </c>
      <c r="AF83">
        <v>3</v>
      </c>
      <c r="AG83">
        <v>887</v>
      </c>
      <c r="AI83">
        <v>5413</v>
      </c>
      <c r="AJ83">
        <v>4830</v>
      </c>
      <c r="AK83">
        <v>4483</v>
      </c>
      <c r="AL83" s="35">
        <f t="shared" ref="AL83:AL91" si="6">5*9</f>
        <v>45</v>
      </c>
      <c r="AM83" s="35">
        <f t="shared" si="5"/>
        <v>347</v>
      </c>
      <c r="AN83" s="35"/>
    </row>
    <row r="84" spans="1:40" x14ac:dyDescent="0.25">
      <c r="A84" s="18">
        <v>15</v>
      </c>
      <c r="B84" s="18" t="s">
        <v>143</v>
      </c>
      <c r="C84" s="18" t="s">
        <v>575</v>
      </c>
      <c r="D84" s="18" t="s">
        <v>13</v>
      </c>
      <c r="E84" s="18" t="s">
        <v>575</v>
      </c>
      <c r="F84" s="41">
        <v>1.7509999999999999</v>
      </c>
      <c r="G84" s="41">
        <v>8.0000000000000002E-3</v>
      </c>
      <c r="H84" s="41">
        <v>-2.609</v>
      </c>
      <c r="I84" s="18">
        <v>2.1000000000000001E-2</v>
      </c>
      <c r="J84" s="18" t="s">
        <v>576</v>
      </c>
      <c r="K84" s="18" t="s">
        <v>610</v>
      </c>
      <c r="L84" s="18" t="s">
        <v>653</v>
      </c>
      <c r="M84" s="18" t="s">
        <v>654</v>
      </c>
      <c r="N84" s="18" t="s">
        <v>655</v>
      </c>
      <c r="AF84">
        <v>3</v>
      </c>
      <c r="AG84">
        <v>852</v>
      </c>
      <c r="AI84">
        <v>4910</v>
      </c>
      <c r="AJ84">
        <v>4385</v>
      </c>
      <c r="AK84">
        <v>4074</v>
      </c>
      <c r="AL84" s="35">
        <f t="shared" si="6"/>
        <v>45</v>
      </c>
      <c r="AM84" s="35">
        <f t="shared" si="5"/>
        <v>311</v>
      </c>
      <c r="AN84" s="35"/>
    </row>
    <row r="85" spans="1:40" x14ac:dyDescent="0.25">
      <c r="A85" s="18">
        <v>16</v>
      </c>
      <c r="B85" s="18" t="s">
        <v>148</v>
      </c>
      <c r="C85" s="18" t="s">
        <v>575</v>
      </c>
      <c r="D85" s="18" t="s">
        <v>13</v>
      </c>
      <c r="E85" s="18" t="s">
        <v>575</v>
      </c>
      <c r="F85" s="41">
        <v>1.841</v>
      </c>
      <c r="G85" s="41">
        <v>5.0000000000000001E-3</v>
      </c>
      <c r="H85" s="41">
        <v>-2.5209999999999999</v>
      </c>
      <c r="I85" s="18">
        <v>2.5000000000000001E-2</v>
      </c>
      <c r="J85" s="18" t="s">
        <v>576</v>
      </c>
      <c r="K85" s="18" t="s">
        <v>610</v>
      </c>
      <c r="L85" s="18" t="s">
        <v>656</v>
      </c>
      <c r="M85" s="18" t="s">
        <v>657</v>
      </c>
      <c r="N85" s="18" t="s">
        <v>658</v>
      </c>
      <c r="AF85">
        <v>3</v>
      </c>
      <c r="AG85">
        <v>852</v>
      </c>
      <c r="AI85">
        <v>5233</v>
      </c>
      <c r="AJ85">
        <v>4669</v>
      </c>
      <c r="AK85">
        <v>4337</v>
      </c>
      <c r="AL85" s="35">
        <f t="shared" si="6"/>
        <v>45</v>
      </c>
      <c r="AM85" s="35">
        <f t="shared" si="5"/>
        <v>332</v>
      </c>
      <c r="AN85" s="35"/>
    </row>
    <row r="86" spans="1:40" x14ac:dyDescent="0.25">
      <c r="A86" s="18">
        <v>17</v>
      </c>
      <c r="B86" s="18" t="s">
        <v>152</v>
      </c>
      <c r="C86" s="18" t="s">
        <v>575</v>
      </c>
      <c r="D86" s="18" t="s">
        <v>13</v>
      </c>
      <c r="E86" s="18" t="s">
        <v>575</v>
      </c>
      <c r="F86" s="41">
        <v>1.7749999999999999</v>
      </c>
      <c r="G86" s="41">
        <v>6.0000000000000001E-3</v>
      </c>
      <c r="H86" s="41">
        <v>-2.548</v>
      </c>
      <c r="I86" s="18">
        <v>1.4E-2</v>
      </c>
      <c r="J86" s="18" t="s">
        <v>576</v>
      </c>
      <c r="K86" s="18" t="s">
        <v>610</v>
      </c>
      <c r="L86" s="18" t="s">
        <v>659</v>
      </c>
      <c r="M86" s="18" t="s">
        <v>660</v>
      </c>
      <c r="N86" s="18" t="s">
        <v>661</v>
      </c>
      <c r="AF86">
        <v>3</v>
      </c>
      <c r="AG86">
        <v>855</v>
      </c>
      <c r="AI86">
        <v>5338</v>
      </c>
      <c r="AJ86">
        <v>4754</v>
      </c>
      <c r="AK86">
        <v>4416</v>
      </c>
      <c r="AL86" s="35">
        <f t="shared" si="6"/>
        <v>45</v>
      </c>
      <c r="AM86" s="35">
        <f t="shared" si="5"/>
        <v>338</v>
      </c>
      <c r="AN86" s="35"/>
    </row>
    <row r="87" spans="1:40" x14ac:dyDescent="0.25">
      <c r="A87" s="18">
        <v>18</v>
      </c>
      <c r="B87" s="18" t="s">
        <v>156</v>
      </c>
      <c r="C87" s="18" t="s">
        <v>575</v>
      </c>
      <c r="D87" s="18" t="s">
        <v>13</v>
      </c>
      <c r="E87" s="18" t="s">
        <v>575</v>
      </c>
      <c r="F87" s="41">
        <v>1.6830000000000001</v>
      </c>
      <c r="G87" s="41">
        <v>1.4E-2</v>
      </c>
      <c r="H87" s="41">
        <v>-2.2410000000000001</v>
      </c>
      <c r="I87" s="18">
        <v>1.7000000000000001E-2</v>
      </c>
      <c r="J87" s="18" t="s">
        <v>576</v>
      </c>
      <c r="K87" s="18" t="s">
        <v>610</v>
      </c>
      <c r="L87" s="18" t="s">
        <v>662</v>
      </c>
      <c r="M87" s="18" t="s">
        <v>663</v>
      </c>
      <c r="N87" s="18" t="s">
        <v>664</v>
      </c>
      <c r="AF87">
        <v>3</v>
      </c>
      <c r="AG87">
        <v>823</v>
      </c>
      <c r="AI87">
        <v>4704</v>
      </c>
      <c r="AJ87">
        <v>4172</v>
      </c>
      <c r="AK87">
        <v>3876</v>
      </c>
      <c r="AL87" s="35">
        <f t="shared" si="6"/>
        <v>45</v>
      </c>
      <c r="AM87" s="35">
        <f t="shared" si="5"/>
        <v>296</v>
      </c>
      <c r="AN87" s="35"/>
    </row>
    <row r="88" spans="1:40" x14ac:dyDescent="0.25">
      <c r="A88" s="33">
        <v>19</v>
      </c>
      <c r="B88" s="33" t="s">
        <v>160</v>
      </c>
      <c r="C88" s="33" t="s">
        <v>575</v>
      </c>
      <c r="D88" s="33" t="s">
        <v>13</v>
      </c>
      <c r="E88" s="33" t="s">
        <v>575</v>
      </c>
      <c r="F88" s="28">
        <v>1.81</v>
      </c>
      <c r="G88" s="28">
        <v>7.0000000000000001E-3</v>
      </c>
      <c r="H88" s="28">
        <v>-2.5129999999999999</v>
      </c>
      <c r="I88" s="33">
        <v>1.0999999999999999E-2</v>
      </c>
      <c r="J88" s="33" t="s">
        <v>576</v>
      </c>
      <c r="K88" s="33" t="s">
        <v>610</v>
      </c>
      <c r="L88" s="33" t="s">
        <v>665</v>
      </c>
      <c r="M88" s="33" t="s">
        <v>666</v>
      </c>
      <c r="N88" s="33" t="s">
        <v>667</v>
      </c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  <c r="AA88" s="32"/>
      <c r="AB88" s="32"/>
      <c r="AC88" s="32"/>
      <c r="AD88" s="32"/>
      <c r="AE88" s="32"/>
      <c r="AF88">
        <v>3</v>
      </c>
      <c r="AG88" s="32">
        <v>922</v>
      </c>
      <c r="AH88" s="32"/>
      <c r="AI88" s="32">
        <v>6705</v>
      </c>
      <c r="AJ88" s="32">
        <v>5961</v>
      </c>
      <c r="AK88" s="32">
        <v>5534</v>
      </c>
      <c r="AL88" s="42">
        <f t="shared" si="6"/>
        <v>45</v>
      </c>
      <c r="AM88" s="42">
        <f t="shared" si="5"/>
        <v>427</v>
      </c>
      <c r="AN88" s="35"/>
    </row>
    <row r="89" spans="1:40" x14ac:dyDescent="0.25">
      <c r="A89" s="33">
        <v>20</v>
      </c>
      <c r="B89" s="33" t="s">
        <v>165</v>
      </c>
      <c r="C89" s="33" t="s">
        <v>575</v>
      </c>
      <c r="D89" s="33" t="s">
        <v>13</v>
      </c>
      <c r="E89" s="33" t="s">
        <v>575</v>
      </c>
      <c r="F89" s="28">
        <v>1.827</v>
      </c>
      <c r="G89" s="28">
        <v>6.0000000000000001E-3</v>
      </c>
      <c r="H89" s="28">
        <v>-2.5459999999999998</v>
      </c>
      <c r="I89" s="33">
        <v>1.2999999999999999E-2</v>
      </c>
      <c r="J89" s="33" t="s">
        <v>576</v>
      </c>
      <c r="K89" s="33" t="s">
        <v>610</v>
      </c>
      <c r="L89" s="33" t="s">
        <v>668</v>
      </c>
      <c r="M89" s="33" t="s">
        <v>669</v>
      </c>
      <c r="N89" s="33" t="s">
        <v>670</v>
      </c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  <c r="AA89" s="32"/>
      <c r="AB89" s="32"/>
      <c r="AC89" s="32"/>
      <c r="AD89" s="32"/>
      <c r="AE89" s="32"/>
      <c r="AF89">
        <v>3</v>
      </c>
      <c r="AG89" s="32">
        <v>841</v>
      </c>
      <c r="AH89" s="32"/>
      <c r="AI89" s="32">
        <v>5079</v>
      </c>
      <c r="AJ89" s="32">
        <v>4536</v>
      </c>
      <c r="AK89" s="32">
        <v>4216</v>
      </c>
      <c r="AL89" s="42">
        <f t="shared" si="6"/>
        <v>45</v>
      </c>
      <c r="AM89" s="42">
        <f t="shared" si="5"/>
        <v>320</v>
      </c>
      <c r="AN89" s="35"/>
    </row>
    <row r="90" spans="1:40" x14ac:dyDescent="0.25">
      <c r="A90" s="33">
        <v>21</v>
      </c>
      <c r="B90" s="33" t="s">
        <v>169</v>
      </c>
      <c r="C90" s="33" t="s">
        <v>575</v>
      </c>
      <c r="D90" s="33" t="s">
        <v>13</v>
      </c>
      <c r="E90" s="33" t="s">
        <v>575</v>
      </c>
      <c r="F90" s="28">
        <v>1.8140000000000001</v>
      </c>
      <c r="G90" s="28">
        <v>1.7000000000000001E-2</v>
      </c>
      <c r="H90" s="28">
        <v>-2.552</v>
      </c>
      <c r="I90" s="33">
        <v>1.9E-2</v>
      </c>
      <c r="J90" s="33" t="s">
        <v>576</v>
      </c>
      <c r="K90" s="33" t="s">
        <v>610</v>
      </c>
      <c r="L90" s="33" t="s">
        <v>671</v>
      </c>
      <c r="M90" s="33" t="s">
        <v>578</v>
      </c>
      <c r="N90" s="33" t="s">
        <v>672</v>
      </c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  <c r="AA90" s="32"/>
      <c r="AB90" s="32"/>
      <c r="AC90" s="32"/>
      <c r="AD90" s="32"/>
      <c r="AE90" s="32"/>
      <c r="AF90">
        <v>3</v>
      </c>
      <c r="AG90" s="32">
        <v>848</v>
      </c>
      <c r="AH90" s="32"/>
      <c r="AI90" s="32">
        <v>4824</v>
      </c>
      <c r="AJ90" s="32">
        <v>4305</v>
      </c>
      <c r="AK90" s="32">
        <v>4001</v>
      </c>
      <c r="AL90" s="42">
        <f t="shared" si="6"/>
        <v>45</v>
      </c>
      <c r="AM90" s="42">
        <f t="shared" si="5"/>
        <v>304</v>
      </c>
      <c r="AN90" s="35"/>
    </row>
    <row r="91" spans="1:40" x14ac:dyDescent="0.25">
      <c r="A91" s="33">
        <v>23</v>
      </c>
      <c r="B91" s="33" t="s">
        <v>177</v>
      </c>
      <c r="C91" s="33" t="s">
        <v>575</v>
      </c>
      <c r="D91" s="33" t="s">
        <v>13</v>
      </c>
      <c r="E91" s="33" t="s">
        <v>575</v>
      </c>
      <c r="F91" s="28">
        <v>1.782</v>
      </c>
      <c r="G91" s="28">
        <v>0.01</v>
      </c>
      <c r="H91" s="28">
        <v>-2.5310000000000001</v>
      </c>
      <c r="I91" s="33">
        <v>1.0999999999999999E-2</v>
      </c>
      <c r="J91" s="33" t="s">
        <v>576</v>
      </c>
      <c r="K91" s="33" t="s">
        <v>610</v>
      </c>
      <c r="L91" s="33" t="s">
        <v>673</v>
      </c>
      <c r="M91" s="33" t="s">
        <v>584</v>
      </c>
      <c r="N91" s="33" t="s">
        <v>674</v>
      </c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  <c r="AA91" s="32"/>
      <c r="AB91" s="32"/>
      <c r="AC91" s="32"/>
      <c r="AD91" s="32"/>
      <c r="AE91" s="32"/>
      <c r="AF91">
        <v>3</v>
      </c>
      <c r="AG91" s="32">
        <v>933</v>
      </c>
      <c r="AH91" s="32"/>
      <c r="AI91" s="32">
        <v>6399</v>
      </c>
      <c r="AJ91" s="32">
        <v>5662</v>
      </c>
      <c r="AK91" s="32">
        <v>5256</v>
      </c>
      <c r="AL91" s="42">
        <f t="shared" si="6"/>
        <v>45</v>
      </c>
      <c r="AM91" s="42">
        <f t="shared" si="5"/>
        <v>406</v>
      </c>
      <c r="AN91" s="35"/>
    </row>
    <row r="92" spans="1:40" x14ac:dyDescent="0.25">
      <c r="A92" s="33">
        <v>24</v>
      </c>
      <c r="B92" s="33" t="s">
        <v>182</v>
      </c>
      <c r="C92" s="33" t="s">
        <v>575</v>
      </c>
      <c r="D92" s="33" t="s">
        <v>13</v>
      </c>
      <c r="E92" s="33" t="s">
        <v>575</v>
      </c>
      <c r="F92" s="28">
        <v>1.8140000000000001</v>
      </c>
      <c r="G92" s="28">
        <v>0.02</v>
      </c>
      <c r="H92" s="28">
        <v>-2.5670000000000002</v>
      </c>
      <c r="I92" s="33">
        <v>1.4E-2</v>
      </c>
      <c r="J92" s="33" t="s">
        <v>576</v>
      </c>
      <c r="K92" s="33" t="s">
        <v>610</v>
      </c>
      <c r="L92" s="33" t="s">
        <v>675</v>
      </c>
      <c r="M92" s="33" t="s">
        <v>587</v>
      </c>
      <c r="N92" s="33" t="s">
        <v>676</v>
      </c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  <c r="AA92" s="32"/>
      <c r="AB92" s="32"/>
      <c r="AC92" s="32"/>
      <c r="AD92" s="32"/>
      <c r="AE92" s="32"/>
      <c r="AF92">
        <v>3</v>
      </c>
      <c r="AG92" s="32">
        <v>841</v>
      </c>
      <c r="AH92" s="32"/>
      <c r="AI92" s="32">
        <v>4700</v>
      </c>
      <c r="AJ92" s="32">
        <v>4200</v>
      </c>
      <c r="AK92" s="32">
        <v>3906</v>
      </c>
      <c r="AL92" s="42">
        <f>5*9</f>
        <v>45</v>
      </c>
      <c r="AM92" s="42">
        <f t="shared" si="5"/>
        <v>294</v>
      </c>
      <c r="AN92" s="35"/>
    </row>
    <row r="93" spans="1:40" x14ac:dyDescent="0.25">
      <c r="A93" s="33">
        <v>25</v>
      </c>
      <c r="B93" s="33" t="s">
        <v>186</v>
      </c>
      <c r="C93" s="33" t="s">
        <v>101</v>
      </c>
      <c r="D93" s="33" t="s">
        <v>13</v>
      </c>
      <c r="E93" s="33" t="s">
        <v>101</v>
      </c>
      <c r="F93" s="28">
        <v>1.8280000000000001</v>
      </c>
      <c r="G93" s="28">
        <v>7.0000000000000001E-3</v>
      </c>
      <c r="H93" s="28">
        <v>-2.5139999999999998</v>
      </c>
      <c r="I93" s="33">
        <v>6.0000000000000001E-3</v>
      </c>
      <c r="J93" s="33" t="s">
        <v>576</v>
      </c>
      <c r="K93" s="33" t="s">
        <v>610</v>
      </c>
      <c r="L93" s="33" t="s">
        <v>677</v>
      </c>
      <c r="M93" s="33" t="s">
        <v>678</v>
      </c>
      <c r="N93" s="33" t="s">
        <v>679</v>
      </c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  <c r="AA93" s="32"/>
      <c r="AB93" s="32"/>
      <c r="AC93" s="32"/>
      <c r="AD93" s="32"/>
      <c r="AE93" s="32"/>
      <c r="AF93">
        <v>3</v>
      </c>
      <c r="AG93" s="32">
        <v>894</v>
      </c>
      <c r="AH93" s="32"/>
      <c r="AI93" s="32">
        <v>5616</v>
      </c>
      <c r="AJ93" s="32">
        <v>5038</v>
      </c>
      <c r="AK93" s="32">
        <v>4682</v>
      </c>
      <c r="AL93" s="42">
        <f>6*9</f>
        <v>54</v>
      </c>
      <c r="AM93" s="42">
        <f t="shared" si="5"/>
        <v>356</v>
      </c>
      <c r="AN93" s="35"/>
    </row>
    <row r="94" spans="1:40" x14ac:dyDescent="0.25">
      <c r="A94" s="33">
        <v>26</v>
      </c>
      <c r="B94" s="33" t="s">
        <v>190</v>
      </c>
      <c r="C94" s="33" t="s">
        <v>101</v>
      </c>
      <c r="D94" s="33" t="s">
        <v>13</v>
      </c>
      <c r="E94" s="33" t="s">
        <v>101</v>
      </c>
      <c r="F94" s="28">
        <v>1.8129999999999999</v>
      </c>
      <c r="G94" s="28">
        <v>8.9999999999999993E-3</v>
      </c>
      <c r="H94" s="28">
        <v>-2.468</v>
      </c>
      <c r="I94" s="33">
        <v>1.2999999999999999E-2</v>
      </c>
      <c r="J94" s="33" t="s">
        <v>576</v>
      </c>
      <c r="K94" s="33" t="s">
        <v>680</v>
      </c>
      <c r="L94" s="33" t="s">
        <v>681</v>
      </c>
      <c r="M94" s="33" t="s">
        <v>682</v>
      </c>
      <c r="N94" s="33" t="s">
        <v>683</v>
      </c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  <c r="AA94" s="32"/>
      <c r="AB94" s="32"/>
      <c r="AC94" s="32"/>
      <c r="AD94" s="32"/>
      <c r="AE94" s="32"/>
      <c r="AF94">
        <v>3</v>
      </c>
      <c r="AG94" s="32">
        <v>961</v>
      </c>
      <c r="AH94" s="32"/>
      <c r="AI94" s="32">
        <v>7323</v>
      </c>
      <c r="AJ94" s="32">
        <v>6458</v>
      </c>
      <c r="AK94" s="32">
        <v>5988</v>
      </c>
      <c r="AL94" s="42">
        <f t="shared" ref="AL94:AL103" si="7">6*9</f>
        <v>54</v>
      </c>
      <c r="AM94" s="42">
        <f t="shared" si="5"/>
        <v>470</v>
      </c>
      <c r="AN94" s="35"/>
    </row>
    <row r="95" spans="1:40" x14ac:dyDescent="0.25">
      <c r="A95" s="33">
        <v>27</v>
      </c>
      <c r="B95" s="33" t="s">
        <v>198</v>
      </c>
      <c r="C95" s="33" t="s">
        <v>101</v>
      </c>
      <c r="D95" s="33" t="s">
        <v>13</v>
      </c>
      <c r="E95" s="33" t="s">
        <v>101</v>
      </c>
      <c r="F95" s="28">
        <v>1.8520000000000001</v>
      </c>
      <c r="G95" s="28">
        <v>1.7999999999999999E-2</v>
      </c>
      <c r="H95" s="28">
        <v>-2.3759999999999999</v>
      </c>
      <c r="I95" s="33">
        <v>7.0000000000000001E-3</v>
      </c>
      <c r="J95" s="33" t="s">
        <v>576</v>
      </c>
      <c r="K95" s="33" t="s">
        <v>680</v>
      </c>
      <c r="L95" s="33" t="s">
        <v>684</v>
      </c>
      <c r="M95" s="33" t="s">
        <v>685</v>
      </c>
      <c r="N95" s="33" t="s">
        <v>686</v>
      </c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  <c r="AA95" s="32"/>
      <c r="AB95" s="32"/>
      <c r="AC95" s="32"/>
      <c r="AD95" s="32"/>
      <c r="AE95" s="32"/>
      <c r="AF95">
        <v>3</v>
      </c>
      <c r="AG95" s="32">
        <v>961</v>
      </c>
      <c r="AH95" s="32"/>
      <c r="AI95" s="32">
        <v>6884</v>
      </c>
      <c r="AJ95" s="32">
        <v>6109</v>
      </c>
      <c r="AK95" s="32">
        <v>5670</v>
      </c>
      <c r="AL95" s="42">
        <f t="shared" si="7"/>
        <v>54</v>
      </c>
      <c r="AM95" s="42">
        <f t="shared" si="5"/>
        <v>439</v>
      </c>
      <c r="AN95" s="35"/>
    </row>
    <row r="96" spans="1:40" x14ac:dyDescent="0.25">
      <c r="A96" s="33">
        <v>28</v>
      </c>
      <c r="B96" s="33" t="s">
        <v>203</v>
      </c>
      <c r="C96" s="33" t="s">
        <v>101</v>
      </c>
      <c r="D96" s="33" t="s">
        <v>13</v>
      </c>
      <c r="E96" s="33" t="s">
        <v>101</v>
      </c>
      <c r="F96" s="28">
        <v>1.8580000000000001</v>
      </c>
      <c r="G96" s="28">
        <v>8.0000000000000002E-3</v>
      </c>
      <c r="H96" s="28">
        <v>-2.4039999999999999</v>
      </c>
      <c r="I96" s="33">
        <v>1.4E-2</v>
      </c>
      <c r="J96" s="33" t="s">
        <v>576</v>
      </c>
      <c r="K96" s="33" t="s">
        <v>680</v>
      </c>
      <c r="L96" s="33" t="s">
        <v>687</v>
      </c>
      <c r="M96" s="33" t="s">
        <v>688</v>
      </c>
      <c r="N96" s="33" t="s">
        <v>689</v>
      </c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  <c r="AA96" s="32"/>
      <c r="AB96" s="32"/>
      <c r="AC96" s="32"/>
      <c r="AD96" s="32"/>
      <c r="AE96" s="32"/>
      <c r="AF96">
        <v>3</v>
      </c>
      <c r="AG96" s="32">
        <v>884</v>
      </c>
      <c r="AH96" s="32"/>
      <c r="AI96" s="32">
        <v>5572</v>
      </c>
      <c r="AJ96" s="32">
        <v>4901</v>
      </c>
      <c r="AK96" s="32">
        <v>4550</v>
      </c>
      <c r="AL96" s="42">
        <f t="shared" si="7"/>
        <v>54</v>
      </c>
      <c r="AM96" s="42">
        <f t="shared" si="5"/>
        <v>351</v>
      </c>
      <c r="AN96" s="35"/>
    </row>
    <row r="97" spans="1:44" x14ac:dyDescent="0.25">
      <c r="A97" s="33">
        <v>30</v>
      </c>
      <c r="B97" s="33" t="s">
        <v>211</v>
      </c>
      <c r="C97" s="33" t="s">
        <v>101</v>
      </c>
      <c r="D97" s="33" t="s">
        <v>13</v>
      </c>
      <c r="E97" s="33" t="s">
        <v>101</v>
      </c>
      <c r="F97" s="28">
        <v>1.8049999999999999</v>
      </c>
      <c r="G97" s="28">
        <v>8.0000000000000002E-3</v>
      </c>
      <c r="H97" s="28">
        <v>-2.4620000000000002</v>
      </c>
      <c r="I97" s="33">
        <v>1.2E-2</v>
      </c>
      <c r="J97" s="33" t="s">
        <v>576</v>
      </c>
      <c r="K97" s="33" t="s">
        <v>680</v>
      </c>
      <c r="L97" s="33" t="s">
        <v>690</v>
      </c>
      <c r="M97" s="33" t="s">
        <v>691</v>
      </c>
      <c r="N97" s="33" t="s">
        <v>692</v>
      </c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  <c r="AA97" s="32"/>
      <c r="AB97" s="32"/>
      <c r="AC97" s="32"/>
      <c r="AD97" s="32"/>
      <c r="AE97" s="32"/>
      <c r="AF97">
        <v>3</v>
      </c>
      <c r="AG97" s="32">
        <v>951</v>
      </c>
      <c r="AH97" s="32"/>
      <c r="AI97" s="32">
        <v>6917</v>
      </c>
      <c r="AJ97" s="32">
        <v>6069</v>
      </c>
      <c r="AK97" s="32">
        <v>5631</v>
      </c>
      <c r="AL97" s="42">
        <f t="shared" si="7"/>
        <v>54</v>
      </c>
      <c r="AM97" s="42">
        <f t="shared" si="5"/>
        <v>438</v>
      </c>
      <c r="AN97" s="35"/>
    </row>
    <row r="98" spans="1:44" x14ac:dyDescent="0.25">
      <c r="A98" s="33">
        <v>31</v>
      </c>
      <c r="B98" s="33" t="s">
        <v>194</v>
      </c>
      <c r="C98" s="33" t="s">
        <v>101</v>
      </c>
      <c r="D98" s="33" t="s">
        <v>13</v>
      </c>
      <c r="E98" s="33" t="s">
        <v>101</v>
      </c>
      <c r="F98" s="28">
        <v>1.8480000000000001</v>
      </c>
      <c r="G98" s="28">
        <v>0.01</v>
      </c>
      <c r="H98" s="28">
        <v>-2.4140000000000001</v>
      </c>
      <c r="I98" s="33">
        <v>7.0000000000000001E-3</v>
      </c>
      <c r="J98" s="33" t="s">
        <v>576</v>
      </c>
      <c r="K98" s="33" t="s">
        <v>680</v>
      </c>
      <c r="L98" s="33" t="s">
        <v>693</v>
      </c>
      <c r="M98" s="33" t="s">
        <v>694</v>
      </c>
      <c r="N98" s="33" t="s">
        <v>695</v>
      </c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  <c r="AA98" s="32"/>
      <c r="AB98" s="32"/>
      <c r="AC98" s="32"/>
      <c r="AD98" s="32"/>
      <c r="AE98" s="32"/>
      <c r="AF98">
        <v>3</v>
      </c>
      <c r="AG98" s="32">
        <v>919</v>
      </c>
      <c r="AH98" s="32"/>
      <c r="AI98" s="32">
        <v>6480</v>
      </c>
      <c r="AJ98" s="32">
        <v>5717</v>
      </c>
      <c r="AK98" s="32">
        <v>5305</v>
      </c>
      <c r="AL98" s="42">
        <f t="shared" si="7"/>
        <v>54</v>
      </c>
      <c r="AM98" s="42">
        <f t="shared" si="5"/>
        <v>412</v>
      </c>
      <c r="AN98" s="35"/>
    </row>
    <row r="99" spans="1:44" x14ac:dyDescent="0.25">
      <c r="A99" s="33">
        <v>32</v>
      </c>
      <c r="B99" s="33" t="s">
        <v>696</v>
      </c>
      <c r="C99" s="33" t="s">
        <v>101</v>
      </c>
      <c r="D99" s="33" t="s">
        <v>13</v>
      </c>
      <c r="E99" s="33" t="s">
        <v>101</v>
      </c>
      <c r="F99" s="28">
        <v>1.8260000000000001</v>
      </c>
      <c r="G99" s="28">
        <v>7.0000000000000001E-3</v>
      </c>
      <c r="H99" s="28">
        <v>-2.3959999999999999</v>
      </c>
      <c r="I99" s="33">
        <v>0.02</v>
      </c>
      <c r="J99" s="33" t="s">
        <v>576</v>
      </c>
      <c r="K99" s="33" t="s">
        <v>680</v>
      </c>
      <c r="L99" s="33" t="s">
        <v>697</v>
      </c>
      <c r="M99" s="33" t="s">
        <v>698</v>
      </c>
      <c r="N99" s="33" t="s">
        <v>699</v>
      </c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  <c r="AA99" s="32"/>
      <c r="AB99" s="32"/>
      <c r="AC99" s="32"/>
      <c r="AD99" s="32"/>
      <c r="AE99" s="32"/>
      <c r="AF99">
        <v>3</v>
      </c>
      <c r="AG99" s="32">
        <v>930</v>
      </c>
      <c r="AH99" s="32"/>
      <c r="AI99" s="32">
        <v>6314</v>
      </c>
      <c r="AJ99" s="32">
        <v>5566</v>
      </c>
      <c r="AK99" s="32">
        <v>5172</v>
      </c>
      <c r="AL99" s="42">
        <f t="shared" si="7"/>
        <v>54</v>
      </c>
      <c r="AM99" s="42">
        <f t="shared" si="5"/>
        <v>394</v>
      </c>
      <c r="AN99" s="35"/>
    </row>
    <row r="100" spans="1:44" x14ac:dyDescent="0.25">
      <c r="A100" s="33">
        <v>33</v>
      </c>
      <c r="B100" s="33" t="s">
        <v>700</v>
      </c>
      <c r="C100" s="33" t="s">
        <v>101</v>
      </c>
      <c r="D100" s="33" t="s">
        <v>13</v>
      </c>
      <c r="E100" s="33" t="s">
        <v>101</v>
      </c>
      <c r="F100" s="28">
        <v>1.8440000000000001</v>
      </c>
      <c r="G100" s="28">
        <v>3.0000000000000001E-3</v>
      </c>
      <c r="H100" s="28">
        <v>-2.4279999999999999</v>
      </c>
      <c r="I100" s="33">
        <v>1.4E-2</v>
      </c>
      <c r="J100" s="33" t="s">
        <v>576</v>
      </c>
      <c r="K100" s="33" t="s">
        <v>680</v>
      </c>
      <c r="L100" s="33" t="s">
        <v>701</v>
      </c>
      <c r="M100" s="33" t="s">
        <v>702</v>
      </c>
      <c r="N100" s="33" t="s">
        <v>703</v>
      </c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  <c r="AA100" s="32"/>
      <c r="AB100" s="32"/>
      <c r="AC100" s="32"/>
      <c r="AD100" s="32"/>
      <c r="AE100" s="32"/>
      <c r="AF100">
        <v>3</v>
      </c>
      <c r="AG100" s="32">
        <v>802</v>
      </c>
      <c r="AH100" s="32"/>
      <c r="AI100" s="32">
        <v>3831</v>
      </c>
      <c r="AJ100" s="32">
        <v>3434</v>
      </c>
      <c r="AK100" s="32">
        <v>3192</v>
      </c>
      <c r="AL100" s="42">
        <f t="shared" si="7"/>
        <v>54</v>
      </c>
      <c r="AM100" s="42">
        <f t="shared" si="5"/>
        <v>242</v>
      </c>
      <c r="AN100" s="35"/>
    </row>
    <row r="101" spans="1:44" x14ac:dyDescent="0.25">
      <c r="A101" s="33">
        <v>34</v>
      </c>
      <c r="B101" s="33" t="s">
        <v>704</v>
      </c>
      <c r="C101" s="33" t="s">
        <v>101</v>
      </c>
      <c r="D101" s="33" t="s">
        <v>13</v>
      </c>
      <c r="E101" s="33" t="s">
        <v>101</v>
      </c>
      <c r="F101" s="28">
        <v>1.857</v>
      </c>
      <c r="G101" s="28">
        <v>4.0000000000000001E-3</v>
      </c>
      <c r="H101" s="28">
        <v>-2.38</v>
      </c>
      <c r="I101" s="33">
        <v>1.0999999999999999E-2</v>
      </c>
      <c r="J101" s="33" t="s">
        <v>576</v>
      </c>
      <c r="K101" s="33" t="s">
        <v>680</v>
      </c>
      <c r="L101" s="33" t="s">
        <v>705</v>
      </c>
      <c r="M101" s="33" t="s">
        <v>706</v>
      </c>
      <c r="N101" s="33" t="s">
        <v>707</v>
      </c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  <c r="AA101" s="32"/>
      <c r="AB101" s="32"/>
      <c r="AC101" s="32"/>
      <c r="AD101" s="32"/>
      <c r="AE101" s="32"/>
      <c r="AF101">
        <v>3</v>
      </c>
      <c r="AG101" s="32">
        <v>951</v>
      </c>
      <c r="AH101" s="32"/>
      <c r="AI101" s="32">
        <v>6474</v>
      </c>
      <c r="AJ101" s="32">
        <v>5716</v>
      </c>
      <c r="AK101" s="32">
        <v>5307</v>
      </c>
      <c r="AL101" s="42">
        <f t="shared" si="7"/>
        <v>54</v>
      </c>
      <c r="AM101" s="42">
        <f t="shared" si="5"/>
        <v>409</v>
      </c>
      <c r="AN101" s="35"/>
    </row>
    <row r="102" spans="1:44" x14ac:dyDescent="0.25">
      <c r="A102" s="33">
        <v>35</v>
      </c>
      <c r="B102" s="33" t="s">
        <v>708</v>
      </c>
      <c r="C102" s="33" t="s">
        <v>101</v>
      </c>
      <c r="D102" s="33" t="s">
        <v>13</v>
      </c>
      <c r="E102" s="33" t="s">
        <v>101</v>
      </c>
      <c r="F102" s="28">
        <v>1.7869999999999999</v>
      </c>
      <c r="G102" s="28">
        <v>6.0000000000000001E-3</v>
      </c>
      <c r="H102" s="28">
        <v>-2.161</v>
      </c>
      <c r="I102" s="33">
        <v>1.9E-2</v>
      </c>
      <c r="J102" s="33" t="s">
        <v>576</v>
      </c>
      <c r="K102" s="33" t="s">
        <v>680</v>
      </c>
      <c r="L102" s="33" t="s">
        <v>709</v>
      </c>
      <c r="M102" s="33" t="s">
        <v>710</v>
      </c>
      <c r="N102" s="33" t="s">
        <v>711</v>
      </c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  <c r="AA102" s="32"/>
      <c r="AB102" s="32"/>
      <c r="AC102" s="32"/>
      <c r="AD102" s="32"/>
      <c r="AE102" s="32"/>
      <c r="AF102">
        <v>3</v>
      </c>
      <c r="AG102" s="32">
        <v>940</v>
      </c>
      <c r="AH102" s="32"/>
      <c r="AI102" s="32">
        <v>6345</v>
      </c>
      <c r="AJ102" s="32">
        <v>5624</v>
      </c>
      <c r="AK102" s="32">
        <v>5222</v>
      </c>
      <c r="AL102" s="42">
        <f t="shared" si="7"/>
        <v>54</v>
      </c>
      <c r="AM102" s="42">
        <f t="shared" si="5"/>
        <v>402</v>
      </c>
      <c r="AN102" s="35"/>
    </row>
    <row r="103" spans="1:44" x14ac:dyDescent="0.25">
      <c r="A103" s="33">
        <v>36</v>
      </c>
      <c r="B103" s="33" t="s">
        <v>712</v>
      </c>
      <c r="C103" s="33" t="s">
        <v>101</v>
      </c>
      <c r="D103" s="33" t="s">
        <v>13</v>
      </c>
      <c r="E103" s="33" t="s">
        <v>101</v>
      </c>
      <c r="F103" s="28">
        <v>1.8160000000000001</v>
      </c>
      <c r="G103" s="28">
        <v>0.01</v>
      </c>
      <c r="H103" s="28">
        <v>-2.5299999999999998</v>
      </c>
      <c r="I103" s="33">
        <v>1.4E-2</v>
      </c>
      <c r="J103" s="33" t="s">
        <v>576</v>
      </c>
      <c r="K103" s="33" t="s">
        <v>680</v>
      </c>
      <c r="L103" s="33" t="s">
        <v>713</v>
      </c>
      <c r="M103" s="33" t="s">
        <v>714</v>
      </c>
      <c r="N103" s="33" t="s">
        <v>715</v>
      </c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  <c r="AA103" s="32"/>
      <c r="AB103" s="32"/>
      <c r="AC103" s="32"/>
      <c r="AD103" s="32"/>
      <c r="AE103" s="32"/>
      <c r="AF103">
        <v>3</v>
      </c>
      <c r="AG103" s="32">
        <v>922</v>
      </c>
      <c r="AH103" s="32"/>
      <c r="AI103" s="32">
        <v>5639</v>
      </c>
      <c r="AJ103" s="32">
        <v>5049</v>
      </c>
      <c r="AK103" s="32">
        <v>4690</v>
      </c>
      <c r="AL103" s="42">
        <f t="shared" si="7"/>
        <v>54</v>
      </c>
      <c r="AM103" s="42">
        <f t="shared" si="5"/>
        <v>359</v>
      </c>
      <c r="AN103" s="35"/>
    </row>
    <row r="104" spans="1:44" x14ac:dyDescent="0.25">
      <c r="A104" s="18">
        <v>43</v>
      </c>
      <c r="B104" s="18" t="s">
        <v>716</v>
      </c>
      <c r="C104" s="18" t="s">
        <v>500</v>
      </c>
      <c r="D104" s="18" t="s">
        <v>13</v>
      </c>
      <c r="E104" s="18" t="s">
        <v>500</v>
      </c>
      <c r="F104" s="41">
        <v>1.774</v>
      </c>
      <c r="G104" s="41">
        <v>1.4999999999999999E-2</v>
      </c>
      <c r="H104" s="41">
        <v>-2.621</v>
      </c>
      <c r="I104" s="18">
        <v>2.1000000000000001E-2</v>
      </c>
      <c r="J104" s="18" t="s">
        <v>576</v>
      </c>
      <c r="K104" s="18" t="s">
        <v>680</v>
      </c>
      <c r="L104" s="18" t="s">
        <v>717</v>
      </c>
      <c r="M104" s="18" t="s">
        <v>718</v>
      </c>
      <c r="N104" s="18" t="s">
        <v>719</v>
      </c>
      <c r="AF104">
        <v>3</v>
      </c>
      <c r="AG104">
        <v>735</v>
      </c>
      <c r="AI104">
        <v>3172</v>
      </c>
      <c r="AJ104">
        <v>2785</v>
      </c>
      <c r="AK104">
        <v>2589</v>
      </c>
      <c r="AL104" s="35">
        <f>3*9</f>
        <v>27</v>
      </c>
      <c r="AM104" s="35">
        <f t="shared" si="5"/>
        <v>196</v>
      </c>
      <c r="AN104" s="35"/>
    </row>
    <row r="105" spans="1:44" x14ac:dyDescent="0.25">
      <c r="A105" s="18">
        <v>44</v>
      </c>
      <c r="B105" s="18" t="s">
        <v>720</v>
      </c>
      <c r="C105" s="18" t="s">
        <v>500</v>
      </c>
      <c r="D105" s="18" t="s">
        <v>13</v>
      </c>
      <c r="E105" s="18" t="s">
        <v>500</v>
      </c>
      <c r="F105" s="41">
        <v>1.8180000000000001</v>
      </c>
      <c r="G105" s="41">
        <v>1.2E-2</v>
      </c>
      <c r="H105" s="41">
        <v>-2.4020000000000001</v>
      </c>
      <c r="I105" s="18">
        <v>6.0000000000000001E-3</v>
      </c>
      <c r="J105" s="18" t="s">
        <v>576</v>
      </c>
      <c r="K105" s="18" t="s">
        <v>680</v>
      </c>
      <c r="L105" s="18" t="s">
        <v>721</v>
      </c>
      <c r="M105" s="18" t="s">
        <v>722</v>
      </c>
      <c r="N105" s="18" t="s">
        <v>723</v>
      </c>
      <c r="AF105">
        <v>3</v>
      </c>
      <c r="AG105">
        <v>752</v>
      </c>
      <c r="AI105">
        <v>3219</v>
      </c>
      <c r="AJ105">
        <v>2790</v>
      </c>
      <c r="AK105">
        <v>2595</v>
      </c>
      <c r="AL105" s="35">
        <f>3*9</f>
        <v>27</v>
      </c>
      <c r="AM105" s="35">
        <f t="shared" si="5"/>
        <v>195</v>
      </c>
      <c r="AN105" s="35"/>
    </row>
    <row r="106" spans="1:44" x14ac:dyDescent="0.25">
      <c r="A106" s="18">
        <v>45</v>
      </c>
      <c r="B106" s="18" t="s">
        <v>724</v>
      </c>
      <c r="C106" s="18" t="s">
        <v>500</v>
      </c>
      <c r="D106" s="18" t="s">
        <v>13</v>
      </c>
      <c r="E106" s="18" t="s">
        <v>500</v>
      </c>
      <c r="F106" s="18">
        <v>1.895</v>
      </c>
      <c r="G106" s="18">
        <v>0.01</v>
      </c>
      <c r="H106" s="18">
        <v>-2.573</v>
      </c>
      <c r="I106" s="18">
        <v>1.9E-2</v>
      </c>
      <c r="J106" s="18" t="s">
        <v>576</v>
      </c>
      <c r="K106" s="18" t="s">
        <v>680</v>
      </c>
      <c r="L106" s="18" t="s">
        <v>725</v>
      </c>
      <c r="M106" s="18" t="s">
        <v>726</v>
      </c>
      <c r="N106" s="18" t="s">
        <v>727</v>
      </c>
      <c r="AF106">
        <v>3</v>
      </c>
      <c r="AG106">
        <v>706</v>
      </c>
      <c r="AI106">
        <v>2823</v>
      </c>
      <c r="AJ106">
        <v>2472</v>
      </c>
      <c r="AK106">
        <v>2298</v>
      </c>
      <c r="AL106" s="35">
        <f>3*9</f>
        <v>27</v>
      </c>
      <c r="AM106" s="35">
        <f t="shared" si="5"/>
        <v>174</v>
      </c>
      <c r="AN106" s="35"/>
    </row>
    <row r="107" spans="1:44" x14ac:dyDescent="0.25">
      <c r="A107" s="18">
        <v>46</v>
      </c>
      <c r="B107" s="18" t="s">
        <v>728</v>
      </c>
      <c r="C107" s="18" t="s">
        <v>500</v>
      </c>
      <c r="D107" s="18" t="s">
        <v>13</v>
      </c>
      <c r="E107" s="18" t="s">
        <v>500</v>
      </c>
      <c r="F107" s="18">
        <v>1.849</v>
      </c>
      <c r="G107" s="18">
        <v>1.4999999999999999E-2</v>
      </c>
      <c r="H107" s="18">
        <v>-2.5590000000000002</v>
      </c>
      <c r="I107" s="18">
        <v>2.4E-2</v>
      </c>
      <c r="J107" s="18" t="s">
        <v>576</v>
      </c>
      <c r="K107" s="18" t="s">
        <v>680</v>
      </c>
      <c r="L107" s="18" t="s">
        <v>729</v>
      </c>
      <c r="M107" s="18" t="s">
        <v>730</v>
      </c>
      <c r="N107" s="18" t="s">
        <v>731</v>
      </c>
      <c r="AF107">
        <v>3</v>
      </c>
      <c r="AG107">
        <v>685</v>
      </c>
      <c r="AI107">
        <v>2729</v>
      </c>
      <c r="AJ107">
        <v>2393</v>
      </c>
      <c r="AK107">
        <v>2227</v>
      </c>
      <c r="AL107" s="35">
        <f>3*9</f>
        <v>27</v>
      </c>
      <c r="AM107" s="35">
        <f t="shared" si="5"/>
        <v>166</v>
      </c>
      <c r="AN107" s="35"/>
    </row>
    <row r="108" spans="1:44" x14ac:dyDescent="0.25">
      <c r="A108" s="43"/>
      <c r="B108" s="43"/>
      <c r="C108" s="43"/>
      <c r="D108" s="43"/>
      <c r="E108" s="43"/>
      <c r="F108" s="44"/>
      <c r="G108" s="43"/>
      <c r="H108" s="44"/>
    </row>
    <row r="109" spans="1:44" x14ac:dyDescent="0.25">
      <c r="A109" s="43"/>
      <c r="B109" s="43"/>
      <c r="C109" s="43"/>
      <c r="D109" s="43"/>
      <c r="E109" s="43"/>
      <c r="F109" s="44"/>
      <c r="G109" s="43"/>
      <c r="H109" s="44"/>
    </row>
    <row r="110" spans="1:44" x14ac:dyDescent="0.25">
      <c r="A110" s="43"/>
      <c r="B110" s="43"/>
      <c r="C110" s="43"/>
      <c r="D110" s="43"/>
      <c r="E110" s="43"/>
      <c r="F110" s="44"/>
      <c r="G110" s="43"/>
      <c r="H110" s="44"/>
    </row>
    <row r="111" spans="1:44" x14ac:dyDescent="0.25">
      <c r="A111" s="45">
        <v>42235</v>
      </c>
    </row>
    <row r="112" spans="1:44" x14ac:dyDescent="0.25">
      <c r="A112" s="18" t="s">
        <v>24</v>
      </c>
      <c r="B112" s="18" t="s">
        <v>25</v>
      </c>
      <c r="C112" s="18" t="s">
        <v>26</v>
      </c>
      <c r="D112" s="18" t="s">
        <v>27</v>
      </c>
      <c r="E112" s="18" t="s">
        <v>28</v>
      </c>
      <c r="F112" s="18" t="s">
        <v>29</v>
      </c>
      <c r="G112" s="18" t="s">
        <v>30</v>
      </c>
      <c r="H112" s="18" t="s">
        <v>31</v>
      </c>
      <c r="I112" s="18" t="s">
        <v>32</v>
      </c>
      <c r="J112" s="18" t="s">
        <v>33</v>
      </c>
      <c r="K112" s="18" t="s">
        <v>34</v>
      </c>
      <c r="L112" s="18" t="s">
        <v>35</v>
      </c>
      <c r="M112" s="18" t="s">
        <v>36</v>
      </c>
      <c r="N112" s="18" t="s">
        <v>37</v>
      </c>
      <c r="O112" s="18" t="s">
        <v>38</v>
      </c>
      <c r="P112" s="18" t="s">
        <v>39</v>
      </c>
      <c r="Q112" s="18" t="s">
        <v>40</v>
      </c>
      <c r="R112" s="18" t="s">
        <v>41</v>
      </c>
      <c r="S112" s="18" t="s">
        <v>42</v>
      </c>
      <c r="T112" s="18" t="s">
        <v>43</v>
      </c>
      <c r="AL112" t="s">
        <v>36</v>
      </c>
      <c r="AM112" t="s">
        <v>44</v>
      </c>
      <c r="AN112" t="s">
        <v>45</v>
      </c>
      <c r="AO112" t="s">
        <v>46</v>
      </c>
      <c r="AP112" t="s">
        <v>47</v>
      </c>
      <c r="AQ112" t="s">
        <v>48</v>
      </c>
      <c r="AR112" t="s">
        <v>732</v>
      </c>
    </row>
    <row r="113" spans="1:44" x14ac:dyDescent="0.25">
      <c r="A113" s="18">
        <v>1</v>
      </c>
      <c r="B113" s="18" t="s">
        <v>49</v>
      </c>
      <c r="C113" s="18" t="s">
        <v>50</v>
      </c>
      <c r="E113" s="18" t="s">
        <v>50</v>
      </c>
      <c r="F113" s="18">
        <v>-4.5</v>
      </c>
      <c r="G113" s="18">
        <v>1.85</v>
      </c>
      <c r="H113" s="18">
        <v>8.0000000000000002E-3</v>
      </c>
      <c r="I113" s="18">
        <v>-14.05</v>
      </c>
      <c r="J113" s="18">
        <v>-2.3639999999999999</v>
      </c>
      <c r="K113" s="18">
        <v>1.7000000000000001E-2</v>
      </c>
      <c r="L113" s="18" t="s">
        <v>51</v>
      </c>
      <c r="M113" s="18">
        <v>3</v>
      </c>
      <c r="N113" s="18">
        <v>480</v>
      </c>
      <c r="O113" s="18">
        <v>90</v>
      </c>
      <c r="P113" s="18">
        <v>1</v>
      </c>
      <c r="Q113" s="18" t="s">
        <v>52</v>
      </c>
      <c r="R113" s="18" t="s">
        <v>53</v>
      </c>
      <c r="S113" s="18" t="s">
        <v>54</v>
      </c>
      <c r="T113" s="18" t="s">
        <v>55</v>
      </c>
      <c r="AL113">
        <v>3</v>
      </c>
      <c r="AM113">
        <v>735</v>
      </c>
      <c r="AN113">
        <v>3708</v>
      </c>
      <c r="AO113">
        <v>3266</v>
      </c>
      <c r="AP113">
        <v>3036</v>
      </c>
      <c r="AQ113">
        <f t="shared" ref="AQ113:AQ118" si="8">AO113-AP113</f>
        <v>230</v>
      </c>
      <c r="AR113">
        <f>4*9</f>
        <v>36</v>
      </c>
    </row>
    <row r="114" spans="1:44" x14ac:dyDescent="0.25">
      <c r="A114" s="18">
        <v>2</v>
      </c>
      <c r="B114" s="18" t="s">
        <v>56</v>
      </c>
      <c r="C114" s="18" t="s">
        <v>50</v>
      </c>
      <c r="E114" s="18" t="s">
        <v>50</v>
      </c>
      <c r="F114" s="18">
        <v>-4.5</v>
      </c>
      <c r="G114" s="18">
        <v>1.7829999999999999</v>
      </c>
      <c r="H114" s="18">
        <v>1.2999999999999999E-2</v>
      </c>
      <c r="I114" s="18">
        <v>-14.05</v>
      </c>
      <c r="J114" s="18">
        <v>-2.496</v>
      </c>
      <c r="K114" s="18">
        <v>1.6E-2</v>
      </c>
      <c r="L114" s="18" t="s">
        <v>51</v>
      </c>
      <c r="M114" s="18">
        <v>3</v>
      </c>
      <c r="N114" s="18">
        <v>480</v>
      </c>
      <c r="O114" s="18">
        <v>90</v>
      </c>
      <c r="P114" s="18">
        <v>1</v>
      </c>
      <c r="Q114" s="18" t="s">
        <v>52</v>
      </c>
      <c r="R114" s="18" t="s">
        <v>57</v>
      </c>
      <c r="S114" s="18" t="s">
        <v>58</v>
      </c>
      <c r="T114" s="18" t="s">
        <v>59</v>
      </c>
      <c r="AL114">
        <v>3</v>
      </c>
      <c r="AM114">
        <v>763</v>
      </c>
      <c r="AN114">
        <v>4166</v>
      </c>
      <c r="AO114">
        <v>3739</v>
      </c>
      <c r="AP114">
        <v>3477</v>
      </c>
      <c r="AQ114">
        <f t="shared" si="8"/>
        <v>262</v>
      </c>
      <c r="AR114">
        <f>4*9</f>
        <v>36</v>
      </c>
    </row>
    <row r="115" spans="1:44" x14ac:dyDescent="0.25">
      <c r="A115" s="18">
        <v>3</v>
      </c>
      <c r="B115" s="18" t="s">
        <v>60</v>
      </c>
      <c r="C115" s="18" t="s">
        <v>50</v>
      </c>
      <c r="E115" s="18" t="s">
        <v>50</v>
      </c>
      <c r="F115" s="18">
        <v>-4.5</v>
      </c>
      <c r="G115" s="18">
        <v>1.8260000000000001</v>
      </c>
      <c r="H115" s="18">
        <v>1.2E-2</v>
      </c>
      <c r="I115" s="18">
        <v>-14.05</v>
      </c>
      <c r="J115" s="18">
        <v>-2.4609999999999999</v>
      </c>
      <c r="K115" s="18">
        <v>2.5999999999999999E-2</v>
      </c>
      <c r="L115" s="18" t="s">
        <v>51</v>
      </c>
      <c r="M115" s="18">
        <v>3</v>
      </c>
      <c r="N115" s="18">
        <v>480</v>
      </c>
      <c r="O115" s="18">
        <v>90</v>
      </c>
      <c r="P115" s="18">
        <v>1</v>
      </c>
      <c r="Q115" s="18" t="s">
        <v>52</v>
      </c>
      <c r="R115" s="18" t="s">
        <v>61</v>
      </c>
      <c r="S115" s="18" t="s">
        <v>62</v>
      </c>
      <c r="T115" s="18" t="s">
        <v>63</v>
      </c>
      <c r="AL115">
        <v>3</v>
      </c>
      <c r="AM115">
        <v>728</v>
      </c>
      <c r="AN115">
        <v>3358</v>
      </c>
      <c r="AO115">
        <v>3013</v>
      </c>
      <c r="AP115">
        <v>2802</v>
      </c>
      <c r="AQ115">
        <f t="shared" si="8"/>
        <v>211</v>
      </c>
      <c r="AR115">
        <f t="shared" ref="AR115:AR146" si="9">4*9</f>
        <v>36</v>
      </c>
    </row>
    <row r="116" spans="1:44" x14ac:dyDescent="0.25">
      <c r="A116" s="18">
        <v>4</v>
      </c>
      <c r="B116" s="18" t="s">
        <v>64</v>
      </c>
      <c r="C116" s="18" t="s">
        <v>50</v>
      </c>
      <c r="E116" s="18" t="s">
        <v>50</v>
      </c>
      <c r="F116" s="18">
        <v>-4.5</v>
      </c>
      <c r="G116" s="18">
        <v>1.819</v>
      </c>
      <c r="H116" s="18">
        <v>7.0000000000000001E-3</v>
      </c>
      <c r="I116" s="18">
        <v>-14.05</v>
      </c>
      <c r="J116" s="18">
        <v>-2.5529999999999999</v>
      </c>
      <c r="K116" s="18">
        <v>0.01</v>
      </c>
      <c r="L116" s="18" t="s">
        <v>51</v>
      </c>
      <c r="M116" s="18">
        <v>3</v>
      </c>
      <c r="N116" s="18">
        <v>480</v>
      </c>
      <c r="O116" s="18">
        <v>90</v>
      </c>
      <c r="P116" s="18">
        <v>1</v>
      </c>
      <c r="Q116" s="18" t="s">
        <v>52</v>
      </c>
      <c r="R116" s="18" t="s">
        <v>65</v>
      </c>
      <c r="S116" s="18" t="s">
        <v>66</v>
      </c>
      <c r="T116" s="18" t="s">
        <v>67</v>
      </c>
      <c r="AL116">
        <v>3</v>
      </c>
      <c r="AM116">
        <v>784</v>
      </c>
      <c r="AN116">
        <v>4364</v>
      </c>
      <c r="AO116">
        <v>3899</v>
      </c>
      <c r="AP116">
        <v>3624</v>
      </c>
      <c r="AQ116">
        <f t="shared" si="8"/>
        <v>275</v>
      </c>
      <c r="AR116">
        <f t="shared" si="9"/>
        <v>36</v>
      </c>
    </row>
    <row r="117" spans="1:44" x14ac:dyDescent="0.25">
      <c r="A117" s="18">
        <v>5</v>
      </c>
      <c r="B117" s="18" t="s">
        <v>110</v>
      </c>
      <c r="C117" s="18" t="s">
        <v>50</v>
      </c>
      <c r="E117" s="18" t="s">
        <v>50</v>
      </c>
      <c r="F117" s="18">
        <v>-4.5</v>
      </c>
      <c r="G117" s="18">
        <v>1.8360000000000001</v>
      </c>
      <c r="H117" s="18">
        <v>7.0000000000000001E-3</v>
      </c>
      <c r="I117" s="18">
        <v>-14.05</v>
      </c>
      <c r="J117" s="18">
        <v>-2.496</v>
      </c>
      <c r="K117" s="18">
        <v>2.5000000000000001E-2</v>
      </c>
      <c r="L117" s="18" t="s">
        <v>86</v>
      </c>
      <c r="M117" s="18">
        <v>3</v>
      </c>
      <c r="N117" s="18">
        <v>600</v>
      </c>
      <c r="O117" s="18">
        <v>90</v>
      </c>
      <c r="P117" s="18">
        <v>1</v>
      </c>
      <c r="Q117" s="18" t="s">
        <v>52</v>
      </c>
      <c r="R117" s="18" t="s">
        <v>111</v>
      </c>
      <c r="S117" s="18" t="s">
        <v>112</v>
      </c>
      <c r="T117" s="18" t="s">
        <v>113</v>
      </c>
      <c r="AL117">
        <v>3</v>
      </c>
      <c r="AM117">
        <v>802</v>
      </c>
      <c r="AN117">
        <v>4098</v>
      </c>
      <c r="AO117">
        <v>3654</v>
      </c>
      <c r="AP117">
        <v>3398</v>
      </c>
      <c r="AQ117">
        <f t="shared" si="8"/>
        <v>256</v>
      </c>
      <c r="AR117">
        <f t="shared" si="9"/>
        <v>36</v>
      </c>
    </row>
    <row r="118" spans="1:44" x14ac:dyDescent="0.25">
      <c r="A118" s="18">
        <v>6</v>
      </c>
      <c r="B118" s="18" t="s">
        <v>114</v>
      </c>
      <c r="C118" s="18" t="s">
        <v>50</v>
      </c>
      <c r="E118" s="18" t="s">
        <v>50</v>
      </c>
      <c r="F118" s="18">
        <v>-4.5</v>
      </c>
      <c r="G118" s="18">
        <v>1.7889999999999999</v>
      </c>
      <c r="H118" s="18">
        <v>1.2999999999999999E-2</v>
      </c>
      <c r="I118" s="18">
        <v>-14.05</v>
      </c>
      <c r="J118" s="18">
        <v>-2.5030000000000001</v>
      </c>
      <c r="K118" s="18">
        <v>1.7000000000000001E-2</v>
      </c>
      <c r="L118" s="18" t="s">
        <v>86</v>
      </c>
      <c r="M118" s="18">
        <v>3</v>
      </c>
      <c r="N118" s="18">
        <v>600</v>
      </c>
      <c r="O118" s="18">
        <v>90</v>
      </c>
      <c r="P118" s="18">
        <v>1</v>
      </c>
      <c r="Q118" s="18" t="s">
        <v>52</v>
      </c>
      <c r="R118" s="18" t="s">
        <v>115</v>
      </c>
      <c r="S118" s="18" t="s">
        <v>116</v>
      </c>
      <c r="T118" s="18" t="s">
        <v>117</v>
      </c>
      <c r="AL118">
        <v>3</v>
      </c>
      <c r="AM118">
        <v>816</v>
      </c>
      <c r="AN118">
        <v>4238</v>
      </c>
      <c r="AO118">
        <v>3822</v>
      </c>
      <c r="AP118">
        <v>3553</v>
      </c>
      <c r="AQ118">
        <f t="shared" si="8"/>
        <v>269</v>
      </c>
      <c r="AR118">
        <f t="shared" si="9"/>
        <v>36</v>
      </c>
    </row>
    <row r="119" spans="1:44" x14ac:dyDescent="0.25">
      <c r="A119" s="18">
        <v>1</v>
      </c>
      <c r="B119" s="18" t="s">
        <v>49</v>
      </c>
      <c r="C119" s="18" t="s">
        <v>100</v>
      </c>
      <c r="E119" s="18" t="s">
        <v>101</v>
      </c>
      <c r="F119" s="18">
        <v>-4.5</v>
      </c>
      <c r="G119" s="18">
        <v>1.69</v>
      </c>
      <c r="H119" s="18">
        <v>5.0000000000000001E-3</v>
      </c>
      <c r="I119" s="18">
        <v>-14.05</v>
      </c>
      <c r="J119" s="18">
        <v>-2.4710000000000001</v>
      </c>
      <c r="K119" s="18">
        <v>1.0999999999999999E-2</v>
      </c>
      <c r="L119" s="18" t="s">
        <v>102</v>
      </c>
      <c r="M119" s="18">
        <v>3</v>
      </c>
      <c r="N119" s="18">
        <v>600</v>
      </c>
      <c r="O119" s="18">
        <v>90</v>
      </c>
      <c r="P119" s="18">
        <v>1</v>
      </c>
      <c r="Q119" s="18" t="s">
        <v>103</v>
      </c>
      <c r="R119" s="18" t="s">
        <v>104</v>
      </c>
      <c r="S119" s="18" t="s">
        <v>105</v>
      </c>
      <c r="T119" s="18" t="s">
        <v>106</v>
      </c>
      <c r="AL119">
        <v>3</v>
      </c>
      <c r="AM119">
        <v>968</v>
      </c>
      <c r="AN119">
        <v>7750</v>
      </c>
      <c r="AO119">
        <v>6805</v>
      </c>
      <c r="AP119">
        <v>6315</v>
      </c>
      <c r="AQ119">
        <f>AO119-AP119</f>
        <v>490</v>
      </c>
      <c r="AR119">
        <f>6*9</f>
        <v>54</v>
      </c>
    </row>
    <row r="120" spans="1:44" x14ac:dyDescent="0.25">
      <c r="A120" s="38">
        <v>42240</v>
      </c>
      <c r="B120" s="43"/>
      <c r="C120" s="43"/>
      <c r="D120" s="43"/>
      <c r="E120" s="43"/>
      <c r="F120" s="44"/>
      <c r="G120" s="43"/>
      <c r="H120" s="44"/>
    </row>
    <row r="121" spans="1:44" x14ac:dyDescent="0.25">
      <c r="A121" s="18">
        <v>1</v>
      </c>
      <c r="B121" s="18" t="s">
        <v>49</v>
      </c>
      <c r="C121" s="18" t="s">
        <v>50</v>
      </c>
      <c r="E121" s="18" t="s">
        <v>50</v>
      </c>
      <c r="F121" s="18">
        <v>-4.5</v>
      </c>
      <c r="G121" s="18">
        <v>1.8149999999999999</v>
      </c>
      <c r="H121" s="18">
        <v>7.0000000000000001E-3</v>
      </c>
      <c r="I121" s="18">
        <v>-14.05</v>
      </c>
      <c r="J121" s="18">
        <v>-2.38</v>
      </c>
      <c r="K121" s="18">
        <v>1.9E-2</v>
      </c>
      <c r="L121" s="18" t="s">
        <v>86</v>
      </c>
      <c r="M121" s="18">
        <v>3</v>
      </c>
      <c r="N121" s="18">
        <v>600</v>
      </c>
      <c r="O121" s="18">
        <v>90</v>
      </c>
      <c r="P121" s="18">
        <v>1</v>
      </c>
      <c r="Q121" s="18" t="s">
        <v>70</v>
      </c>
      <c r="R121" s="18" t="s">
        <v>87</v>
      </c>
      <c r="S121" s="18" t="s">
        <v>88</v>
      </c>
      <c r="T121" s="18" t="s">
        <v>89</v>
      </c>
      <c r="AL121">
        <v>3</v>
      </c>
      <c r="AM121">
        <v>912</v>
      </c>
      <c r="AN121">
        <v>5145</v>
      </c>
      <c r="AO121">
        <v>4589</v>
      </c>
      <c r="AP121">
        <v>4266</v>
      </c>
      <c r="AQ121">
        <f>AO121-AP121</f>
        <v>323</v>
      </c>
      <c r="AR121">
        <f t="shared" si="9"/>
        <v>36</v>
      </c>
    </row>
    <row r="122" spans="1:44" x14ac:dyDescent="0.25">
      <c r="A122" s="18">
        <v>2</v>
      </c>
      <c r="B122" s="18" t="s">
        <v>56</v>
      </c>
      <c r="C122" s="18" t="s">
        <v>50</v>
      </c>
      <c r="E122" s="18" t="s">
        <v>50</v>
      </c>
      <c r="F122" s="18">
        <v>-4.5</v>
      </c>
      <c r="G122" s="18">
        <v>1.774</v>
      </c>
      <c r="H122" s="18">
        <v>7.0000000000000001E-3</v>
      </c>
      <c r="I122" s="18">
        <v>-14.05</v>
      </c>
      <c r="J122" s="18">
        <v>-2.5569999999999999</v>
      </c>
      <c r="K122" s="18">
        <v>2.3E-2</v>
      </c>
      <c r="L122" s="18" t="s">
        <v>86</v>
      </c>
      <c r="M122" s="18">
        <v>3</v>
      </c>
      <c r="N122" s="18">
        <v>600</v>
      </c>
      <c r="O122" s="18">
        <v>90</v>
      </c>
      <c r="P122" s="18">
        <v>1</v>
      </c>
      <c r="Q122" s="18" t="s">
        <v>70</v>
      </c>
      <c r="R122" s="18" t="s">
        <v>90</v>
      </c>
      <c r="S122" s="18" t="s">
        <v>91</v>
      </c>
      <c r="T122" s="18" t="s">
        <v>92</v>
      </c>
      <c r="AL122">
        <v>3</v>
      </c>
      <c r="AM122">
        <v>894</v>
      </c>
      <c r="AN122">
        <v>5033</v>
      </c>
      <c r="AO122">
        <v>4492</v>
      </c>
      <c r="AP122">
        <v>4174</v>
      </c>
      <c r="AQ122">
        <f t="shared" ref="AQ122:AQ146" si="10">AO122-AP122</f>
        <v>318</v>
      </c>
      <c r="AR122">
        <f t="shared" si="9"/>
        <v>36</v>
      </c>
    </row>
    <row r="123" spans="1:44" x14ac:dyDescent="0.25">
      <c r="A123" s="18">
        <v>3</v>
      </c>
      <c r="B123" s="18" t="s">
        <v>60</v>
      </c>
      <c r="C123" s="18" t="s">
        <v>50</v>
      </c>
      <c r="E123" s="18" t="s">
        <v>50</v>
      </c>
      <c r="F123" s="18">
        <v>-4.5</v>
      </c>
      <c r="G123" s="18">
        <v>1.754</v>
      </c>
      <c r="H123" s="18">
        <v>3.0000000000000001E-3</v>
      </c>
      <c r="I123" s="18">
        <v>-14.05</v>
      </c>
      <c r="J123" s="18">
        <v>-2.5289999999999999</v>
      </c>
      <c r="K123" s="18">
        <v>0.02</v>
      </c>
      <c r="L123" s="18" t="s">
        <v>136</v>
      </c>
      <c r="M123" s="18">
        <v>3</v>
      </c>
      <c r="N123" s="18">
        <v>720</v>
      </c>
      <c r="O123" s="18">
        <v>90</v>
      </c>
      <c r="P123" s="18">
        <v>1</v>
      </c>
      <c r="Q123" s="18" t="s">
        <v>70</v>
      </c>
      <c r="R123" s="18" t="s">
        <v>137</v>
      </c>
      <c r="S123" s="18" t="s">
        <v>138</v>
      </c>
      <c r="T123" s="18" t="s">
        <v>139</v>
      </c>
      <c r="AL123">
        <v>3</v>
      </c>
      <c r="AM123">
        <v>905</v>
      </c>
      <c r="AN123">
        <v>5077</v>
      </c>
      <c r="AO123">
        <v>4529</v>
      </c>
      <c r="AP123">
        <v>4210</v>
      </c>
      <c r="AQ123">
        <f t="shared" si="10"/>
        <v>319</v>
      </c>
      <c r="AR123">
        <f t="shared" si="9"/>
        <v>36</v>
      </c>
    </row>
    <row r="124" spans="1:44" x14ac:dyDescent="0.25">
      <c r="A124" s="18">
        <v>6</v>
      </c>
      <c r="B124" s="18" t="s">
        <v>114</v>
      </c>
      <c r="C124" s="18" t="s">
        <v>50</v>
      </c>
      <c r="E124" s="18" t="s">
        <v>50</v>
      </c>
      <c r="F124" s="18">
        <v>-4.5</v>
      </c>
      <c r="G124" s="18">
        <v>1.742</v>
      </c>
      <c r="H124" s="18">
        <v>1.2999999999999999E-2</v>
      </c>
      <c r="I124" s="18">
        <v>-14.05</v>
      </c>
      <c r="J124" s="18">
        <v>-2.5710000000000002</v>
      </c>
      <c r="K124" s="18">
        <v>1.0999999999999999E-2</v>
      </c>
      <c r="L124" s="18" t="s">
        <v>136</v>
      </c>
      <c r="M124" s="18">
        <v>3</v>
      </c>
      <c r="N124" s="18">
        <v>720</v>
      </c>
      <c r="O124" s="18">
        <v>90</v>
      </c>
      <c r="P124" s="18">
        <v>1</v>
      </c>
      <c r="Q124" s="18" t="s">
        <v>70</v>
      </c>
      <c r="R124" s="18" t="s">
        <v>140</v>
      </c>
      <c r="S124" s="18" t="s">
        <v>141</v>
      </c>
      <c r="T124" s="18" t="s">
        <v>142</v>
      </c>
      <c r="AL124">
        <v>3</v>
      </c>
      <c r="AM124">
        <v>944</v>
      </c>
      <c r="AN124">
        <v>5355</v>
      </c>
      <c r="AO124">
        <v>4762</v>
      </c>
      <c r="AP124">
        <v>4425</v>
      </c>
      <c r="AQ124">
        <f t="shared" si="10"/>
        <v>337</v>
      </c>
      <c r="AR124">
        <f t="shared" si="9"/>
        <v>36</v>
      </c>
    </row>
    <row r="125" spans="1:44" x14ac:dyDescent="0.25">
      <c r="A125" s="18">
        <v>7</v>
      </c>
      <c r="B125" s="18" t="s">
        <v>68</v>
      </c>
      <c r="C125" s="18" t="s">
        <v>50</v>
      </c>
      <c r="E125" s="18" t="s">
        <v>50</v>
      </c>
      <c r="F125" s="18">
        <v>-4.5</v>
      </c>
      <c r="G125" s="18">
        <v>1.782</v>
      </c>
      <c r="H125" s="18">
        <v>8.9999999999999993E-3</v>
      </c>
      <c r="I125" s="18">
        <v>-14.05</v>
      </c>
      <c r="J125" s="18">
        <v>-2.6469999999999998</v>
      </c>
      <c r="K125" s="18">
        <v>1.2999999999999999E-2</v>
      </c>
      <c r="L125" s="18" t="s">
        <v>69</v>
      </c>
      <c r="M125" s="18">
        <v>3</v>
      </c>
      <c r="N125" s="18">
        <v>480</v>
      </c>
      <c r="O125" s="18">
        <v>135</v>
      </c>
      <c r="P125" s="18">
        <v>1</v>
      </c>
      <c r="Q125" s="18" t="s">
        <v>70</v>
      </c>
      <c r="R125" s="18" t="s">
        <v>71</v>
      </c>
      <c r="S125" s="18" t="s">
        <v>72</v>
      </c>
      <c r="T125" s="18" t="s">
        <v>73</v>
      </c>
      <c r="AL125">
        <v>3</v>
      </c>
      <c r="AM125">
        <v>884</v>
      </c>
      <c r="AN125">
        <v>4647</v>
      </c>
      <c r="AO125">
        <v>4160</v>
      </c>
      <c r="AP125">
        <v>3867</v>
      </c>
      <c r="AQ125">
        <f t="shared" si="10"/>
        <v>293</v>
      </c>
      <c r="AR125">
        <f t="shared" si="9"/>
        <v>36</v>
      </c>
    </row>
    <row r="126" spans="1:44" x14ac:dyDescent="0.25">
      <c r="A126" s="18">
        <v>8</v>
      </c>
      <c r="B126" s="18" t="s">
        <v>74</v>
      </c>
      <c r="C126" s="18" t="s">
        <v>50</v>
      </c>
      <c r="E126" s="18" t="s">
        <v>50</v>
      </c>
      <c r="F126" s="18">
        <v>-4.5</v>
      </c>
      <c r="G126" s="18">
        <v>1.863</v>
      </c>
      <c r="H126" s="18">
        <v>1.6E-2</v>
      </c>
      <c r="I126" s="18">
        <v>-14.05</v>
      </c>
      <c r="J126" s="18">
        <v>-2.67</v>
      </c>
      <c r="K126" s="18">
        <v>1.4999999999999999E-2</v>
      </c>
      <c r="L126" s="18" t="s">
        <v>69</v>
      </c>
      <c r="M126" s="18">
        <v>3</v>
      </c>
      <c r="N126" s="18">
        <v>480</v>
      </c>
      <c r="O126" s="18">
        <v>135</v>
      </c>
      <c r="P126" s="18">
        <v>1</v>
      </c>
      <c r="Q126" s="18" t="s">
        <v>70</v>
      </c>
      <c r="R126" s="18" t="s">
        <v>75</v>
      </c>
      <c r="S126" s="18" t="s">
        <v>76</v>
      </c>
      <c r="T126" s="18" t="s">
        <v>77</v>
      </c>
      <c r="AL126">
        <v>3</v>
      </c>
      <c r="AM126">
        <v>809</v>
      </c>
      <c r="AN126">
        <v>3561</v>
      </c>
      <c r="AO126">
        <v>3144</v>
      </c>
      <c r="AP126">
        <v>2921</v>
      </c>
      <c r="AQ126">
        <f t="shared" si="10"/>
        <v>223</v>
      </c>
      <c r="AR126">
        <f t="shared" si="9"/>
        <v>36</v>
      </c>
    </row>
    <row r="127" spans="1:44" x14ac:dyDescent="0.25">
      <c r="A127" s="18">
        <v>9</v>
      </c>
      <c r="B127" s="18" t="s">
        <v>78</v>
      </c>
      <c r="C127" s="18" t="s">
        <v>50</v>
      </c>
      <c r="E127" s="18" t="s">
        <v>50</v>
      </c>
      <c r="F127" s="18">
        <v>-4.5</v>
      </c>
      <c r="G127" s="18">
        <v>1.754</v>
      </c>
      <c r="H127" s="18">
        <v>8.0000000000000002E-3</v>
      </c>
      <c r="I127" s="18">
        <v>-14.05</v>
      </c>
      <c r="J127" s="18">
        <v>-2.577</v>
      </c>
      <c r="K127" s="18">
        <v>5.0000000000000001E-3</v>
      </c>
      <c r="L127" s="18" t="s">
        <v>69</v>
      </c>
      <c r="M127" s="18">
        <v>3</v>
      </c>
      <c r="N127" s="18">
        <v>480</v>
      </c>
      <c r="O127" s="18">
        <v>135</v>
      </c>
      <c r="P127" s="18">
        <v>1</v>
      </c>
      <c r="Q127" s="18" t="s">
        <v>70</v>
      </c>
      <c r="R127" s="18" t="s">
        <v>79</v>
      </c>
      <c r="S127" s="18" t="s">
        <v>80</v>
      </c>
      <c r="T127" s="18" t="s">
        <v>81</v>
      </c>
      <c r="AL127">
        <v>3</v>
      </c>
      <c r="AM127">
        <v>852</v>
      </c>
      <c r="AN127">
        <v>3770</v>
      </c>
      <c r="AO127">
        <v>3333</v>
      </c>
      <c r="AP127">
        <v>3101</v>
      </c>
      <c r="AQ127">
        <f t="shared" si="10"/>
        <v>232</v>
      </c>
      <c r="AR127">
        <f t="shared" si="9"/>
        <v>36</v>
      </c>
    </row>
    <row r="128" spans="1:44" x14ac:dyDescent="0.25">
      <c r="A128" s="18">
        <v>10</v>
      </c>
      <c r="B128" s="18" t="s">
        <v>82</v>
      </c>
      <c r="C128" s="18" t="s">
        <v>50</v>
      </c>
      <c r="E128" s="18" t="s">
        <v>50</v>
      </c>
      <c r="F128" s="18">
        <v>-4.5</v>
      </c>
      <c r="G128" s="18">
        <v>1.837</v>
      </c>
      <c r="H128" s="18">
        <v>7.0000000000000001E-3</v>
      </c>
      <c r="I128" s="18">
        <v>-14.05</v>
      </c>
      <c r="J128" s="18">
        <v>-2.5190000000000001</v>
      </c>
      <c r="K128" s="18">
        <v>1.6E-2</v>
      </c>
      <c r="L128" s="18" t="s">
        <v>69</v>
      </c>
      <c r="M128" s="18">
        <v>3</v>
      </c>
      <c r="N128" s="18">
        <v>480</v>
      </c>
      <c r="O128" s="18">
        <v>135</v>
      </c>
      <c r="P128" s="18">
        <v>1</v>
      </c>
      <c r="Q128" s="18" t="s">
        <v>70</v>
      </c>
      <c r="R128" s="18" t="s">
        <v>83</v>
      </c>
      <c r="S128" s="18" t="s">
        <v>84</v>
      </c>
      <c r="T128" s="18" t="s">
        <v>85</v>
      </c>
      <c r="AL128">
        <v>3</v>
      </c>
      <c r="AM128">
        <v>876</v>
      </c>
      <c r="AN128">
        <v>4508</v>
      </c>
      <c r="AO128">
        <v>4045</v>
      </c>
      <c r="AP128">
        <v>3760</v>
      </c>
      <c r="AQ128">
        <f t="shared" si="10"/>
        <v>285</v>
      </c>
      <c r="AR128">
        <f t="shared" si="9"/>
        <v>36</v>
      </c>
    </row>
    <row r="129" spans="1:44" x14ac:dyDescent="0.25">
      <c r="A129" s="18">
        <v>12</v>
      </c>
      <c r="B129" s="18" t="s">
        <v>124</v>
      </c>
      <c r="C129" s="18" t="s">
        <v>50</v>
      </c>
      <c r="E129" s="18" t="s">
        <v>50</v>
      </c>
      <c r="F129" s="18">
        <v>-4.5</v>
      </c>
      <c r="G129" s="18">
        <v>1.766</v>
      </c>
      <c r="H129" s="18">
        <v>1.9E-2</v>
      </c>
      <c r="I129" s="18">
        <v>-14.05</v>
      </c>
      <c r="J129" s="18">
        <v>-2.6579999999999999</v>
      </c>
      <c r="K129" s="18">
        <v>6.0000000000000001E-3</v>
      </c>
      <c r="L129" s="18" t="s">
        <v>119</v>
      </c>
      <c r="M129" s="18">
        <v>3</v>
      </c>
      <c r="N129" s="18">
        <v>600</v>
      </c>
      <c r="O129" s="18">
        <v>135</v>
      </c>
      <c r="P129" s="18">
        <v>1</v>
      </c>
      <c r="Q129" s="18" t="s">
        <v>70</v>
      </c>
      <c r="R129" s="18" t="s">
        <v>125</v>
      </c>
      <c r="S129" s="18" t="s">
        <v>126</v>
      </c>
      <c r="T129" s="18" t="s">
        <v>127</v>
      </c>
      <c r="AL129">
        <v>3</v>
      </c>
      <c r="AM129">
        <v>752</v>
      </c>
      <c r="AN129">
        <v>3089</v>
      </c>
      <c r="AO129">
        <v>2726</v>
      </c>
      <c r="AP129">
        <v>2536</v>
      </c>
      <c r="AQ129">
        <f>AO129-AP129</f>
        <v>190</v>
      </c>
      <c r="AR129">
        <f t="shared" si="9"/>
        <v>36</v>
      </c>
    </row>
    <row r="130" spans="1:44" x14ac:dyDescent="0.25">
      <c r="A130" s="18">
        <v>13</v>
      </c>
      <c r="B130" s="18" t="s">
        <v>128</v>
      </c>
      <c r="C130" s="18" t="s">
        <v>50</v>
      </c>
      <c r="E130" s="18" t="s">
        <v>50</v>
      </c>
      <c r="F130" s="18">
        <v>-4.5</v>
      </c>
      <c r="G130" s="18">
        <v>1.7869999999999999</v>
      </c>
      <c r="H130" s="18">
        <v>8.9999999999999993E-3</v>
      </c>
      <c r="I130" s="18">
        <v>-14.05</v>
      </c>
      <c r="J130" s="18">
        <v>-2.5059999999999998</v>
      </c>
      <c r="K130" s="18">
        <v>2.7E-2</v>
      </c>
      <c r="L130" s="18" t="s">
        <v>119</v>
      </c>
      <c r="M130" s="18">
        <v>3</v>
      </c>
      <c r="N130" s="18">
        <v>600</v>
      </c>
      <c r="O130" s="18">
        <v>135</v>
      </c>
      <c r="P130" s="18">
        <v>1</v>
      </c>
      <c r="Q130" s="18" t="s">
        <v>70</v>
      </c>
      <c r="R130" s="18" t="s">
        <v>129</v>
      </c>
      <c r="S130" s="18" t="s">
        <v>130</v>
      </c>
      <c r="T130" s="18" t="s">
        <v>131</v>
      </c>
      <c r="AL130">
        <v>3</v>
      </c>
      <c r="AM130">
        <v>834</v>
      </c>
      <c r="AN130">
        <v>4146</v>
      </c>
      <c r="AO130">
        <v>3730</v>
      </c>
      <c r="AP130">
        <v>3473</v>
      </c>
      <c r="AQ130">
        <f t="shared" si="10"/>
        <v>257</v>
      </c>
      <c r="AR130">
        <f t="shared" si="9"/>
        <v>36</v>
      </c>
    </row>
    <row r="131" spans="1:44" x14ac:dyDescent="0.25">
      <c r="A131" s="18">
        <v>14</v>
      </c>
      <c r="B131" s="18" t="s">
        <v>132</v>
      </c>
      <c r="C131" s="18" t="s">
        <v>50</v>
      </c>
      <c r="E131" s="18" t="s">
        <v>50</v>
      </c>
      <c r="F131" s="18">
        <v>-4.5</v>
      </c>
      <c r="G131" s="18">
        <v>1.8420000000000001</v>
      </c>
      <c r="H131" s="18">
        <v>6.0000000000000001E-3</v>
      </c>
      <c r="I131" s="18">
        <v>-14.05</v>
      </c>
      <c r="J131" s="18">
        <v>-2.5750000000000002</v>
      </c>
      <c r="K131" s="18">
        <v>0.03</v>
      </c>
      <c r="L131" s="18" t="s">
        <v>119</v>
      </c>
      <c r="M131" s="18">
        <v>3</v>
      </c>
      <c r="N131" s="18">
        <v>600</v>
      </c>
      <c r="O131" s="18">
        <v>135</v>
      </c>
      <c r="P131" s="18">
        <v>1</v>
      </c>
      <c r="Q131" s="18" t="s">
        <v>70</v>
      </c>
      <c r="R131" s="18" t="s">
        <v>133</v>
      </c>
      <c r="S131" s="18" t="s">
        <v>134</v>
      </c>
      <c r="T131" s="18" t="s">
        <v>135</v>
      </c>
      <c r="AL131">
        <v>3</v>
      </c>
      <c r="AM131" s="46">
        <v>873</v>
      </c>
      <c r="AN131">
        <v>4515</v>
      </c>
      <c r="AO131">
        <v>4005</v>
      </c>
      <c r="AP131">
        <v>3722</v>
      </c>
      <c r="AQ131">
        <f t="shared" si="10"/>
        <v>283</v>
      </c>
      <c r="AR131">
        <f t="shared" si="9"/>
        <v>36</v>
      </c>
    </row>
    <row r="132" spans="1:44" x14ac:dyDescent="0.25">
      <c r="A132" s="18">
        <v>15</v>
      </c>
      <c r="B132" s="18" t="s">
        <v>143</v>
      </c>
      <c r="C132" s="18" t="s">
        <v>50</v>
      </c>
      <c r="E132" s="18" t="s">
        <v>50</v>
      </c>
      <c r="F132" s="18">
        <v>-4.5</v>
      </c>
      <c r="G132" s="18">
        <v>1.8120000000000001</v>
      </c>
      <c r="H132" s="18">
        <v>1.6E-2</v>
      </c>
      <c r="I132" s="18">
        <v>-14.05</v>
      </c>
      <c r="J132" s="18">
        <v>-2.5329999999999999</v>
      </c>
      <c r="K132" s="18">
        <v>2.4E-2</v>
      </c>
      <c r="L132" s="18" t="s">
        <v>144</v>
      </c>
      <c r="M132" s="18">
        <v>3</v>
      </c>
      <c r="N132" s="18">
        <v>720</v>
      </c>
      <c r="O132" s="18">
        <v>135</v>
      </c>
      <c r="P132" s="18">
        <v>1</v>
      </c>
      <c r="Q132" s="18" t="s">
        <v>70</v>
      </c>
      <c r="R132" s="18" t="s">
        <v>145</v>
      </c>
      <c r="S132" s="18" t="s">
        <v>146</v>
      </c>
      <c r="T132" s="18" t="s">
        <v>147</v>
      </c>
      <c r="AL132">
        <v>3</v>
      </c>
      <c r="AM132">
        <v>859</v>
      </c>
      <c r="AN132">
        <v>4345</v>
      </c>
      <c r="AO132">
        <v>3918</v>
      </c>
      <c r="AP132">
        <v>3647</v>
      </c>
      <c r="AQ132">
        <f t="shared" si="10"/>
        <v>271</v>
      </c>
      <c r="AR132">
        <f t="shared" si="9"/>
        <v>36</v>
      </c>
    </row>
    <row r="133" spans="1:44" x14ac:dyDescent="0.25">
      <c r="A133" s="18">
        <v>16</v>
      </c>
      <c r="B133" s="18" t="s">
        <v>148</v>
      </c>
      <c r="C133" s="18" t="s">
        <v>50</v>
      </c>
      <c r="E133" s="18" t="s">
        <v>50</v>
      </c>
      <c r="F133" s="18">
        <v>-4.5</v>
      </c>
      <c r="G133" s="18">
        <v>1.7390000000000001</v>
      </c>
      <c r="H133" s="18">
        <v>5.0000000000000001E-3</v>
      </c>
      <c r="I133" s="18">
        <v>-14.05</v>
      </c>
      <c r="J133" s="18">
        <v>-2.782</v>
      </c>
      <c r="K133" s="18">
        <v>2.5999999999999999E-2</v>
      </c>
      <c r="L133" s="18" t="s">
        <v>144</v>
      </c>
      <c r="M133" s="18">
        <v>3</v>
      </c>
      <c r="N133" s="18">
        <v>720</v>
      </c>
      <c r="O133" s="18">
        <v>135</v>
      </c>
      <c r="P133" s="18">
        <v>1</v>
      </c>
      <c r="Q133" s="18" t="s">
        <v>70</v>
      </c>
      <c r="R133" s="18" t="s">
        <v>149</v>
      </c>
      <c r="S133" s="18" t="s">
        <v>150</v>
      </c>
      <c r="T133" s="18" t="s">
        <v>151</v>
      </c>
      <c r="AL133">
        <v>3</v>
      </c>
      <c r="AM133">
        <v>749</v>
      </c>
      <c r="AN133">
        <v>3012</v>
      </c>
      <c r="AO133">
        <v>2752</v>
      </c>
      <c r="AP133">
        <v>2561</v>
      </c>
      <c r="AQ133">
        <f t="shared" si="10"/>
        <v>191</v>
      </c>
      <c r="AR133">
        <f t="shared" si="9"/>
        <v>36</v>
      </c>
    </row>
    <row r="134" spans="1:44" x14ac:dyDescent="0.25">
      <c r="A134" s="18">
        <v>17</v>
      </c>
      <c r="B134" s="18" t="s">
        <v>152</v>
      </c>
      <c r="C134" s="18" t="s">
        <v>50</v>
      </c>
      <c r="E134" s="18" t="s">
        <v>50</v>
      </c>
      <c r="F134" s="18">
        <v>-4.5</v>
      </c>
      <c r="G134" s="18">
        <v>1.7809999999999999</v>
      </c>
      <c r="H134" s="18">
        <v>1.0999999999999999E-2</v>
      </c>
      <c r="I134" s="18">
        <v>-14.05</v>
      </c>
      <c r="J134" s="18">
        <v>-2.5409999999999999</v>
      </c>
      <c r="K134" s="18">
        <v>1.2E-2</v>
      </c>
      <c r="L134" s="18" t="s">
        <v>144</v>
      </c>
      <c r="M134" s="18">
        <v>3</v>
      </c>
      <c r="N134" s="18">
        <v>720</v>
      </c>
      <c r="O134" s="18">
        <v>135</v>
      </c>
      <c r="P134" s="18">
        <v>1</v>
      </c>
      <c r="Q134" s="18" t="s">
        <v>70</v>
      </c>
      <c r="R134" s="18" t="s">
        <v>153</v>
      </c>
      <c r="S134" s="18" t="s">
        <v>154</v>
      </c>
      <c r="T134" s="18" t="s">
        <v>155</v>
      </c>
      <c r="AL134">
        <v>3</v>
      </c>
      <c r="AM134" s="46">
        <v>873</v>
      </c>
      <c r="AN134">
        <v>4495</v>
      </c>
      <c r="AO134">
        <v>4051</v>
      </c>
      <c r="AP134">
        <v>3770</v>
      </c>
      <c r="AQ134">
        <f t="shared" si="10"/>
        <v>281</v>
      </c>
      <c r="AR134">
        <f t="shared" si="9"/>
        <v>36</v>
      </c>
    </row>
    <row r="135" spans="1:44" x14ac:dyDescent="0.25">
      <c r="A135" s="18">
        <v>18</v>
      </c>
      <c r="B135" s="18" t="s">
        <v>156</v>
      </c>
      <c r="C135" s="18" t="s">
        <v>50</v>
      </c>
      <c r="E135" s="18" t="s">
        <v>50</v>
      </c>
      <c r="F135" s="18">
        <v>-4.5</v>
      </c>
      <c r="G135" s="18">
        <v>1.7490000000000001</v>
      </c>
      <c r="H135" s="18">
        <v>6.0000000000000001E-3</v>
      </c>
      <c r="I135" s="18">
        <v>-14.05</v>
      </c>
      <c r="J135" s="18">
        <v>-2.734</v>
      </c>
      <c r="K135" s="18">
        <v>2.3E-2</v>
      </c>
      <c r="L135" s="18" t="s">
        <v>144</v>
      </c>
      <c r="M135" s="18">
        <v>3</v>
      </c>
      <c r="N135" s="18">
        <v>720</v>
      </c>
      <c r="O135" s="18">
        <v>135</v>
      </c>
      <c r="P135" s="18">
        <v>1</v>
      </c>
      <c r="Q135" s="18" t="s">
        <v>70</v>
      </c>
      <c r="R135" s="18" t="s">
        <v>157</v>
      </c>
      <c r="S135" s="18" t="s">
        <v>158</v>
      </c>
      <c r="T135" s="18" t="s">
        <v>159</v>
      </c>
      <c r="AL135">
        <v>3</v>
      </c>
      <c r="AM135">
        <v>827</v>
      </c>
      <c r="AN135">
        <v>3785</v>
      </c>
      <c r="AO135">
        <v>3404</v>
      </c>
      <c r="AP135">
        <v>3167</v>
      </c>
      <c r="AQ135">
        <f t="shared" si="10"/>
        <v>237</v>
      </c>
      <c r="AR135">
        <f t="shared" si="9"/>
        <v>36</v>
      </c>
    </row>
    <row r="136" spans="1:44" x14ac:dyDescent="0.25">
      <c r="A136" s="18">
        <v>20</v>
      </c>
      <c r="B136" s="18" t="s">
        <v>165</v>
      </c>
      <c r="C136" s="18" t="s">
        <v>50</v>
      </c>
      <c r="E136" s="18" t="s">
        <v>50</v>
      </c>
      <c r="F136" s="18">
        <v>-4.5</v>
      </c>
      <c r="G136" s="18">
        <v>1.6</v>
      </c>
      <c r="H136" s="18">
        <v>1.7000000000000001E-2</v>
      </c>
      <c r="I136" s="18">
        <v>-14.05</v>
      </c>
      <c r="J136" s="18">
        <v>-2.887</v>
      </c>
      <c r="K136" s="18">
        <v>1.7999999999999999E-2</v>
      </c>
      <c r="L136" s="18" t="s">
        <v>161</v>
      </c>
      <c r="M136" s="18">
        <v>4</v>
      </c>
      <c r="N136" s="18">
        <v>480</v>
      </c>
      <c r="O136" s="18">
        <v>90</v>
      </c>
      <c r="P136" s="18">
        <v>1</v>
      </c>
      <c r="Q136" s="18" t="s">
        <v>70</v>
      </c>
      <c r="R136" s="18" t="s">
        <v>166</v>
      </c>
      <c r="S136" s="18" t="s">
        <v>167</v>
      </c>
      <c r="T136" s="18" t="s">
        <v>168</v>
      </c>
      <c r="AL136">
        <v>3</v>
      </c>
      <c r="AM136">
        <v>813</v>
      </c>
      <c r="AN136">
        <v>3597</v>
      </c>
      <c r="AO136">
        <v>3199</v>
      </c>
      <c r="AP136">
        <v>2974</v>
      </c>
      <c r="AQ136">
        <f t="shared" si="10"/>
        <v>225</v>
      </c>
      <c r="AR136">
        <f t="shared" si="9"/>
        <v>36</v>
      </c>
    </row>
    <row r="137" spans="1:44" x14ac:dyDescent="0.25">
      <c r="A137" s="18">
        <v>21</v>
      </c>
      <c r="B137" s="18" t="s">
        <v>169</v>
      </c>
      <c r="C137" s="18" t="s">
        <v>50</v>
      </c>
      <c r="E137" s="18" t="s">
        <v>50</v>
      </c>
      <c r="F137" s="18">
        <v>-4.5</v>
      </c>
      <c r="G137" s="18">
        <v>1.7829999999999999</v>
      </c>
      <c r="H137" s="18">
        <v>1.0999999999999999E-2</v>
      </c>
      <c r="I137" s="18">
        <v>-14.05</v>
      </c>
      <c r="J137" s="18">
        <v>-2.7130000000000001</v>
      </c>
      <c r="K137" s="18">
        <v>2.1999999999999999E-2</v>
      </c>
      <c r="L137" s="18" t="s">
        <v>161</v>
      </c>
      <c r="M137" s="18">
        <v>4</v>
      </c>
      <c r="N137" s="18">
        <v>480</v>
      </c>
      <c r="O137" s="18">
        <v>90</v>
      </c>
      <c r="P137" s="18">
        <v>1</v>
      </c>
      <c r="Q137" s="18" t="s">
        <v>70</v>
      </c>
      <c r="R137" s="18" t="s">
        <v>170</v>
      </c>
      <c r="S137" s="18" t="s">
        <v>171</v>
      </c>
      <c r="T137" s="18" t="s">
        <v>172</v>
      </c>
      <c r="AL137">
        <v>3</v>
      </c>
      <c r="AM137">
        <v>791</v>
      </c>
      <c r="AN137">
        <v>3476</v>
      </c>
      <c r="AO137">
        <v>3067</v>
      </c>
      <c r="AP137">
        <v>2852</v>
      </c>
      <c r="AQ137">
        <f t="shared" si="10"/>
        <v>215</v>
      </c>
      <c r="AR137">
        <f t="shared" si="9"/>
        <v>36</v>
      </c>
    </row>
    <row r="138" spans="1:44" x14ac:dyDescent="0.25">
      <c r="A138" s="18">
        <v>22</v>
      </c>
      <c r="B138" s="18" t="s">
        <v>173</v>
      </c>
      <c r="C138" s="18" t="s">
        <v>50</v>
      </c>
      <c r="E138" s="18" t="s">
        <v>50</v>
      </c>
      <c r="F138" s="18">
        <v>-4.5</v>
      </c>
      <c r="G138" s="18">
        <v>1.788</v>
      </c>
      <c r="H138" s="18">
        <v>1.0999999999999999E-2</v>
      </c>
      <c r="I138" s="18">
        <v>-14.05</v>
      </c>
      <c r="J138" s="18">
        <v>-2.633</v>
      </c>
      <c r="K138" s="18">
        <v>1.0999999999999999E-2</v>
      </c>
      <c r="L138" s="18" t="s">
        <v>161</v>
      </c>
      <c r="M138" s="18">
        <v>4</v>
      </c>
      <c r="N138" s="18">
        <v>480</v>
      </c>
      <c r="O138" s="18">
        <v>90</v>
      </c>
      <c r="P138" s="18">
        <v>1</v>
      </c>
      <c r="Q138" s="18" t="s">
        <v>70</v>
      </c>
      <c r="R138" s="18" t="s">
        <v>174</v>
      </c>
      <c r="S138" s="18" t="s">
        <v>175</v>
      </c>
      <c r="T138" s="18" t="s">
        <v>176</v>
      </c>
      <c r="AL138">
        <v>3</v>
      </c>
      <c r="AM138">
        <v>745</v>
      </c>
      <c r="AN138">
        <v>2934</v>
      </c>
      <c r="AO138">
        <v>2679</v>
      </c>
      <c r="AP138">
        <v>2497</v>
      </c>
      <c r="AQ138">
        <f t="shared" si="10"/>
        <v>182</v>
      </c>
      <c r="AR138">
        <f t="shared" si="9"/>
        <v>36</v>
      </c>
    </row>
    <row r="139" spans="1:44" x14ac:dyDescent="0.25">
      <c r="A139" s="18">
        <v>23</v>
      </c>
      <c r="B139" s="18" t="s">
        <v>177</v>
      </c>
      <c r="C139" s="18" t="s">
        <v>50</v>
      </c>
      <c r="E139" s="18" t="s">
        <v>50</v>
      </c>
      <c r="F139" s="18">
        <v>-4.5</v>
      </c>
      <c r="G139" s="18">
        <v>1.7529999999999999</v>
      </c>
      <c r="H139" s="18">
        <v>1.2999999999999999E-2</v>
      </c>
      <c r="I139" s="18">
        <v>-14.05</v>
      </c>
      <c r="J139" s="18">
        <v>-2.7050000000000001</v>
      </c>
      <c r="K139" s="18">
        <v>7.0000000000000001E-3</v>
      </c>
      <c r="L139" s="18" t="s">
        <v>178</v>
      </c>
      <c r="M139" s="18">
        <v>4</v>
      </c>
      <c r="N139" s="18">
        <v>600</v>
      </c>
      <c r="O139" s="18">
        <v>90</v>
      </c>
      <c r="P139" s="18">
        <v>1</v>
      </c>
      <c r="Q139" s="18" t="s">
        <v>96</v>
      </c>
      <c r="R139" s="18" t="s">
        <v>179</v>
      </c>
      <c r="S139" s="18" t="s">
        <v>180</v>
      </c>
      <c r="T139" s="18" t="s">
        <v>181</v>
      </c>
      <c r="AL139">
        <v>3</v>
      </c>
      <c r="AM139">
        <v>905</v>
      </c>
      <c r="AN139">
        <v>5007</v>
      </c>
      <c r="AO139">
        <v>4464</v>
      </c>
      <c r="AP139">
        <v>4149</v>
      </c>
      <c r="AQ139">
        <f t="shared" si="10"/>
        <v>315</v>
      </c>
      <c r="AR139">
        <f t="shared" si="9"/>
        <v>36</v>
      </c>
    </row>
    <row r="140" spans="1:44" x14ac:dyDescent="0.25">
      <c r="A140" s="18">
        <v>24</v>
      </c>
      <c r="B140" s="18" t="s">
        <v>182</v>
      </c>
      <c r="C140" s="18" t="s">
        <v>50</v>
      </c>
      <c r="E140" s="18" t="s">
        <v>50</v>
      </c>
      <c r="F140" s="18">
        <v>-4.5</v>
      </c>
      <c r="G140" s="18">
        <v>1.7829999999999999</v>
      </c>
      <c r="H140" s="18">
        <v>1.0999999999999999E-2</v>
      </c>
      <c r="I140" s="18">
        <v>-14.05</v>
      </c>
      <c r="J140" s="18">
        <v>-2.7519999999999998</v>
      </c>
      <c r="K140" s="18">
        <v>1.4E-2</v>
      </c>
      <c r="L140" s="18" t="s">
        <v>178</v>
      </c>
      <c r="M140" s="18">
        <v>4</v>
      </c>
      <c r="N140" s="18">
        <v>600</v>
      </c>
      <c r="O140" s="18">
        <v>90</v>
      </c>
      <c r="P140" s="18">
        <v>1</v>
      </c>
      <c r="Q140" s="18" t="s">
        <v>96</v>
      </c>
      <c r="R140" s="18" t="s">
        <v>183</v>
      </c>
      <c r="S140" s="18" t="s">
        <v>184</v>
      </c>
      <c r="T140" s="18" t="s">
        <v>185</v>
      </c>
      <c r="AL140">
        <v>3</v>
      </c>
      <c r="AM140">
        <v>837</v>
      </c>
      <c r="AN140">
        <v>3959</v>
      </c>
      <c r="AO140">
        <v>3556</v>
      </c>
      <c r="AP140">
        <v>3308</v>
      </c>
      <c r="AQ140">
        <f t="shared" si="10"/>
        <v>248</v>
      </c>
      <c r="AR140">
        <f t="shared" si="9"/>
        <v>36</v>
      </c>
    </row>
    <row r="141" spans="1:44" x14ac:dyDescent="0.25">
      <c r="A141" s="18">
        <v>25</v>
      </c>
      <c r="B141" s="18" t="s">
        <v>186</v>
      </c>
      <c r="C141" s="18" t="s">
        <v>50</v>
      </c>
      <c r="E141" s="18" t="s">
        <v>50</v>
      </c>
      <c r="F141" s="18">
        <v>-4.5</v>
      </c>
      <c r="G141" s="18">
        <v>1.8129999999999999</v>
      </c>
      <c r="H141" s="18">
        <v>6.0000000000000001E-3</v>
      </c>
      <c r="I141" s="18">
        <v>-14.05</v>
      </c>
      <c r="J141" s="18">
        <v>-2.581</v>
      </c>
      <c r="K141" s="18">
        <v>1.0999999999999999E-2</v>
      </c>
      <c r="L141" s="18" t="s">
        <v>178</v>
      </c>
      <c r="M141" s="18">
        <v>4</v>
      </c>
      <c r="N141" s="18">
        <v>600</v>
      </c>
      <c r="O141" s="18">
        <v>90</v>
      </c>
      <c r="P141" s="18">
        <v>1</v>
      </c>
      <c r="Q141" s="18" t="s">
        <v>96</v>
      </c>
      <c r="R141" s="18" t="s">
        <v>187</v>
      </c>
      <c r="S141" s="18" t="s">
        <v>188</v>
      </c>
      <c r="T141" s="18" t="s">
        <v>189</v>
      </c>
      <c r="AL141">
        <v>3</v>
      </c>
      <c r="AM141">
        <v>866</v>
      </c>
      <c r="AN141">
        <v>4431</v>
      </c>
      <c r="AO141">
        <v>3987</v>
      </c>
      <c r="AP141">
        <v>3709</v>
      </c>
      <c r="AQ141">
        <f t="shared" si="10"/>
        <v>278</v>
      </c>
      <c r="AR141">
        <f t="shared" si="9"/>
        <v>36</v>
      </c>
    </row>
    <row r="142" spans="1:44" x14ac:dyDescent="0.25">
      <c r="A142" s="18">
        <v>26</v>
      </c>
      <c r="B142" s="18" t="s">
        <v>190</v>
      </c>
      <c r="C142" s="18" t="s">
        <v>50</v>
      </c>
      <c r="E142" s="18" t="s">
        <v>50</v>
      </c>
      <c r="F142" s="18">
        <v>-4.5</v>
      </c>
      <c r="G142" s="18">
        <v>1.831</v>
      </c>
      <c r="H142" s="18">
        <v>8.9999999999999993E-3</v>
      </c>
      <c r="I142" s="18">
        <v>-14.05</v>
      </c>
      <c r="J142" s="18">
        <v>-2.5259999999999998</v>
      </c>
      <c r="K142" s="18">
        <v>1.2999999999999999E-2</v>
      </c>
      <c r="L142" s="18" t="s">
        <v>178</v>
      </c>
      <c r="M142" s="18">
        <v>4</v>
      </c>
      <c r="N142" s="18">
        <v>600</v>
      </c>
      <c r="O142" s="18">
        <v>90</v>
      </c>
      <c r="P142" s="18">
        <v>1</v>
      </c>
      <c r="Q142" s="18" t="s">
        <v>96</v>
      </c>
      <c r="R142" s="18" t="s">
        <v>191</v>
      </c>
      <c r="S142" s="18" t="s">
        <v>192</v>
      </c>
      <c r="T142" s="18" t="s">
        <v>193</v>
      </c>
      <c r="AL142">
        <v>3</v>
      </c>
      <c r="AM142">
        <v>862</v>
      </c>
      <c r="AN142">
        <v>4278</v>
      </c>
      <c r="AO142">
        <v>3817</v>
      </c>
      <c r="AP142">
        <v>3553</v>
      </c>
      <c r="AQ142">
        <f t="shared" si="10"/>
        <v>264</v>
      </c>
      <c r="AR142">
        <f t="shared" si="9"/>
        <v>36</v>
      </c>
    </row>
    <row r="143" spans="1:44" x14ac:dyDescent="0.25">
      <c r="A143" s="18">
        <v>28</v>
      </c>
      <c r="B143" s="18" t="s">
        <v>203</v>
      </c>
      <c r="C143" s="18" t="s">
        <v>50</v>
      </c>
      <c r="E143" s="18" t="s">
        <v>50</v>
      </c>
      <c r="F143" s="18">
        <v>-4.5</v>
      </c>
      <c r="G143" s="18">
        <v>1.762</v>
      </c>
      <c r="H143" s="18">
        <v>5.0000000000000001E-3</v>
      </c>
      <c r="I143" s="18">
        <v>-14.05</v>
      </c>
      <c r="J143" s="18">
        <v>-2.6240000000000001</v>
      </c>
      <c r="K143" s="18">
        <v>1.2999999999999999E-2</v>
      </c>
      <c r="L143" s="18" t="s">
        <v>199</v>
      </c>
      <c r="M143" s="18">
        <v>4</v>
      </c>
      <c r="N143" s="18">
        <v>720</v>
      </c>
      <c r="O143" s="18">
        <v>90</v>
      </c>
      <c r="P143" s="18">
        <v>1</v>
      </c>
      <c r="Q143" s="18" t="s">
        <v>96</v>
      </c>
      <c r="R143" s="18" t="s">
        <v>204</v>
      </c>
      <c r="S143" s="18" t="s">
        <v>205</v>
      </c>
      <c r="T143" s="18" t="s">
        <v>206</v>
      </c>
      <c r="AL143">
        <v>3</v>
      </c>
      <c r="AM143">
        <v>905</v>
      </c>
      <c r="AN143">
        <v>4776</v>
      </c>
      <c r="AO143">
        <v>4246</v>
      </c>
      <c r="AP143">
        <v>3948</v>
      </c>
      <c r="AQ143">
        <f t="shared" si="10"/>
        <v>298</v>
      </c>
      <c r="AR143">
        <f t="shared" si="9"/>
        <v>36</v>
      </c>
    </row>
    <row r="144" spans="1:44" x14ac:dyDescent="0.25">
      <c r="A144" s="18">
        <v>29</v>
      </c>
      <c r="B144" s="18" t="s">
        <v>207</v>
      </c>
      <c r="C144" s="18" t="s">
        <v>50</v>
      </c>
      <c r="E144" s="18" t="s">
        <v>50</v>
      </c>
      <c r="F144" s="18">
        <v>-4.5</v>
      </c>
      <c r="G144" s="18">
        <v>1.78</v>
      </c>
      <c r="H144" s="18">
        <v>7.0000000000000001E-3</v>
      </c>
      <c r="I144" s="18">
        <v>-14.05</v>
      </c>
      <c r="J144" s="18">
        <v>-2.5680000000000001</v>
      </c>
      <c r="K144" s="18">
        <v>1.2E-2</v>
      </c>
      <c r="L144" s="18" t="s">
        <v>199</v>
      </c>
      <c r="M144" s="18">
        <v>4</v>
      </c>
      <c r="N144" s="18">
        <v>720</v>
      </c>
      <c r="O144" s="18">
        <v>90</v>
      </c>
      <c r="P144" s="18">
        <v>1</v>
      </c>
      <c r="Q144" s="18" t="s">
        <v>96</v>
      </c>
      <c r="R144" s="18" t="s">
        <v>208</v>
      </c>
      <c r="S144" s="18" t="s">
        <v>209</v>
      </c>
      <c r="T144" s="18" t="s">
        <v>210</v>
      </c>
      <c r="AL144">
        <v>3</v>
      </c>
      <c r="AM144">
        <v>866</v>
      </c>
      <c r="AN144">
        <v>4317</v>
      </c>
      <c r="AO144">
        <v>3896</v>
      </c>
      <c r="AP144">
        <v>3626</v>
      </c>
      <c r="AQ144">
        <f t="shared" si="10"/>
        <v>270</v>
      </c>
      <c r="AR144">
        <f t="shared" si="9"/>
        <v>36</v>
      </c>
    </row>
    <row r="145" spans="1:47" x14ac:dyDescent="0.25">
      <c r="A145" s="18">
        <v>30</v>
      </c>
      <c r="B145" s="18" t="s">
        <v>211</v>
      </c>
      <c r="C145" s="18" t="s">
        <v>50</v>
      </c>
      <c r="E145" s="18" t="s">
        <v>50</v>
      </c>
      <c r="F145" s="18">
        <v>-4.5</v>
      </c>
      <c r="G145" s="18">
        <v>1.903</v>
      </c>
      <c r="H145" s="18">
        <v>8.0000000000000002E-3</v>
      </c>
      <c r="I145" s="18">
        <v>-14.05</v>
      </c>
      <c r="J145" s="18">
        <v>-2.1389999999999998</v>
      </c>
      <c r="K145" s="18">
        <v>3.2000000000000001E-2</v>
      </c>
      <c r="L145" s="18" t="s">
        <v>199</v>
      </c>
      <c r="M145" s="18">
        <v>4</v>
      </c>
      <c r="N145" s="18">
        <v>720</v>
      </c>
      <c r="O145" s="18">
        <v>90</v>
      </c>
      <c r="P145" s="18">
        <v>1</v>
      </c>
      <c r="Q145" s="18" t="s">
        <v>96</v>
      </c>
      <c r="R145" s="18" t="s">
        <v>212</v>
      </c>
      <c r="S145" s="18" t="s">
        <v>213</v>
      </c>
      <c r="T145" s="18" t="s">
        <v>214</v>
      </c>
      <c r="AL145">
        <v>3</v>
      </c>
      <c r="AM145">
        <v>834</v>
      </c>
      <c r="AN145">
        <v>3916</v>
      </c>
      <c r="AO145">
        <v>3538</v>
      </c>
      <c r="AP145">
        <v>3293</v>
      </c>
      <c r="AQ145">
        <f t="shared" si="10"/>
        <v>245</v>
      </c>
      <c r="AR145">
        <f t="shared" si="9"/>
        <v>36</v>
      </c>
    </row>
    <row r="146" spans="1:47" x14ac:dyDescent="0.25">
      <c r="A146" s="18">
        <v>31</v>
      </c>
      <c r="B146" s="18" t="s">
        <v>194</v>
      </c>
      <c r="C146" s="18" t="s">
        <v>50</v>
      </c>
      <c r="E146" s="18" t="s">
        <v>50</v>
      </c>
      <c r="F146" s="18">
        <v>-4.5</v>
      </c>
      <c r="G146" s="18">
        <v>1.8069999999999999</v>
      </c>
      <c r="H146" s="18">
        <v>8.9999999999999993E-3</v>
      </c>
      <c r="I146" s="18">
        <v>-14.05</v>
      </c>
      <c r="J146" s="18">
        <v>-2.68</v>
      </c>
      <c r="K146" s="18">
        <v>1.2999999999999999E-2</v>
      </c>
      <c r="L146" s="18" t="s">
        <v>178</v>
      </c>
      <c r="M146" s="18">
        <v>4</v>
      </c>
      <c r="N146" s="18">
        <v>600</v>
      </c>
      <c r="O146" s="18">
        <v>90</v>
      </c>
      <c r="P146" s="18">
        <v>1</v>
      </c>
      <c r="Q146" s="18" t="s">
        <v>96</v>
      </c>
      <c r="R146" s="18" t="s">
        <v>195</v>
      </c>
      <c r="S146" s="18" t="s">
        <v>196</v>
      </c>
      <c r="T146" s="18" t="s">
        <v>197</v>
      </c>
      <c r="AL146">
        <v>3</v>
      </c>
      <c r="AM146">
        <v>791</v>
      </c>
      <c r="AN146">
        <v>3332</v>
      </c>
      <c r="AO146">
        <v>2998</v>
      </c>
      <c r="AP146">
        <v>2789</v>
      </c>
      <c r="AQ146">
        <f t="shared" si="10"/>
        <v>209</v>
      </c>
      <c r="AR146">
        <f t="shared" si="9"/>
        <v>36</v>
      </c>
    </row>
    <row r="147" spans="1:47" x14ac:dyDescent="0.25">
      <c r="A147" s="18"/>
      <c r="B147" s="18"/>
      <c r="C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</row>
    <row r="148" spans="1:47" x14ac:dyDescent="0.25">
      <c r="A148" s="48" t="s">
        <v>811</v>
      </c>
      <c r="B148" s="56"/>
      <c r="C148" s="31"/>
    </row>
    <row r="149" spans="1:47" x14ac:dyDescent="0.25">
      <c r="A149" s="22" t="s">
        <v>742</v>
      </c>
    </row>
    <row r="150" spans="1:47" x14ac:dyDescent="0.25">
      <c r="A150" t="s">
        <v>24</v>
      </c>
      <c r="B150" t="s">
        <v>25</v>
      </c>
      <c r="C150" t="s">
        <v>26</v>
      </c>
      <c r="D150" t="s">
        <v>36</v>
      </c>
      <c r="E150" t="s">
        <v>743</v>
      </c>
      <c r="F150" t="s">
        <v>29</v>
      </c>
      <c r="G150" t="s">
        <v>30</v>
      </c>
      <c r="H150" t="s">
        <v>744</v>
      </c>
      <c r="I150" t="s">
        <v>32</v>
      </c>
      <c r="J150" t="s">
        <v>33</v>
      </c>
      <c r="K150" t="s">
        <v>745</v>
      </c>
      <c r="L150" t="s">
        <v>35</v>
      </c>
      <c r="M150" t="s">
        <v>39</v>
      </c>
      <c r="N150" t="s">
        <v>40</v>
      </c>
      <c r="O150" t="s">
        <v>41</v>
      </c>
      <c r="P150" t="s">
        <v>42</v>
      </c>
      <c r="Q150" t="s">
        <v>43</v>
      </c>
      <c r="AN150" t="s">
        <v>746</v>
      </c>
      <c r="AO150" t="s">
        <v>747</v>
      </c>
      <c r="AP150" t="s">
        <v>45</v>
      </c>
      <c r="AQ150" t="s">
        <v>46</v>
      </c>
      <c r="AR150" t="s">
        <v>47</v>
      </c>
      <c r="AS150" t="s">
        <v>748</v>
      </c>
      <c r="AT150" t="s">
        <v>749</v>
      </c>
      <c r="AU150" t="s">
        <v>36</v>
      </c>
    </row>
    <row r="151" spans="1:47" x14ac:dyDescent="0.25">
      <c r="A151">
        <v>1</v>
      </c>
      <c r="B151" t="s">
        <v>49</v>
      </c>
      <c r="C151" t="s">
        <v>750</v>
      </c>
      <c r="D151">
        <v>3</v>
      </c>
      <c r="E151" t="s">
        <v>750</v>
      </c>
      <c r="F151">
        <v>-4.3460000000000001</v>
      </c>
      <c r="G151">
        <v>1.9039999999999999</v>
      </c>
      <c r="H151">
        <v>2.7E-2</v>
      </c>
      <c r="I151">
        <v>-13.739000000000001</v>
      </c>
      <c r="J151">
        <v>-1.8440000000000001</v>
      </c>
      <c r="K151">
        <v>8.3000000000000004E-2</v>
      </c>
      <c r="L151" t="s">
        <v>751</v>
      </c>
      <c r="M151">
        <v>1</v>
      </c>
      <c r="N151" s="7">
        <v>42243</v>
      </c>
      <c r="O151" s="8">
        <v>1462.6783912037038</v>
      </c>
      <c r="P151" t="s">
        <v>752</v>
      </c>
      <c r="Q151" t="s">
        <v>753</v>
      </c>
      <c r="AN151">
        <v>607</v>
      </c>
      <c r="AO151">
        <v>607</v>
      </c>
      <c r="AP151">
        <v>2123</v>
      </c>
      <c r="AQ151">
        <v>1828</v>
      </c>
      <c r="AR151">
        <v>1699</v>
      </c>
      <c r="AS151">
        <v>129</v>
      </c>
      <c r="AT151" s="54">
        <f>2*8</f>
        <v>16</v>
      </c>
      <c r="AU151">
        <v>3</v>
      </c>
    </row>
    <row r="152" spans="1:47" x14ac:dyDescent="0.25">
      <c r="A152">
        <v>2</v>
      </c>
      <c r="B152" t="s">
        <v>56</v>
      </c>
      <c r="C152" t="s">
        <v>750</v>
      </c>
      <c r="D152">
        <v>3</v>
      </c>
      <c r="E152" t="s">
        <v>750</v>
      </c>
      <c r="F152">
        <v>-4.3460000000000001</v>
      </c>
      <c r="G152">
        <v>1.853</v>
      </c>
      <c r="H152">
        <v>1.2E-2</v>
      </c>
      <c r="I152">
        <v>-13.739000000000001</v>
      </c>
      <c r="J152">
        <v>-2.2429999999999999</v>
      </c>
      <c r="K152">
        <v>3.5000000000000003E-2</v>
      </c>
      <c r="L152" t="s">
        <v>751</v>
      </c>
      <c r="M152">
        <v>1</v>
      </c>
      <c r="N152" s="7">
        <v>42243</v>
      </c>
      <c r="O152" s="8" t="s">
        <v>754</v>
      </c>
      <c r="P152" t="s">
        <v>755</v>
      </c>
      <c r="Q152" t="s">
        <v>756</v>
      </c>
      <c r="AN152">
        <v>551</v>
      </c>
      <c r="AO152">
        <v>551</v>
      </c>
      <c r="AP152">
        <v>1687</v>
      </c>
      <c r="AQ152">
        <v>1484</v>
      </c>
      <c r="AR152">
        <v>1381</v>
      </c>
      <c r="AS152">
        <v>103</v>
      </c>
      <c r="AT152" s="54">
        <f t="shared" ref="AT152:AT155" si="11">2*8</f>
        <v>16</v>
      </c>
      <c r="AU152">
        <v>3</v>
      </c>
    </row>
    <row r="153" spans="1:47" x14ac:dyDescent="0.25">
      <c r="A153">
        <v>3</v>
      </c>
      <c r="B153" t="s">
        <v>60</v>
      </c>
      <c r="C153" t="s">
        <v>750</v>
      </c>
      <c r="D153">
        <v>3</v>
      </c>
      <c r="E153" t="s">
        <v>750</v>
      </c>
      <c r="F153">
        <v>-4.3460000000000001</v>
      </c>
      <c r="G153">
        <v>1.968</v>
      </c>
      <c r="H153">
        <v>1.2999999999999999E-2</v>
      </c>
      <c r="I153">
        <v>-13.739000000000001</v>
      </c>
      <c r="J153">
        <v>-2.0859999999999999</v>
      </c>
      <c r="K153">
        <v>5.2999999999999999E-2</v>
      </c>
      <c r="L153" t="s">
        <v>751</v>
      </c>
      <c r="M153">
        <v>1</v>
      </c>
      <c r="N153" s="7">
        <v>42243</v>
      </c>
      <c r="O153" s="8">
        <v>1462.7228009259259</v>
      </c>
      <c r="P153" t="s">
        <v>757</v>
      </c>
      <c r="Q153" t="s">
        <v>758</v>
      </c>
      <c r="AN153">
        <v>476</v>
      </c>
      <c r="AO153">
        <v>476</v>
      </c>
      <c r="AP153">
        <v>1283</v>
      </c>
      <c r="AQ153">
        <v>1147</v>
      </c>
      <c r="AR153">
        <v>1069</v>
      </c>
      <c r="AS153">
        <v>78</v>
      </c>
      <c r="AT153" s="54">
        <f t="shared" si="11"/>
        <v>16</v>
      </c>
      <c r="AU153">
        <v>3</v>
      </c>
    </row>
    <row r="154" spans="1:47" x14ac:dyDescent="0.25">
      <c r="A154">
        <v>4</v>
      </c>
      <c r="B154" t="s">
        <v>64</v>
      </c>
      <c r="C154" t="s">
        <v>750</v>
      </c>
      <c r="D154">
        <v>3</v>
      </c>
      <c r="E154" t="s">
        <v>750</v>
      </c>
      <c r="F154">
        <v>-4.3460000000000001</v>
      </c>
      <c r="G154">
        <v>1.9019999999999999</v>
      </c>
      <c r="H154">
        <v>2.9000000000000001E-2</v>
      </c>
      <c r="I154">
        <v>-13.739000000000001</v>
      </c>
      <c r="J154">
        <v>-2.3580000000000001</v>
      </c>
      <c r="K154">
        <v>3.3000000000000002E-2</v>
      </c>
      <c r="L154" t="s">
        <v>751</v>
      </c>
      <c r="M154">
        <v>1</v>
      </c>
      <c r="N154" s="7">
        <v>42243</v>
      </c>
      <c r="O154" s="8">
        <v>1462.7448726851851</v>
      </c>
      <c r="P154" t="s">
        <v>759</v>
      </c>
      <c r="Q154" t="s">
        <v>760</v>
      </c>
      <c r="AN154">
        <v>536</v>
      </c>
      <c r="AO154">
        <v>536</v>
      </c>
      <c r="AP154">
        <v>1588</v>
      </c>
      <c r="AQ154">
        <v>1410</v>
      </c>
      <c r="AR154">
        <v>1313</v>
      </c>
      <c r="AS154">
        <v>97</v>
      </c>
      <c r="AT154" s="54">
        <f t="shared" si="11"/>
        <v>16</v>
      </c>
      <c r="AU154">
        <v>3</v>
      </c>
    </row>
    <row r="155" spans="1:47" x14ac:dyDescent="0.25">
      <c r="A155">
        <v>5</v>
      </c>
      <c r="B155" t="s">
        <v>110</v>
      </c>
      <c r="C155" t="s">
        <v>750</v>
      </c>
      <c r="D155">
        <v>3</v>
      </c>
      <c r="E155" t="s">
        <v>750</v>
      </c>
      <c r="F155">
        <v>-4.3460000000000001</v>
      </c>
      <c r="G155">
        <v>1.9610000000000001</v>
      </c>
      <c r="H155">
        <v>1.4E-2</v>
      </c>
      <c r="I155">
        <v>-13.739000000000001</v>
      </c>
      <c r="J155">
        <v>-2.2559999999999998</v>
      </c>
      <c r="K155">
        <v>3.5000000000000003E-2</v>
      </c>
      <c r="L155" t="s">
        <v>751</v>
      </c>
      <c r="M155">
        <v>1</v>
      </c>
      <c r="N155" s="7">
        <v>42243</v>
      </c>
      <c r="O155" s="8">
        <v>1462.7685532407406</v>
      </c>
      <c r="P155" t="s">
        <v>761</v>
      </c>
      <c r="Q155" t="s">
        <v>762</v>
      </c>
      <c r="AN155">
        <v>575</v>
      </c>
      <c r="AO155">
        <v>575</v>
      </c>
      <c r="AP155">
        <v>1755</v>
      </c>
      <c r="AQ155">
        <v>1525</v>
      </c>
      <c r="AR155">
        <v>1444</v>
      </c>
      <c r="AS155">
        <v>81</v>
      </c>
      <c r="AT155" s="54">
        <f t="shared" si="11"/>
        <v>16</v>
      </c>
      <c r="AU155">
        <v>3</v>
      </c>
    </row>
    <row r="156" spans="1:47" x14ac:dyDescent="0.25">
      <c r="A156">
        <v>6</v>
      </c>
      <c r="B156" t="s">
        <v>114</v>
      </c>
      <c r="C156" t="s">
        <v>763</v>
      </c>
      <c r="D156">
        <v>3</v>
      </c>
      <c r="E156" t="s">
        <v>763</v>
      </c>
      <c r="F156">
        <v>-4.3460000000000001</v>
      </c>
      <c r="G156">
        <v>1.97</v>
      </c>
      <c r="H156">
        <v>6.0000000000000001E-3</v>
      </c>
      <c r="I156">
        <v>-13.739000000000001</v>
      </c>
      <c r="J156">
        <v>-2.278</v>
      </c>
      <c r="K156">
        <v>2.9000000000000001E-2</v>
      </c>
      <c r="L156" t="s">
        <v>751</v>
      </c>
      <c r="M156">
        <v>1</v>
      </c>
      <c r="N156" s="7">
        <v>42243</v>
      </c>
      <c r="O156" s="8">
        <v>1462.7922106481481</v>
      </c>
      <c r="P156" t="s">
        <v>764</v>
      </c>
      <c r="Q156" t="s">
        <v>765</v>
      </c>
      <c r="AN156">
        <v>625</v>
      </c>
      <c r="AO156">
        <v>625</v>
      </c>
      <c r="AP156">
        <v>2192</v>
      </c>
      <c r="AQ156">
        <v>2004</v>
      </c>
      <c r="AR156">
        <v>1868</v>
      </c>
      <c r="AS156">
        <v>136</v>
      </c>
      <c r="AT156" s="54">
        <f>2*10</f>
        <v>20</v>
      </c>
      <c r="AU156">
        <v>3</v>
      </c>
    </row>
    <row r="157" spans="1:47" x14ac:dyDescent="0.25">
      <c r="A157">
        <v>7</v>
      </c>
      <c r="B157" t="s">
        <v>68</v>
      </c>
      <c r="C157" t="s">
        <v>763</v>
      </c>
      <c r="D157">
        <v>3</v>
      </c>
      <c r="E157" t="s">
        <v>763</v>
      </c>
      <c r="F157">
        <v>-4.3460000000000001</v>
      </c>
      <c r="G157">
        <v>1.6160000000000001</v>
      </c>
      <c r="H157">
        <v>1.0999999999999999E-2</v>
      </c>
      <c r="I157">
        <v>-13.739000000000001</v>
      </c>
      <c r="J157">
        <v>-2.6850000000000001</v>
      </c>
      <c r="K157">
        <v>2.1000000000000001E-2</v>
      </c>
      <c r="L157" t="s">
        <v>751</v>
      </c>
      <c r="M157">
        <v>1</v>
      </c>
      <c r="N157" s="7">
        <v>42243</v>
      </c>
      <c r="O157" s="8">
        <v>1462.8150115740741</v>
      </c>
      <c r="P157" t="s">
        <v>766</v>
      </c>
      <c r="Q157" t="s">
        <v>767</v>
      </c>
      <c r="AN157">
        <v>650</v>
      </c>
      <c r="AO157">
        <v>650</v>
      </c>
      <c r="AP157">
        <v>2259</v>
      </c>
      <c r="AQ157">
        <v>2063</v>
      </c>
      <c r="AR157">
        <v>1920</v>
      </c>
      <c r="AS157">
        <v>143</v>
      </c>
      <c r="AT157" s="54">
        <f t="shared" ref="AT157:AT160" si="12">2*10</f>
        <v>20</v>
      </c>
      <c r="AU157">
        <v>3</v>
      </c>
    </row>
    <row r="158" spans="1:47" x14ac:dyDescent="0.25">
      <c r="A158">
        <v>8</v>
      </c>
      <c r="B158" t="s">
        <v>74</v>
      </c>
      <c r="C158" t="s">
        <v>763</v>
      </c>
      <c r="D158">
        <v>3</v>
      </c>
      <c r="E158" t="s">
        <v>763</v>
      </c>
      <c r="F158">
        <v>-4.3460000000000001</v>
      </c>
      <c r="G158">
        <v>1.915</v>
      </c>
      <c r="H158">
        <v>6.0000000000000001E-3</v>
      </c>
      <c r="I158">
        <v>-13.739000000000001</v>
      </c>
      <c r="J158">
        <v>-2.2919999999999998</v>
      </c>
      <c r="K158">
        <v>1.7000000000000001E-2</v>
      </c>
      <c r="L158" t="s">
        <v>751</v>
      </c>
      <c r="M158">
        <v>1</v>
      </c>
      <c r="N158" s="7">
        <v>42243</v>
      </c>
      <c r="O158" s="8">
        <v>1462.8384953703703</v>
      </c>
      <c r="P158" t="s">
        <v>768</v>
      </c>
      <c r="Q158" t="s">
        <v>769</v>
      </c>
      <c r="AN158">
        <v>639</v>
      </c>
      <c r="AO158">
        <v>639</v>
      </c>
      <c r="AP158">
        <v>2137</v>
      </c>
      <c r="AQ158">
        <v>1951</v>
      </c>
      <c r="AR158">
        <v>1817</v>
      </c>
      <c r="AS158">
        <v>134</v>
      </c>
      <c r="AT158" s="54">
        <f t="shared" si="12"/>
        <v>20</v>
      </c>
      <c r="AU158">
        <v>3</v>
      </c>
    </row>
    <row r="159" spans="1:47" x14ac:dyDescent="0.25">
      <c r="A159">
        <v>9</v>
      </c>
      <c r="B159" t="s">
        <v>78</v>
      </c>
      <c r="C159" t="s">
        <v>763</v>
      </c>
      <c r="D159">
        <v>3</v>
      </c>
      <c r="E159" t="s">
        <v>763</v>
      </c>
      <c r="F159">
        <v>-4.3460000000000001</v>
      </c>
      <c r="G159">
        <v>2.0339999999999998</v>
      </c>
      <c r="H159">
        <v>2.5999999999999999E-2</v>
      </c>
      <c r="I159">
        <v>-13.739000000000001</v>
      </c>
      <c r="J159">
        <v>-2.4329999999999998</v>
      </c>
      <c r="K159">
        <v>4.3999999999999997E-2</v>
      </c>
      <c r="L159" t="s">
        <v>751</v>
      </c>
      <c r="M159">
        <v>1</v>
      </c>
      <c r="N159" s="7">
        <v>42243</v>
      </c>
      <c r="O159" s="8">
        <v>1462.8620601851851</v>
      </c>
      <c r="P159" t="s">
        <v>770</v>
      </c>
      <c r="Q159" t="s">
        <v>771</v>
      </c>
      <c r="AN159">
        <v>572</v>
      </c>
      <c r="AO159">
        <v>572</v>
      </c>
      <c r="AP159">
        <v>1756</v>
      </c>
      <c r="AQ159">
        <v>1525</v>
      </c>
      <c r="AR159">
        <v>1440</v>
      </c>
      <c r="AS159">
        <v>85</v>
      </c>
      <c r="AT159" s="54">
        <f t="shared" si="12"/>
        <v>20</v>
      </c>
      <c r="AU159">
        <v>3</v>
      </c>
    </row>
    <row r="160" spans="1:47" x14ac:dyDescent="0.25">
      <c r="A160">
        <v>10</v>
      </c>
      <c r="B160" t="s">
        <v>82</v>
      </c>
      <c r="C160" t="s">
        <v>763</v>
      </c>
      <c r="D160">
        <v>3</v>
      </c>
      <c r="E160" t="s">
        <v>763</v>
      </c>
      <c r="F160">
        <v>-4.3460000000000001</v>
      </c>
      <c r="G160">
        <v>1.968</v>
      </c>
      <c r="H160">
        <v>1.6E-2</v>
      </c>
      <c r="I160">
        <v>-13.739000000000001</v>
      </c>
      <c r="J160">
        <v>-2.2810000000000001</v>
      </c>
      <c r="K160">
        <v>5.5E-2</v>
      </c>
      <c r="L160" t="s">
        <v>751</v>
      </c>
      <c r="M160">
        <v>1</v>
      </c>
      <c r="N160" s="7">
        <v>42243</v>
      </c>
      <c r="O160" s="8">
        <v>1462.8849074074074</v>
      </c>
      <c r="P160" t="s">
        <v>772</v>
      </c>
      <c r="Q160" t="s">
        <v>773</v>
      </c>
      <c r="AN160">
        <v>632</v>
      </c>
      <c r="AO160">
        <v>632</v>
      </c>
      <c r="AP160">
        <v>2078</v>
      </c>
      <c r="AQ160">
        <v>1908</v>
      </c>
      <c r="AR160">
        <v>1777</v>
      </c>
      <c r="AS160">
        <v>131</v>
      </c>
      <c r="AT160" s="54">
        <f t="shared" si="12"/>
        <v>20</v>
      </c>
      <c r="AU160">
        <v>3</v>
      </c>
    </row>
  </sheetData>
  <pageMargins left="0.75" right="0.75" top="1" bottom="1" header="0.5" footer="0.5"/>
  <drawing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CO2 refil</vt:lpstr>
      <vt:lpstr>Curvas massa_P_II</vt:lpstr>
      <vt:lpstr>Gotas</vt:lpstr>
      <vt:lpstr>Exploratório</vt:lpstr>
      <vt:lpstr>Massa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GeoIsotopica</dc:creator>
  <cp:lastModifiedBy>Marilia</cp:lastModifiedBy>
  <dcterms:created xsi:type="dcterms:W3CDTF">2015-08-28T13:29:51Z</dcterms:created>
  <dcterms:modified xsi:type="dcterms:W3CDTF">2016-03-28T11:53:38Z</dcterms:modified>
</cp:coreProperties>
</file>