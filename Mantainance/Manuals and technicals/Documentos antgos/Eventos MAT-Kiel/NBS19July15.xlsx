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5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drawings/drawing6.xml" ContentType="application/vnd.openxmlformats-officedocument.drawing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/>
  <bookViews>
    <workbookView xWindow="-2580" yWindow="-270" windowWidth="15345" windowHeight="7845" firstSheet="4" activeTab="4"/>
  </bookViews>
  <sheets>
    <sheet name="After instal" sheetId="2" r:id="rId1"/>
    <sheet name="After software 19May" sheetId="3" r:id="rId2"/>
    <sheet name="After Oring 29May" sheetId="6" r:id="rId3"/>
    <sheet name="After capilar 19Jun" sheetId="8" r:id="rId4"/>
    <sheet name="After adjust 15Jul" sheetId="9" r:id="rId5"/>
    <sheet name="NBS18" sheetId="4" r:id="rId6"/>
    <sheet name="CO2 Refil" sheetId="7" r:id="rId7"/>
    <sheet name="Plan1" sheetId="10" r:id="rId8"/>
  </sheets>
  <externalReferences>
    <externalReference r:id="rId9"/>
  </externalReferences>
  <definedNames>
    <definedName name="Adriana.wke">#REF!</definedName>
  </definedName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176" i="9" l="1"/>
  <c r="L180" i="9"/>
  <c r="S187" i="9"/>
  <c r="T199" i="9"/>
  <c r="S199" i="9"/>
  <c r="T198" i="9"/>
  <c r="S198" i="9"/>
  <c r="T197" i="9"/>
  <c r="S197" i="9"/>
  <c r="T196" i="9"/>
  <c r="S196" i="9"/>
  <c r="T193" i="9"/>
  <c r="S193" i="9"/>
  <c r="T192" i="9"/>
  <c r="S192" i="9"/>
  <c r="T191" i="9"/>
  <c r="S191" i="9"/>
  <c r="T190" i="9"/>
  <c r="S190" i="9"/>
  <c r="R187" i="9"/>
  <c r="S186" i="9"/>
  <c r="R186" i="9"/>
  <c r="M159" i="8"/>
  <c r="M158" i="8"/>
  <c r="F159" i="8"/>
  <c r="F158" i="8"/>
  <c r="Q143" i="8"/>
  <c r="Q142" i="8"/>
  <c r="P143" i="8"/>
  <c r="P142" i="8"/>
  <c r="O143" i="8"/>
  <c r="O142" i="8"/>
  <c r="N143" i="8"/>
  <c r="N142" i="8"/>
  <c r="M143" i="8"/>
  <c r="M142" i="8"/>
  <c r="L143" i="8"/>
  <c r="L142" i="8"/>
  <c r="J143" i="8"/>
  <c r="J142" i="8"/>
  <c r="I143" i="8"/>
  <c r="I142" i="8"/>
  <c r="H143" i="8"/>
  <c r="H142" i="8"/>
  <c r="G143" i="8"/>
  <c r="G142" i="8"/>
  <c r="F143" i="8"/>
  <c r="F142" i="8"/>
  <c r="E143" i="8"/>
  <c r="E142" i="8"/>
  <c r="I138" i="8"/>
  <c r="I137" i="8"/>
  <c r="F138" i="8"/>
  <c r="F137" i="8"/>
  <c r="AT125" i="8"/>
  <c r="AT126" i="8"/>
  <c r="AT128" i="8"/>
  <c r="AT129" i="8"/>
  <c r="AT130" i="8"/>
  <c r="AT124" i="8"/>
  <c r="AT119" i="8"/>
  <c r="AT120" i="8"/>
  <c r="AT121" i="8"/>
  <c r="AT122" i="8"/>
  <c r="AT123" i="8"/>
  <c r="AT118" i="8"/>
  <c r="AT114" i="8"/>
  <c r="AT115" i="8"/>
  <c r="AT116" i="8"/>
  <c r="AT117" i="8"/>
  <c r="AT113" i="8"/>
  <c r="AT107" i="8"/>
  <c r="AT108" i="8"/>
  <c r="AT109" i="8"/>
  <c r="AT110" i="8"/>
  <c r="AT111" i="8"/>
  <c r="AT112" i="8"/>
  <c r="AT106" i="8"/>
  <c r="AT100" i="8"/>
  <c r="AT101" i="8"/>
  <c r="AT102" i="8"/>
  <c r="AT103" i="8"/>
  <c r="AT104" i="8"/>
  <c r="AT105" i="8"/>
  <c r="AT99" i="8"/>
  <c r="AS108" i="8"/>
  <c r="AS109" i="8"/>
  <c r="AS110" i="8"/>
  <c r="AS111" i="8"/>
  <c r="AS113" i="8"/>
  <c r="AS114" i="8"/>
  <c r="AS115" i="8"/>
  <c r="AS116" i="8"/>
  <c r="AS117" i="8"/>
  <c r="AS118" i="8"/>
  <c r="AS119" i="8"/>
  <c r="AS120" i="8"/>
  <c r="AS121" i="8"/>
  <c r="AS122" i="8"/>
  <c r="AS123" i="8"/>
  <c r="AS124" i="8"/>
  <c r="AS125" i="8"/>
  <c r="AS126" i="8"/>
  <c r="AS128" i="8"/>
  <c r="AS129" i="8"/>
  <c r="AS130" i="8"/>
  <c r="AS131" i="8"/>
  <c r="AS133" i="8"/>
  <c r="AS134" i="8"/>
  <c r="AS135" i="8"/>
  <c r="AS136" i="8"/>
  <c r="AS107" i="8"/>
  <c r="AS102" i="8"/>
  <c r="AS96" i="8"/>
  <c r="AS97" i="8"/>
  <c r="AS98" i="8"/>
  <c r="AS95" i="8"/>
  <c r="AO85" i="8"/>
  <c r="AO86" i="8"/>
  <c r="AO87" i="8"/>
  <c r="AO88" i="8"/>
  <c r="AO89" i="8"/>
  <c r="AO84" i="8"/>
  <c r="AO81" i="8"/>
  <c r="AO82" i="8"/>
  <c r="AO83" i="8"/>
  <c r="AO80" i="8"/>
  <c r="AO75" i="8"/>
  <c r="AO76" i="8"/>
  <c r="AO77" i="8"/>
  <c r="AO78" i="8"/>
  <c r="AO79" i="8"/>
  <c r="AO74" i="8"/>
  <c r="AO72" i="8"/>
  <c r="AO73" i="8"/>
  <c r="AO71" i="8"/>
  <c r="AO63" i="8"/>
  <c r="AO64" i="8"/>
  <c r="AO65" i="8"/>
  <c r="AO66" i="8"/>
  <c r="AO62" i="8"/>
  <c r="AO61" i="8"/>
  <c r="AO58" i="8"/>
  <c r="AO57" i="8"/>
  <c r="I91" i="8"/>
  <c r="I90" i="8"/>
  <c r="F91" i="8"/>
  <c r="F90" i="8"/>
  <c r="AO38" i="8"/>
  <c r="AO39" i="8"/>
  <c r="AO40" i="8"/>
  <c r="AO41" i="8"/>
  <c r="AO42" i="8"/>
  <c r="AO43" i="8"/>
  <c r="AO37" i="8"/>
  <c r="AO5" i="8"/>
  <c r="AO6" i="8"/>
  <c r="AO7" i="8"/>
  <c r="AO8" i="8"/>
  <c r="AO9" i="8"/>
  <c r="AO10" i="8"/>
  <c r="AO11" i="8"/>
  <c r="AO12" i="8"/>
  <c r="AO13" i="8"/>
  <c r="AO14" i="8"/>
  <c r="AO15" i="8"/>
  <c r="AO16" i="8"/>
  <c r="AO17" i="8"/>
  <c r="AO18" i="8"/>
  <c r="AO19" i="8"/>
  <c r="AO20" i="8"/>
  <c r="AO21" i="8"/>
  <c r="AO22" i="8"/>
  <c r="AO23" i="8"/>
  <c r="AO24" i="8"/>
  <c r="AO25" i="8"/>
  <c r="AO26" i="8"/>
  <c r="AO27" i="8"/>
  <c r="AO28" i="8"/>
  <c r="AO29" i="8"/>
  <c r="AO30" i="8"/>
  <c r="AO31" i="8"/>
  <c r="AO32" i="8"/>
  <c r="AO33" i="8"/>
  <c r="AO34" i="8"/>
  <c r="AO4" i="8"/>
  <c r="I45" i="8"/>
  <c r="I44" i="8"/>
  <c r="F45" i="8"/>
  <c r="F44" i="8"/>
  <c r="D113" i="6"/>
  <c r="F113" i="6"/>
  <c r="D112" i="6"/>
  <c r="D50" i="6"/>
  <c r="F50" i="6"/>
  <c r="D62" i="6"/>
  <c r="F62" i="6"/>
  <c r="F112" i="6"/>
  <c r="AM74" i="6"/>
  <c r="AM75" i="6"/>
  <c r="AM76" i="6"/>
  <c r="AM77" i="6"/>
  <c r="AM78" i="6"/>
  <c r="AM79" i="6"/>
  <c r="AM80" i="6"/>
  <c r="AM81" i="6"/>
  <c r="AM82" i="6"/>
  <c r="AM83" i="6"/>
  <c r="AM84" i="6"/>
  <c r="AM85" i="6"/>
  <c r="AM86" i="6"/>
  <c r="AM87" i="6"/>
  <c r="AM88" i="6"/>
  <c r="AM89" i="6"/>
  <c r="AM90" i="6"/>
  <c r="AM91" i="6"/>
  <c r="AM92" i="6"/>
  <c r="AM93" i="6"/>
  <c r="AM94" i="6"/>
  <c r="AM95" i="6"/>
  <c r="AM96" i="6"/>
  <c r="AM97" i="6"/>
  <c r="AM98" i="6"/>
  <c r="AM99" i="6"/>
  <c r="AM100" i="6"/>
  <c r="AM101" i="6"/>
  <c r="AM102" i="6"/>
  <c r="AM103" i="6"/>
  <c r="AM104" i="6"/>
  <c r="AM105" i="6"/>
  <c r="AM106" i="6"/>
  <c r="AM107" i="6"/>
  <c r="AM108" i="6"/>
  <c r="AM109" i="6"/>
  <c r="AM110" i="6"/>
  <c r="AM111" i="6"/>
  <c r="AM73" i="6"/>
  <c r="AM72" i="6"/>
  <c r="AM71" i="6"/>
  <c r="AM70" i="6"/>
  <c r="AM69" i="6"/>
  <c r="AM68" i="6"/>
  <c r="AM67" i="6"/>
  <c r="AM66" i="6"/>
  <c r="AN61" i="6"/>
  <c r="AN60" i="6"/>
  <c r="AN59" i="6"/>
  <c r="AN58" i="6"/>
  <c r="AN57" i="6"/>
  <c r="AN56" i="6"/>
  <c r="AN55" i="6"/>
  <c r="AN5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4" i="6"/>
  <c r="AM56" i="3"/>
  <c r="AM55" i="3"/>
  <c r="AM54" i="3"/>
  <c r="AM53" i="3"/>
  <c r="AM52" i="3"/>
  <c r="AM51" i="3"/>
  <c r="AM50" i="3"/>
  <c r="AM48" i="3"/>
  <c r="AM49" i="3"/>
  <c r="AM47" i="3"/>
  <c r="AM44" i="3"/>
  <c r="AM45" i="3"/>
  <c r="AM46" i="3"/>
  <c r="AM43" i="3"/>
  <c r="AM40" i="3"/>
  <c r="AM41" i="3"/>
  <c r="AM42" i="3"/>
  <c r="AM39" i="3"/>
  <c r="AM38" i="3"/>
  <c r="AM37" i="3"/>
  <c r="AM30" i="3"/>
  <c r="AM31" i="3"/>
  <c r="AM32" i="3"/>
  <c r="AM33" i="3"/>
  <c r="AM34" i="3"/>
  <c r="AM35" i="3"/>
  <c r="AM36" i="3"/>
  <c r="AM29" i="3"/>
  <c r="AM28" i="3"/>
  <c r="AM27" i="3"/>
  <c r="AM22" i="3"/>
  <c r="AM23" i="3"/>
  <c r="AM21" i="3"/>
  <c r="AM116" i="2"/>
  <c r="AM117" i="2"/>
  <c r="AM115" i="2"/>
  <c r="AM112" i="2"/>
  <c r="AM107" i="2"/>
  <c r="AM106" i="2"/>
  <c r="AM105" i="2"/>
  <c r="AM104" i="2"/>
  <c r="AM103" i="2"/>
  <c r="AM102" i="2"/>
  <c r="AM99" i="2"/>
  <c r="AM88" i="2"/>
  <c r="AM89" i="2"/>
  <c r="AM90" i="2"/>
  <c r="AM91" i="2"/>
  <c r="AM92" i="2"/>
  <c r="AM93" i="2"/>
  <c r="AM94" i="2"/>
  <c r="AM87" i="2"/>
  <c r="AM79" i="2"/>
  <c r="AM80" i="2"/>
  <c r="AM81" i="2"/>
  <c r="AM82" i="2"/>
  <c r="AM78" i="2"/>
  <c r="AM72" i="2"/>
  <c r="AM73" i="2"/>
  <c r="AM74" i="2"/>
  <c r="AM75" i="2"/>
  <c r="AM71" i="2"/>
  <c r="AM55" i="2"/>
  <c r="AM56" i="2"/>
  <c r="AM57" i="2"/>
  <c r="AM58" i="2"/>
  <c r="AM59" i="2"/>
  <c r="AM54" i="2"/>
  <c r="AM47" i="2"/>
  <c r="AM48" i="2"/>
  <c r="AM49" i="2"/>
  <c r="AM50" i="2"/>
  <c r="AM51" i="2"/>
  <c r="AM46" i="2"/>
  <c r="AM39" i="2"/>
  <c r="AM40" i="2"/>
  <c r="AM41" i="2"/>
  <c r="AM42" i="2"/>
  <c r="AM43" i="2"/>
  <c r="AM38" i="2"/>
  <c r="AM34" i="2"/>
  <c r="AM35" i="2"/>
  <c r="AM33" i="2"/>
  <c r="AM30" i="2"/>
  <c r="AM17" i="2"/>
  <c r="AM18" i="2"/>
  <c r="AM19" i="2"/>
  <c r="AM20" i="2"/>
  <c r="AM21" i="2"/>
  <c r="AM22" i="2"/>
  <c r="AM23" i="2"/>
  <c r="AM24" i="2"/>
  <c r="AM25" i="2"/>
  <c r="AM26" i="2"/>
  <c r="AM27" i="2"/>
  <c r="AM16" i="2"/>
  <c r="AM7" i="2"/>
  <c r="AM8" i="2"/>
  <c r="AM9" i="2"/>
  <c r="AM10" i="2"/>
  <c r="AM11" i="2"/>
  <c r="AM12" i="2"/>
  <c r="AM13" i="2"/>
  <c r="AM6" i="2"/>
  <c r="AS6" i="2"/>
  <c r="AS7" i="2"/>
  <c r="AS8" i="2"/>
  <c r="AQ6" i="2"/>
  <c r="AQ7" i="2"/>
  <c r="AQ8" i="2"/>
</calcChain>
</file>

<file path=xl/comments1.xml><?xml version="1.0" encoding="utf-8"?>
<comments xmlns="http://schemas.openxmlformats.org/spreadsheetml/2006/main">
  <authors>
    <author>Thermo</author>
  </authors>
  <commentList>
    <comment ref="C64" authorId="0">
      <text>
        <r>
          <rPr>
            <b/>
            <sz val="9"/>
            <color indexed="81"/>
            <rFont val="Tahoma"/>
            <family val="2"/>
          </rPr>
          <t>Thermo:</t>
        </r>
        <r>
          <rPr>
            <sz val="9"/>
            <color indexed="81"/>
            <rFont val="Tahoma"/>
            <family val="2"/>
          </rPr>
          <t xml:space="preserve">
número do arquivo NBS19 obtido
ex. NBS19_0003.did</t>
        </r>
      </text>
    </comment>
  </commentList>
</comments>
</file>

<file path=xl/comments2.xml><?xml version="1.0" encoding="utf-8"?>
<comments xmlns="http://schemas.openxmlformats.org/spreadsheetml/2006/main">
  <authors>
    <author>Thermo</author>
  </authors>
  <commentList>
    <comment ref="H111" authorId="0">
      <text>
        <r>
          <rPr>
            <b/>
            <sz val="9"/>
            <color indexed="81"/>
            <rFont val="Tahoma"/>
            <family val="2"/>
          </rPr>
          <t>Thermo:</t>
        </r>
        <r>
          <rPr>
            <sz val="9"/>
            <color indexed="81"/>
            <rFont val="Tahoma"/>
            <family val="2"/>
          </rPr>
          <t xml:space="preserve">
35s refil</t>
        </r>
      </text>
    </comment>
  </commentList>
</comments>
</file>

<file path=xl/comments3.xml><?xml version="1.0" encoding="utf-8"?>
<comments xmlns="http://schemas.openxmlformats.org/spreadsheetml/2006/main">
  <authors>
    <author>GeoIsotopica</author>
  </authors>
  <commentList>
    <comment ref="AL127" authorId="0">
      <text>
        <r>
          <rPr>
            <b/>
            <sz val="9"/>
            <color indexed="81"/>
            <rFont val="Segoe UI"/>
            <family val="2"/>
          </rPr>
          <t>GeoIsotopica:</t>
        </r>
        <r>
          <rPr>
            <sz val="9"/>
            <color indexed="81"/>
            <rFont val="Segoe UI"/>
            <family val="2"/>
          </rPr>
          <t xml:space="preserve">
671</t>
        </r>
      </text>
    </comment>
    <comment ref="AM127" authorId="0">
      <text>
        <r>
          <rPr>
            <b/>
            <sz val="9"/>
            <color indexed="81"/>
            <rFont val="Segoe UI"/>
            <family val="2"/>
          </rPr>
          <t>GeoIsotopica:</t>
        </r>
        <r>
          <rPr>
            <sz val="9"/>
            <color indexed="81"/>
            <rFont val="Segoe UI"/>
            <family val="2"/>
          </rPr>
          <t xml:space="preserve">
877</t>
        </r>
      </text>
    </comment>
    <comment ref="F132" authorId="0">
      <text>
        <r>
          <rPr>
            <b/>
            <sz val="9"/>
            <color indexed="81"/>
            <rFont val="Segoe UI"/>
            <family val="2"/>
          </rPr>
          <t>GeoIsotopica:</t>
        </r>
        <r>
          <rPr>
            <sz val="9"/>
            <color indexed="81"/>
            <rFont val="Segoe UI"/>
            <family val="2"/>
          </rPr>
          <t xml:space="preserve">
0.623</t>
        </r>
      </text>
    </comment>
    <comment ref="I132" authorId="0">
      <text>
        <r>
          <rPr>
            <b/>
            <sz val="9"/>
            <color indexed="81"/>
            <rFont val="Segoe UI"/>
            <family val="2"/>
          </rPr>
          <t>GeoIsotopica:</t>
        </r>
        <r>
          <rPr>
            <sz val="9"/>
            <color indexed="81"/>
            <rFont val="Segoe UI"/>
            <family val="2"/>
          </rPr>
          <t xml:space="preserve">
-10.147</t>
        </r>
      </text>
    </comment>
    <comment ref="AL132" authorId="0">
      <text>
        <r>
          <rPr>
            <b/>
            <sz val="9"/>
            <color indexed="81"/>
            <rFont val="Segoe UI"/>
            <family val="2"/>
          </rPr>
          <t>GeoIsotopica:</t>
        </r>
        <r>
          <rPr>
            <sz val="9"/>
            <color indexed="81"/>
            <rFont val="Segoe UI"/>
            <family val="2"/>
          </rPr>
          <t xml:space="preserve">
122</t>
        </r>
      </text>
    </comment>
    <comment ref="AM132" authorId="0">
      <text>
        <r>
          <rPr>
            <b/>
            <sz val="9"/>
            <color indexed="81"/>
            <rFont val="Segoe UI"/>
            <family val="2"/>
          </rPr>
          <t>GeoIsotopica:</t>
        </r>
        <r>
          <rPr>
            <sz val="9"/>
            <color indexed="81"/>
            <rFont val="Segoe UI"/>
            <family val="2"/>
          </rPr>
          <t xml:space="preserve">
204</t>
        </r>
      </text>
    </comment>
  </commentList>
</comments>
</file>

<file path=xl/sharedStrings.xml><?xml version="1.0" encoding="utf-8"?>
<sst xmlns="http://schemas.openxmlformats.org/spreadsheetml/2006/main" count="2989" uniqueCount="906">
  <si>
    <t>Row</t>
  </si>
  <si>
    <t>Identifier 1</t>
  </si>
  <si>
    <t>Identifier 2</t>
  </si>
  <si>
    <t>d 13C/12C</t>
  </si>
  <si>
    <t>d 13C/12C  Mean</t>
  </si>
  <si>
    <t>d 13C/12C  Std Dev</t>
  </si>
  <si>
    <t>d 18O/16O</t>
  </si>
  <si>
    <t>d 18O/16O  Mean</t>
  </si>
  <si>
    <t>d 18O/16O  Std Dev</t>
  </si>
  <si>
    <t>Method</t>
  </si>
  <si>
    <t>Measurment Infos</t>
  </si>
  <si>
    <t>NBS19_1</t>
  </si>
  <si>
    <t>Kiel IV Adriana</t>
  </si>
  <si>
    <t>Acid: 70.2 (°C);LeakRate (µBar/Min):  454 ; 0 xtra drops;P no Acid :   37;P gases:   71;Total CO2 :  533;# Exp.:  0;CO2 after Exp.:  533;RR pressure 7.3 (100%);RR pressure 14.6 (50%);VM1 aftr Trfr.:   35;PC (62129);Background: 6.03 mV,6.50 mV,8.68 mV (The</t>
  </si>
  <si>
    <t>NBS19_10</t>
  </si>
  <si>
    <t xml:space="preserve"> Acid: 70.2 (°C); LeakRate (µBar/Min):  112 ;  0 xtra drops; P no Acid :   35;Total CO2 :  389;# Exp.:  0;CO2 after Exp.:  389;RR skipped 13.6 (50%);VM1 aftr Trfr.:   35;PC (62139);Background: 6.14 mV,6.61 mV,8.88 mV (Thermo);Init int:  903.38;PressAdjust</t>
  </si>
  <si>
    <t>NBS19_11</t>
  </si>
  <si>
    <t xml:space="preserve"> Acid: 70.1 (°C); LeakRate (µBar/Min):  190 ;  0 xtra drops; P no Acid :   40;Total CO2 :  425;# Exp.:  0;CO2 after Exp.:  425;RR pressure 7.3 (100%);RR pressure 14.6 (50%);VM1 aftr Trfr.:   35;PC (62129);Background: 5.95 mV,6.39 mV,8.58 mV (Thermo);Init</t>
  </si>
  <si>
    <t>NBS19_12</t>
  </si>
  <si>
    <t xml:space="preserve"> Acid: 70.1 (°C); LeakRate (µBar/Min):  107 ;  0 xtra drops; P no Acid :   35;Total CO2 :  506;# Exp.:  0;CO2 after Exp.:  506;RR skipped 14.3 (50%);VM1 aftr Trfr.:   37;PC (62139);Background: 6.01 mV,6.46 mV,8.70 mV (Thermo);Init int: 1557.54;PressAdjust</t>
  </si>
  <si>
    <t>NBS19_13</t>
  </si>
  <si>
    <t xml:space="preserve"> Acid: 70.1 (°C); LeakRate (µBar/Min):  166 ;  0 xtra drops; P no Acid :   40;Total CO2 :  521;# Exp.:  0;CO2 after Exp.:  521;RR skipped 14.1 (50%);VM1 aftr Trfr.:   35;PC (62129);Background: 5.96 mV,6.43 mV,8.61 mV (Thermo);Init int: 1675.55;PressAdjust</t>
  </si>
  <si>
    <t>NBS19_14</t>
  </si>
  <si>
    <t xml:space="preserve"> Acid: 70.1 (°C); LeakRate (µBar/Min):  103 ;  0 xtra drops; P no Acid :   35;Total CO2 :  486;# Exp.:  0;CO2 after Exp.:  486;RR skipped 13.7 (50%);VM1 aftr Trfr.:   37;PC (62139);Background: 6.03 mV,6.49 mV,8.71 mV (Thermo);Init int: 1427.34;PressAdjust</t>
  </si>
  <si>
    <t>NBS19_15</t>
  </si>
  <si>
    <t xml:space="preserve"> Acid: 70.1 (°C); LeakRate (µBar/Min):  166 ;  0 xtra drops; P no Acid :   40;Total CO2 :  399;# Exp.:  0;CO2 after Exp.:  399;RR skipped 13.6 (50%);VM1 aftr Trfr.:   35;PC (62129);Background: 5.92 mV,6.36 mV,8.58 mV (Thermo);Init int:  917.20;PressAdjust</t>
  </si>
  <si>
    <t>NBS19_16</t>
  </si>
  <si>
    <t xml:space="preserve"> Acid: 70.1 (°C); LeakRate (µBar/Min):  112 ;  0 xtra drops; P no Acid :   35;Total CO2 :  496;# Exp.:  0;CO2 after Exp.:  496;RR pressure 7.3 (100%);RR pressure 14.4 (50%);VM1 aftr Trfr.:   35;PC (62139);Background: 5.88 mV,6.34 mV,8.51 mV (Thermo);Init</t>
  </si>
  <si>
    <t>NBS19_17</t>
  </si>
  <si>
    <t xml:space="preserve"> Acid: 70.1 (°C); LeakRate (µBar/Min):  176 ;  0 xtra drops; P no Acid :   40;Total CO2 :  506;# Exp.:  0;CO2 after Exp.:  506;RR skipped 14.1 (50%);VM1 aftr Trfr.:   32;PC (62139);Background: 5.87 mV,6.33 mV,8.51 mV (Thermo);Init int: 1593.00;PressAdjust</t>
  </si>
  <si>
    <t>NBS19_18</t>
  </si>
  <si>
    <t xml:space="preserve"> Acid: 70.1 (°C); LeakRate (µBar/Min):  484 ;  0 xtra drops; P no Acid :   35;Total CO2 :  516;# Exp.:  0;CO2 after Exp.:  513;RR skipped 14.0 (50%);VM1 aftr Trfr.:   35;PC (62139);Background: 5.94 mV,6.39 mV,8.59 mV (Thermo);Init int: 1711.24;PressAdjust</t>
  </si>
  <si>
    <t>NBS19_19</t>
  </si>
  <si>
    <t xml:space="preserve"> Acid: 70.2 (°C); LeakRate (µBar/Min):  186 ;  0 xtra drops; P no Acid :   40;Total CO2 :  508;# Exp.:  0;CO2 after Exp.:  508;RR skipped 13.7 (50%);VM1 aftr Trfr.:   32;PC (62139);Background: 5.90 mV,6.35 mV,8.55 mV (Thermo);Init int: 1635.31;PressAdjust</t>
  </si>
  <si>
    <t>NBS19_2</t>
  </si>
  <si>
    <t xml:space="preserve"> Acid: 70.3 (°C); LeakRate (µBar/Min):  801 ;  0 xtra drops; P no Acid :   37;Total CO2 :  538;# Exp.:  0;CO2 after Exp.:  538;RR skipped 14.2 (50%);VM1 aftr Trfr.:   37;PC (62139);Background: 6.32 mV,6.83 mV,9.14 mV (Thermo);Init int: 1729.98;PressAdjust</t>
  </si>
  <si>
    <t>NBS19_20</t>
  </si>
  <si>
    <t xml:space="preserve"> Acid: 70.2 (°C); LeakRate (µBar/Min):  151 ;  0 xtra drops; P no Acid :   35;Total CO2 :  506;# Exp.:  0;CO2 after Exp.:  506;RR skipped 13.4 (50%);VM1 aftr Trfr.:   35;PC (62139);Background: 5.91 mV,6.37 mV,8.58 mV (Thermo);Init int: 1640.96;PressAdjust</t>
  </si>
  <si>
    <t>NBS19_3</t>
  </si>
  <si>
    <t xml:space="preserve"> Acid: 70.2 (°C); LeakRate (µBar/Min):  190 ;  0 xtra drops; P no Acid :   40;Total CO2 :  494;# Exp.:  0;CO2 after Exp.:  494;RR skipped 13.9 (50%);VM1 aftr Trfr.:   37;PC (62139);Background: 6.30 mV,6.79 mV,9.12 mV (Thermo);Init int: 1404.28;PressAdjust</t>
  </si>
  <si>
    <t>NBS19_4</t>
  </si>
  <si>
    <t xml:space="preserve"> Acid: 70.2 (°C); LeakRate (µBar/Min):  151 ;  0 xtra drops; P no Acid :   37;Total CO2 :  455;# Exp.:  0;CO2 after Exp.:  455;RR skipped 13.8 (50%);VM1 aftr Trfr.:   37;PC (62139);Background: 6.31 mV,6.81 mV,9.13 mV (Thermo);Init int: 1177.56;PressAdjust</t>
  </si>
  <si>
    <t>NBS19_5</t>
  </si>
  <si>
    <t xml:space="preserve"> Acid: 70.2 (°C); LeakRate (µBar/Min):  190 ;  0 xtra drops; P no Acid :   42;Total CO2 :  467;# Exp.:  0;CO2 after Exp.:  467;RR skipped 13.5 (50%);VM1 aftr Trfr.:   40;PC (62139);Background: 6.16 mV,6.64 mV,8.91 mV (Thermo);Init int: 1187.85;PressAdjust</t>
  </si>
  <si>
    <t>NBS19_6</t>
  </si>
  <si>
    <t xml:space="preserve"> Acid: 70.1 (°C); LeakRate (µBar/Min):  103 ;  0 xtra drops; P no Acid :   42;Total CO2 :  477;# Exp.:  0;CO2 after Exp.:  474;RR pressure 7.2 (100%);RR pressure 14.7 (50%);VM1 aftr Trfr.:   42;PC (62138);Background: 6.16 mV,6.64 mV,8.92 mV (Thermo);Init</t>
  </si>
  <si>
    <t>NBS19_7</t>
  </si>
  <si>
    <t xml:space="preserve"> Acid: 70.2 (°C); LeakRate (µBar/Min):  166 ;  0 xtra drops; P no Acid :   42;Total CO2 :  525;# Exp.:  0;CO2 after Exp.:  525;RR skipped 14.3 (50%);VM1 aftr Trfr.:   35;PC (62129);Background: 6.08 mV,6.56 mV,8.78 mV (Thermo);Init int: 1652.44;PressAdjust</t>
  </si>
  <si>
    <t>NBS19_8</t>
  </si>
  <si>
    <t xml:space="preserve"> Acid: 70.2 (°C); LeakRate (µBar/Min):   98 ;  0 xtra drops; P no Acid :   37;Total CO2 :  445;# Exp.:  0;CO2 after Exp.:  445;RR skipped 14.1 (50%);VM1 aftr Trfr.:   37;PC (62139);Background: 6.20 mV,6.70 mV,8.98 mV (Thermo);Init int: 1146.38;PressAdjust</t>
  </si>
  <si>
    <t>NBS19_9</t>
  </si>
  <si>
    <t xml:space="preserve"> Acid: 70.2 (°C); LeakRate (µBar/Min):  166 ;  0 xtra drops; P no Acid :   40;Total CO2 :  472;# Exp.:  0;CO2 after Exp.:  472;RR skipped 14.0 (50%);VM1 aftr Trfr.:   32;PC (62139);Background: 6.07 mV,6.53 mV,8.80 mV (Thermo);Init int: 1321.08;PressAdjust</t>
  </si>
  <si>
    <t>4 grains, 4 drops, 600s</t>
  </si>
  <si>
    <t>4 grains, 3 drops, 600s</t>
  </si>
  <si>
    <t>4d</t>
  </si>
  <si>
    <t>Kiel IV Adriana 4gt</t>
  </si>
  <si>
    <t xml:space="preserve"> Acid: 70.0 (°C); LeakRate (µBar/Min):  112 ;  0 xtra drops; P no Acid :   30;Total CO2 :  377;# Exp.:  0;CO2 after Exp.:  377;RR skipped 13.7 (50%);VM1 aftr Trfr.:   27;PC (62148);Background: 5.37 mV,5.77 mV,7.82 mV (Thermo);Init int:  942.29;PressAdjust</t>
  </si>
  <si>
    <t>720s</t>
  </si>
  <si>
    <t>Kiel IV Adriana reac720</t>
  </si>
  <si>
    <t xml:space="preserve"> Acid: 70.1 (°C); LeakRate (µBar/Min):  161 ;  0 xtra drops; P no Acid :   30;Total CO2 :  425;# Exp.:  0;CO2 after Exp.:  423;RR skipped 13.5 (50%);VM1 aftr Trfr.:   25;PC (62148);Background: 5.25 mV,5.66 mV,7.67 mV (Thermo);Init int: 1201.10;PressAdjust</t>
  </si>
  <si>
    <t xml:space="preserve"> Acid: 70.1 (°C); LeakRate (µBar/Min):  107 ;  0 xtra drops; P no Acid :   27;Total CO2 :  474;# Exp.:  0;CO2 after Exp.:  474;RR skipped 13.5 (50%);VM1 aftr Trfr.:   27;PC (62148);Background: 5.30 mV,5.70 mV,7.75 mV (Thermo);Init int: 1540.05;PressAdjust</t>
  </si>
  <si>
    <t xml:space="preserve"> Acid: 70.1 (°C); LeakRate (µBar/Min):  171 ;  0 xtra drops; P no Acid :   32;Total CO2 :  528;# Exp.:  0;CO2 after Exp.:  528;RR pressure 7.1 (100%);RR pressure 14.4 (50%);VM1 aftr Trfr.:   27;PC (62148);Background: 5.27 mV,5.66 mV,7.71 mV (Thermo);Init</t>
  </si>
  <si>
    <t xml:space="preserve"> Acid: 70.0 (°C); LeakRate (µBar/Min):  137 ;  0 xtra drops; P no Acid :   27;Total CO2 :  484;# Exp.:  0;CO2 after Exp.:  484;RR skipped 13.9 (50%);VM1 aftr Trfr.:   27;PC (62148);Background: 5.45 mV,5.86 mV,7.95 mV (Thermo);Init int: 1622.07;PressAdjust</t>
  </si>
  <si>
    <t xml:space="preserve"> Acid: 70.0 (°C); LeakRate (µBar/Min):  156 ;  0 xtra drops; P no Acid :   30;Total CO2 :  489;# Exp.:  0;CO2 after Exp.:  489;RR skipped 13.7 (50%);VM1 aftr Trfr.:   25;PC (62148);Background: 5.38 mV,5.77 mV,7.84 mV (Thermo);Init int: 1696.31;PressAdjust</t>
  </si>
  <si>
    <t xml:space="preserve"> Acid: 69.9 (°C); LeakRate (µBar/Min):   83 ;  0 xtra drops; P no Acid :   25;Total CO2 :  486;# Exp.:  0;CO2 after Exp.:  486;RR skipped 13.5 (50%);VM1 aftr Trfr.:   27;PC (62148);Background: 5.42 mV,5.83 mV,7.91 mV (Thermo);Init int: 1643.73;PressAdjust</t>
  </si>
  <si>
    <t>840s</t>
  </si>
  <si>
    <t>Kiel IV Adriana reac840</t>
  </si>
  <si>
    <t xml:space="preserve"> Acid: 70.0 (°C); LeakRate (µBar/Min):  190 ;  0 xtra drops; P no Acid :   27;Total CO2 :  474;# Exp.:  0;CO2 after Exp.:  472;RR skipped 13.2 (50%);VM1 aftr Trfr.:   22;PC (62148);Background: 5.37 mV,5.77 mV,7.83 mV (Thermo);Init int: 1614.44;PressAdjust</t>
  </si>
  <si>
    <t xml:space="preserve"> Acid: 70.1 (°C); LeakRate (µBar/Min):  288 ;  0 xtra drops; P no Acid :   25;Total CO2 :  452;# Exp.:  0;CO2 after Exp.:  452;RR skipped 12.9 (50%);VM1 aftr Trfr.:   25;PC (62148);Background: 5.38 mV,5.79 mV,7.86 mV (Thermo);Init int: 1381.64;PressAdjust</t>
  </si>
  <si>
    <t xml:space="preserve"> Acid: 70.1 (°C); LeakRate (µBar/Min):  186 ;  0 xtra drops; P no Acid :   27;Total CO2 :  445;# Exp.:  0;CO2 after Exp.:  445;RR pressure 7.1 (100%);RR pressure 14.2 (50%);VM1 aftr Trfr.:   25;PC (62148);Background: 5.28 mV,5.67 mV,7.70 mV (Thermo);Init</t>
  </si>
  <si>
    <t>3d</t>
  </si>
  <si>
    <t>Acid: 70.2 (°C);LeakRate (µBar/Min):  747 ; 0 xtra drops;P no Acid :   42;P gases:   81;Total CO2 :   40;# Exp.:  0;CO2 after Exp.:   40;RR pressure 7.1 (100%);RR pressure 14.1 (50%);VM1 aftr Trfr.:   37;PC (62148);Background: 5.30 mV,5.71 mV,7.75 mV (The</t>
  </si>
  <si>
    <t xml:space="preserve"> Acid: 70.1 (°C); LeakRate (µBar/Min):  107 ;  0 xtra drops; P no Acid :   25;Total CO2 :  484;# Exp.:  0;CO2 after Exp.:  484;RR skipped 13.9 (50%);VM1 aftr Trfr.:   25;PC (62148);Background: 5.36 mV,5.75 mV,7.81 mV (Thermo);Init int: 1679.36;PressAdjust</t>
  </si>
  <si>
    <t>NBS19_21</t>
  </si>
  <si>
    <t xml:space="preserve"> Acid: 70.1 (°C); LeakRate (µBar/Min):  186 ;  0 xtra drops; P no Acid :   27;Total CO2 :  496;# Exp.:  0;CO2 after Exp.:  496;RR skipped 13.6 (50%);VM1 aftr Trfr.:   25;PC (62148);Background: 5.34 mV,5.73 mV,7.78 mV (Thermo);Init int: 1808.79;PressAdjust</t>
  </si>
  <si>
    <t>NBS19_22</t>
  </si>
  <si>
    <t xml:space="preserve"> Acid: 70.0 (°C); LeakRate (µBar/Min):  132 ;  0 xtra drops; P no Acid :   27;Total CO2 :  464;# Exp.:  0;CO2 after Exp.:  464;RR skipped 13.3 (50%);VM1 aftr Trfr.:   25;PC (62139);Background: 5.39 mV,5.80 mV,7.87 mV (Thermo);Init int: 1454.23;PressAdjust</t>
  </si>
  <si>
    <t xml:space="preserve"> Acid: 70.1 (°C); LeakRate (µBar/Min):  103 ;  0 xtra drops; P no Acid :   37;Total CO2 :  462;# Exp.:  0;CO2 after Exp.:  462;RR skipped 14.1 (50%);VM1 aftr Trfr.:   35;PC (62158);Background: 5.37 mV,5.78 mV,7.84 mV (Thermo);Init int: 1355.25;PressAdjust</t>
  </si>
  <si>
    <t xml:space="preserve"> Acid: 70.0 (°C); LeakRate (µBar/Min):  181 ;  0 xtra drops; P no Acid :   37;Total CO2 :  486;# Exp.:  0;CO2 after Exp.:  486;RR skipped 13.9 (50%);VM1 aftr Trfr.:   32;PC (62158);Background: 5.36 mV,5.76 mV,7.83 mV (Thermo);Init int: 1512.95;PressAdjust</t>
  </si>
  <si>
    <t xml:space="preserve"> Acid: 70.1 (°C); LeakRate (µBar/Min):  122 ;  0 xtra drops; P no Acid :   32;Total CO2 :  508;# Exp.:  0;CO2 after Exp.:  508;RR skipped 13.6 (50%);VM1 aftr Trfr.:   32;PC (62158);Background: 5.43 mV,5.85 mV,7.92 mV (Thermo);Init int: 1748.04;PressAdjust</t>
  </si>
  <si>
    <t xml:space="preserve"> Acid: 70.1 (°C); LeakRate (µBar/Min):  181 ;  0 xtra drops; P no Acid :   40;Total CO2 :  401;# Exp.:  0;CO2 after Exp.:  401;RR skipped 13.4 (50%);VM1 aftr Trfr.:   32;PC (62148);Background: 5.43 mV,5.85 mV,7.91 mV (Thermo);Init int:  967.41;PressAdjust</t>
  </si>
  <si>
    <t xml:space="preserve"> Acid: 70.1 (°C); LeakRate (µBar/Min):  122 ;  0 xtra drops; P no Acid :   37;Total CO2 :  484;# Exp.:  0;CO2 after Exp.:  484;RR skipped 13.3 (50%);VM1 aftr Trfr.:   30;PC (62158);Background: 5.38 mV,5.79 mV,7.86 mV (Thermo);Init int: 1495.61;PressAdjust</t>
  </si>
  <si>
    <t xml:space="preserve"> Acid: 70.1 (°C); LeakRate (µBar/Min):  161 ;  0 xtra drops; P no Acid :   35;Total CO2 :  438;# Exp.:  0;CO2 after Exp.:  438;RR pressure 7.1 (100%);RR pressure 14.4 (50%);VM1 aftr Trfr.:   27;PC (62158);Background: 5.44 mV,5.85 mV,7.89 mV (Thermo);Init</t>
  </si>
  <si>
    <t xml:space="preserve"> Acid: 70.1 (°C); LeakRate (µBar/Min):   93 ;  0 xtra drops; P no Acid :   27;Total CO2 :  416;# Exp.:  0;CO2 after Exp.:  416;RR skipped 14.1 (50%);VM1 aftr Trfr.:   30;PC (62158);Background: 5.43 mV,5.84 mV,7.94 mV (Thermo);Init int: 1096.67;PressAdjust</t>
  </si>
  <si>
    <t xml:space="preserve"> Acid: 70.1 (°C); LeakRate (µBar/Min):  156 ;  0 xtra drops; P no Acid :   32;Total CO2 :  462;# Exp.:  0;CO2 after Exp.:  462;RR skipped 13.9 (50%);VM1 aftr Trfr.:   27;PC (62148);Background: 5.32 mV,5.72 mV,7.77 mV (Thermo);Init int: 1386.36;PressAdjust</t>
  </si>
  <si>
    <t>2 grains, 3 drops. 600s</t>
  </si>
  <si>
    <t>3 grains, 3 drops, 600s</t>
  </si>
  <si>
    <t>3 grains, 4 drops, 600s</t>
  </si>
  <si>
    <t>3 grains, 3 drops, 720s</t>
  </si>
  <si>
    <t>3 grains, 3 drops, 840s</t>
  </si>
  <si>
    <t>average</t>
  </si>
  <si>
    <t>sd</t>
  </si>
  <si>
    <t>leak rate</t>
  </si>
  <si>
    <t>Total CO2</t>
  </si>
  <si>
    <t>RR P 100%</t>
  </si>
  <si>
    <t>RR P 50%</t>
  </si>
  <si>
    <t>Init int</t>
  </si>
  <si>
    <t>Left</t>
  </si>
  <si>
    <t>Right (master, reference)</t>
  </si>
  <si>
    <t>NBS19</t>
  </si>
  <si>
    <t xml:space="preserve"> Acid: 70.1 (°C); LeakRate (µBar/Min):  381 ;  0 xtra drops; P no Acid :   40;Total CO2 :  311;# Exp.:  0;CO2 after Exp.:  311;RR pressure 7.3 (100%);RR pressure 14.7 (50%);VM1 aftr Trfr.:   32;PC (62158);Background: 9.54 mV,10.42 mV,13.72 mV (Thermo);Ini</t>
  </si>
  <si>
    <t>Acid: 70.0 (°C);LeakRate (µBar/Min):  547 ; 0 xtra drops;P no Acid :   35;P gases:   52;Total CO2 :   30;# Exp.:  0;CO2 after Exp.:   30;RR pressure 7.4 (100%);RR pressure 14.6 (50%);VM1 aftr Trfr.:   32;PC (62148);Background: 9.46 mV,10.30 mV,13.64 mV (T</t>
  </si>
  <si>
    <t>Acid: 70.1 (°C);LeakRate (µBar/Min):  283 ; 0 xtra drops;P no Acid :   30;P gases:   49;Total CO2 :  232;# Exp.:  0;CO2 after Exp.:  232;RR skipped 14.2 (50%);VM1 aftr Trfr.:   30;PC (62148);Background: 8.67 mV,9.45 mV,12.47 mV (Thermo);Init int:  407.78;</t>
  </si>
  <si>
    <t xml:space="preserve"> Acid: 70.0 (°C); LeakRate (µBar/Min):  254 ;  0 xtra drops; P no Acid :   30;Total CO2 :  262;# Exp.:  0;CO2 after Exp.:  262;RR skipped 14.0 (50%);VM1 aftr Trfr.:  245;PC (62148);Background: 8.28 mV,9.01 mV,11.86 mV (Thermo);Init int:   27.81;</t>
  </si>
  <si>
    <t xml:space="preserve"> Acid: 69.9 (°C); LeakRate (µBar/Min):  132 ;  0 xtra drops; P no Acid :   32;Total CO2 :  250;# Exp.:  0;CO2 after Exp.:  250;RR skipped 13.5 (50%);VM1 aftr Trfr.:   32;PC (62148);Background: 8.17 mV,8.88 mV,11.70 mV (Thermo);Init int:  434.76;PressAdjus</t>
  </si>
  <si>
    <t xml:space="preserve"> Acid: 70.1 (°C); LeakRate (µBar/Min):  225 ;  0 xtra drops; P no Acid :   37;Total CO2 :  418;# Exp.:  0;CO2 after Exp.:  418;RR skipped 13.8 (50%);VM1 aftr Trfr.:   32;PC (62148);Background: 7.40 mV,8.00 mV,10.65 mV (Thermo);Init int: 1061.28;PressAdjus</t>
  </si>
  <si>
    <t xml:space="preserve"> Acid: 70.1 (°C); LeakRate (µBar/Min):  166 ;  0 xtra drops; P no Acid :   30;Total CO2 :  367;# Exp.:  0;CO2 after Exp.:  367;RR skipped 14.1 (50%);VM1 aftr Trfr.:   32;PC (62148);Background: 7.00 mV,7.55 mV,10.03 mV (Thermo);Init int:  887.63;PressAdjus</t>
  </si>
  <si>
    <t xml:space="preserve"> Acid: 70.0 (°C); LeakRate (µBar/Min):  181 ;  0 xtra drops; P no Acid :   32;Total CO2 :  311;# Exp.:  0;CO2 after Exp.:  311;RR skipped 13.9 (50%);VM1 aftr Trfr.:   27;PC (62148);Background: 6.75 mV,7.30 mV,9.73 mV (Thermo);Init int:  646.00;PressAdjust</t>
  </si>
  <si>
    <t xml:space="preserve"> Acid: 70.1 (°C); LeakRate (µBar/Min):   88 ;  0 xtra drops; P no Acid :   27;Total CO2 :  416;# Exp.:  0;CO2 after Exp.:  418;RR skipped 13.7 (50%);VM1 aftr Trfr.:   25;PC (62148);Background: 6.74 mV,7.28 mV,9.68 mV (Thermo);Init int: 1149.30;PressAdjust</t>
  </si>
  <si>
    <t xml:space="preserve"> Acid: 70.1 (°C); LeakRate (µBar/Min):  171 ;  0 xtra drops; P no Acid :   27;Total CO2 :  440;# Exp.:  0;CO2 after Exp.:  440;RR pressure 7.3 (100%);RR pressure 14.7 (50%);VM1 aftr Trfr.:   44;PC (62148);Background: 6.65 mV,7.18 mV,9.54 mV (Thermo);Init</t>
  </si>
  <si>
    <t xml:space="preserve"> Acid: 70.2 (°C); LeakRate (µBar/Min):   88 ;  0 xtra drops; P no Acid :   32;Total CO2 :  469;# Exp.:  0;CO2 after Exp.:  469;RR skipped 14.5 (50%);VM1 aftr Trfr.:   30;PC (62148);Background: 6.59 mV,7.11 mV,9.43 mV (Thermo);Init int: 1467.52;PressAdjust</t>
  </si>
  <si>
    <t xml:space="preserve"> Acid: 70.2 (°C); LeakRate (µBar/Min):  181 ;  0 xtra drops; P no Acid :   32;Total CO2 :  489;# Exp.:  0;CO2 after Exp.:  489;RR skipped 14.3 (50%);VM1 aftr Trfr.:   32;PC (62148);Background: 6.56 mV,7.08 mV,9.42 mV (Thermo);Init int: 1526.70;PressAdjust</t>
  </si>
  <si>
    <t xml:space="preserve"> Acid: 70.1 (°C); LeakRate (µBar/Min):   98 ;  0 xtra drops; P no Acid :   32;Total CO2 :  489;# Exp.:  0;CO2 after Exp.:  489;RR skipped 14.1 (50%);VM1 aftr Trfr.:   30;PC (62148);Background: 6.50 mV,7.02 mV,9.36 mV (Thermo);Init int: 1519.08;PressAdjust</t>
  </si>
  <si>
    <t xml:space="preserve"> Acid: 70.1 (°C); LeakRate (µBar/Min):  166 ;  0 xtra drops; P no Acid :   30;Total CO2 :  469;# Exp.:  0;CO2 after Exp.:  469;RR skipped 13.8 (50%);VM1 aftr Trfr.:   30;PC (62148);Background: 6.53 mV,7.04 mV,9.38 mV (Thermo);Init int: 1444.34;PressAdjust</t>
  </si>
  <si>
    <t xml:space="preserve"> Acid: 70.1 (°C); LeakRate (µBar/Min):   98 ;  0 xtra drops; P no Acid :   32;Total CO2 :  413;# Exp.:  0;CO2 after Exp.:  416;RR pressure 7.3 (100%);RR pressure 14.6 (50%);VM1 aftr Trfr.:   27;PC (62148);Background: 6.41 mV,6.92 mV,9.26 mV (Thermo);Init</t>
  </si>
  <si>
    <t>1 grains, 3 drops, 600s</t>
  </si>
  <si>
    <t>2 grains, 3 drops, 600s</t>
  </si>
  <si>
    <t xml:space="preserve">m boat = </t>
  </si>
  <si>
    <t>mg</t>
  </si>
  <si>
    <t xml:space="preserve">m 10g NSB19 = </t>
  </si>
  <si>
    <t>mboat+10g NBS19 =</t>
  </si>
  <si>
    <t xml:space="preserve">m 1g NBS19 = </t>
  </si>
  <si>
    <t>ug</t>
  </si>
  <si>
    <t>massa NBS19 (média) (ug)</t>
  </si>
  <si>
    <t>NBS 19 values</t>
  </si>
  <si>
    <t>1 NBS19 grain iguals ca. 8ug</t>
  </si>
  <si>
    <t>1 NBS19 grain iguals ca. 9.5ug</t>
  </si>
  <si>
    <t>Comment</t>
  </si>
  <si>
    <t>Pressadjust</t>
  </si>
  <si>
    <t>Date</t>
  </si>
  <si>
    <t>Time</t>
  </si>
  <si>
    <t>FileHeader: Filename</t>
  </si>
  <si>
    <t>Weight (mg)</t>
  </si>
  <si>
    <t>4g</t>
  </si>
  <si>
    <t>4d_720s_90s</t>
  </si>
  <si>
    <t>6g</t>
  </si>
  <si>
    <t>Kiel IV Adriana trans90</t>
  </si>
  <si>
    <t>Acid: 71.1 (°C);LeakRate (µBar/Min):  391 ; 0 xtra drops;P no Acid :   22;P gases:   66;Total CO2 :  621;# Exp.:  0;CO2 after Exp.:  621;RR pressure 7.1 (100%);RR pressure 14.2 (50%);VM1 aftr Trfr.:   32;PC (62148);Background: 5.45 mV,5.89 mV,7.96 mV (The</t>
  </si>
  <si>
    <t xml:space="preserve"> Acid: 71.1 (°C); LeakRate (µBar/Min):  317 ;  0 xtra drops; P no Acid :   32;Total CO2 :  665;# Exp.:  0;CO2 after Exp.:  665;RR skipped 13.4 (50%);VM1 aftr Trfr.:   32;PC (62158);Background: 5.83 mV,6.26 mV,8.50 mV (Thermo);Init int: 3878.17;PressAdjust</t>
  </si>
  <si>
    <t xml:space="preserve"> Acid: 71.1 (°C); LeakRate (µBar/Min):  205 ;  0 xtra drops; P no Acid :   35;Total CO2 :  648;# Exp.:  0;CO2 after Exp.:  648;RR skipped 13.0 (50%);VM1 aftr Trfr.:   37;PC (62148);Background: 5.89 mV,6.32 mV,8.56 mV (Thermo);Init int: 3608.23;PressAdjust</t>
  </si>
  <si>
    <t xml:space="preserve"> Acid: 71.1 (°C); LeakRate (µBar/Min):  151 ;  0 xtra drops; P no Acid :   35;Total CO2 :  631;# Exp.:  0;CO2 after Exp.:  631;RR skipped 12.6 (50%);VM1 aftr Trfr.:   35;PC (62158);Background: 5.88 mV,6.32 mV,8.56 mV (Thermo);Init int: 3130.33;PressAdjust</t>
  </si>
  <si>
    <t xml:space="preserve"> Acid: 71.1 (°C); LeakRate (µBar/Min):  200 ;  0 xtra drops; P no Acid :   37;Total CO2 :  621;# Exp.:  0;CO2 after Exp.:  621;RR skipped 12.3 (50%);VM1 aftr Trfr.:   40;PC (62148);Background: 5.77 mV,6.20 mV,8.40 mV (Thermo);Init int: 2954.22;PressAdjust</t>
  </si>
  <si>
    <t xml:space="preserve"> Acid: 71.0 (°C); LeakRate (µBar/Min):  366 ;  0 xtra drops; P no Acid :   42;Total CO2 :  704;# Exp.:  0;CO2 after Exp.:  704;RR skipped 11.8 (50%);VM1 aftr Trfr.:   35;PC (62148);Background: 5.73 mV,6.18 mV,8.33 mV (Thermo);Init int: 4325.59;PressAdjust</t>
  </si>
  <si>
    <t xml:space="preserve"> Acid: 71.2 (°C); LeakRate (µBar/Min):  190 ;  0 xtra drops; P no Acid :   40;Total CO2 :  674;# Exp.:  0;CO2 after Exp.:  677;RR skipped 11.3 (50%);VM1 aftr Trfr.:   37;PC (62148);Background: 5.83 mV,6.27 mV,8.53 mV (Thermo);Init int: 4032.78;PressAdjust</t>
  </si>
  <si>
    <t xml:space="preserve"> Acid: 71.4 (°C); LeakRate (µBar/Min):  122 ;  0 xtra drops; P no Acid :   40;Total CO2 :  635;# Exp.:  0;CO2 after Exp.:  635;RR skipped 10.8 (50%);VM1 aftr Trfr.:   35;PC (62158);Background: 5.83 mV,6.27 mV,8.50 mV (Thermo);Init int: 3096.10;PressAdjust</t>
  </si>
  <si>
    <t>6 grains, 4 drops, 720s (RT), 90s (TT)</t>
  </si>
  <si>
    <t>Acid: 71.2 (°C);LeakRate (µBar/Min):   98 ; 0 xtra drops;P no Acid :   44;P gases:   81;Total CO2 :  689;# Exp.:  0;CO2 after Exp.:  689;RR pressure 7.1 (100%);RR pressure 14.2 (50%);VM1 aftr Trfr.:   32;PC (62158);Background: 5.20 mV,5.58 mV,7.61 mV (The</t>
  </si>
  <si>
    <t>4d_720s_180s</t>
  </si>
  <si>
    <t>Kiel IV Adriana trans180</t>
  </si>
  <si>
    <t xml:space="preserve"> Acid: 71.2 (°C); LeakRate (µBar/Min):  234 ;  0 xtra drops; P no Acid :   35;Total CO2 :  604;# Exp.:  0;CO2 after Exp.:  604;RR skipped 13.5 (50%);VM1 aftr Trfr.:   42;PC (62158);Background: 5.69 mV,6.10 mV,8.34 mV (Thermo);Init int: 2671.81;PressAdjust</t>
  </si>
  <si>
    <t xml:space="preserve"> Acid: 71.0 (°C); LeakRate (µBar/Min):  215 ;  0 xtra drops; P no Acid :   44;Total CO2 :  640;# Exp.:  0;CO2 after Exp.:  643;RR skipped 13.2 (50%);VM1 aftr Trfr.:   44;PC (62158);Background: 5.60 mV,6.02 mV,8.20 mV (Thermo);Init int: 2761.59;PressAdjust</t>
  </si>
  <si>
    <t>Acid: 70.3 (°C);LeakRate (µBar/Min):  449 ; 0 xtra drops;P no Acid :   40;P gases:   71;Total CO2 :  655;# Exp.:  0;CO2 after Exp.:  655;RR skipped 12.5 (50%);VM1 aftr Trfr.:   30;PC (62158);Background: 5.57 mV,5.97 mV,8.14 mV (Thermo);Init int: 3661.93;P</t>
  </si>
  <si>
    <t xml:space="preserve"> Acid: 70.2 (°C); LeakRate (µBar/Min):  171 ;  0 xtra drops; P no Acid :   30;Total CO2 :  645;# Exp.:  0;CO2 after Exp.:  645;RR skipped 12.1 (50%);VM1 aftr Trfr.:   40;PC (62148);Background: 5.63 mV,6.02 mV,8.20 mV (Thermo);Init int: 3628.95;PressAdjust</t>
  </si>
  <si>
    <t xml:space="preserve"> Acid: 70.2 (°C); LeakRate (µBar/Min):  181 ;  0 xtra drops; P no Acid :   44;Total CO2 :  667;# Exp.:  0;CO2 after Exp.:  667;RR skipped 11.6 (50%);VM1 aftr Trfr.:   32;PC (62158);Background: 5.67 mV,6.08 mV,8.28 mV (Thermo);Init int: 3553.97;PressAdjust</t>
  </si>
  <si>
    <t xml:space="preserve"> Acid: 70.3 (°C); LeakRate (µBar/Min):  410 ;  0 xtra drops; P no Acid :   32;Total CO2 :  413;# Exp.:  0;CO2 after Exp.:  413;RR pressure 7.1 (100%);RR pressure 14.2 (50%);VM1 aftr Trfr.:   37;PC (62148);Background: 5.57 mV,5.98 mV,8.13 mV (Thermo);Init</t>
  </si>
  <si>
    <t>6 grains, 4 drops, 720s (RT), 120s (TT)</t>
  </si>
  <si>
    <t>NBS18_10</t>
  </si>
  <si>
    <t>2g</t>
  </si>
  <si>
    <t>Kiel IV</t>
  </si>
  <si>
    <t>05/15/15</t>
  </si>
  <si>
    <t>12:13:27</t>
  </si>
  <si>
    <t>NBS18_10_Std__-0003.did</t>
  </si>
  <si>
    <t>Acid: 70.1 (°C);LeakRate (µBar/Min):  835 ; 0 xtra drops;P no Acid :   37;P gases:   76;Total CO2 :  721;# Exp.:  0;CO2 after Exp.:  721;RR skipped 5.9 (50%);VM1 aftr Trfr.:   35;PC (62157);Background: 5.00 mV,5.36 mV,7.34 mV (Thermo);Init int: 4844.03;Pr</t>
  </si>
  <si>
    <t>NBS18_13</t>
  </si>
  <si>
    <t>x</t>
  </si>
  <si>
    <t>05/14/15</t>
  </si>
  <si>
    <t>14:37:49</t>
  </si>
  <si>
    <t>NBS18_13_Std__x-0003.did</t>
  </si>
  <si>
    <t>Acid: 70.5 (°C);LeakRate (µBar/Min):  283 ; 0 xtra drops;P no Acid :   35;P gases:   64;Total CO2 :  547;# Exp.:  0;CO2 after Exp.:  547;RR skipped 11.7 (50%);VM1 aftr Trfr.:   81;PC (62147);Background: 4.94 mV,5.28 mV,7.25 mV (Thermo);Init int: 4661.08;P</t>
  </si>
  <si>
    <t>Acid: 70.1 (°C);LeakRate (µBar/Min):  444 ; 0 xtra drops;P no Acid :   35;P gases:   66;Total CO2 :  543;# Exp.:  0;CO2 after Exp.:  543;RR skipped 7.0 (50%);VM1 aftr Trfr.:   37;PC (62147);Background: 4.59 mV,4.91 mV,6.72 mV (Thermo);Init int: 1599.70;Pr</t>
  </si>
  <si>
    <t>Acid: 70.2 (°C);LeakRate (µBar/Min):  611 ; 0 xtra drops;P no Acid :   49;P gases:   83;Total CO2 :  670;# Exp.:  0;CO2 after Exp.:  670;RR skipped 13.7 (50%);VM1 aftr Trfr.:   40;PC (62157);Background: 4.91 mV,5.26 mV,7.23 mV (Thermo);Init int: 3208.72;P</t>
  </si>
  <si>
    <t>Acid: 70.3 (°C);LeakRate (µBar/Min):   63 ; 0 xtra drops;P no Acid :   30;P gases:   52;Total CO2 :  589;# Exp.:  0;CO2 after Exp.:  589;RR skipped 12.6 (50%);VM1 aftr Trfr.:   40;PC (62157);Background: 5.55 mV,5.93 mV,8.14 mV (Thermo);Init int: 2731.22;P</t>
  </si>
  <si>
    <t>Acid: 70.3 (°C);LeakRate (µBar/Min):  904 ; 0 xtra drops;P no Acid :   35;P gases:   54;Total CO2 :   27;# Exp.:  0;CO2 after Exp.:   25;RR skipped 11.7 (50%);VM1 aftr Trfr.:   30;PC (62147);Background: 5.37 mV,5.77 mV,7.85 mV (Thermo);Init int:    8.63;P</t>
  </si>
  <si>
    <t>6 grains, 3 drops, 600s</t>
  </si>
  <si>
    <t>(Thermo tech)</t>
  </si>
  <si>
    <t>Acid: 70.1 (°C);LeakRate (µBar/Min):  200 ; 0 xtra drops;P no Acid :   25;P gases:   37;Total CO2 :  335;# Exp.:  0;CO2 after Exp.:  334;RR pressure 7.0 (100%);RR pressure 14.2 (50%);VM1 aftr Trfr.:   25;PC (62117);Background: 27.02 mV,29.35 mV,39.81 mV (</t>
  </si>
  <si>
    <t>Acid: 70.0 (°C);LeakRate (µBar/Min):  595 ; 0 xtra drops;P no Acid :   20;P gases:   55;Total CO2 :  845;# Exp.:  0;CO2 after Exp.:  845;RR skipped 13.6 (50%);VM1 aftr Trfr.:   27;PC (62107);Background: 21.91 mV,23.69 mV,32.83 mV (Thermo);Init int: 6130.6</t>
  </si>
  <si>
    <t xml:space="preserve"> Acid: 70.0 (°C); LeakRate (µBar/Min):  191 ;  0 xtra drops; P no Acid :   27;Total CO2 :  884;# Exp.:  0;CO2 after Exp.:  884;RR skipped 13.4 (50%);VM1 aftr Trfr.:   23;PC (62107);Background: 20.78 mV,22.41 mV,31.27 mV (Thermo);Init int: 6497.78;PressAdj</t>
  </si>
  <si>
    <t>1g</t>
  </si>
  <si>
    <t xml:space="preserve"> Acid: 70.0 (°C); LeakRate (µBar/Min):  389 ;  0 xtra drops; P no Acid :   30;Total CO2 :  352;# Exp.:  0;CO2 after Exp.:  352;RR skipped 12.6 (50%);VM1 aftr Trfr.:   23;PC (62117);Background: 13.67 mV,14.64 mV,21.47 mV (Thermo);Init int:  911.06;PressAdj</t>
  </si>
  <si>
    <t xml:space="preserve"> Acid: 70.0 (°C); LeakRate (µBar/Min):  467 ;  0 xtra drops; P no Acid :   20;Total CO2 :  420;# Exp.:  0;CO2 after Exp.:  420;RR pressure 7.2 (100%);RR pressure 14.5 (50%);VM1 aftr Trfr.:   27;PC (62107);Background: 13.36 mV,14.32 mV,21.09 mV (Thermo);In</t>
  </si>
  <si>
    <t>Acid: 70.1 (°C);LeakRate (µBar/Min):  220 ; 0 xtra drops;P no Acid :   34;P gases:   80;Total CO2 :  820;# Exp.:  0;CO2 after Exp.:  816;RR pressure 7.1 (100%);RR pressure 14.4 (50%);VM1 aftr Trfr.:   30;PC (62117);Background: 16.84 mV,18.09 mV,25.89 mV (</t>
  </si>
  <si>
    <t xml:space="preserve"> Acid: 70.0 (°C); LeakRate (µBar/Min):  120 ;  0 xtra drops; P no Acid :   27;Total CO2 :  714;# Exp.:  0;CO2 after Exp.:  714;RR skipped 13.5 (50%);VM1 aftr Trfr.:   27;PC (62107);Background: 16.93 mV,18.20 mV,26.03 mV (Thermo);Init int: 3563.82;PressAdj</t>
  </si>
  <si>
    <t xml:space="preserve"> Acid: 70.1 (°C); LeakRate (µBar/Min):  297 ;  0 xtra drops; P no Acid :   23;Total CO2 :  813;# Exp.:  0;CO2 after Exp.:  813;RR skipped 13.2 (50%);VM1 aftr Trfr.:   41;PC (62107);Background: 16.27 mV,17.46 mV,25.10 mV (Thermo);Init int: 4926.19;PressAdj</t>
  </si>
  <si>
    <t xml:space="preserve"> Acid: 70.0 (°C); LeakRate (µBar/Min):  135 ;  0 xtra drops; P no Acid :   34;Total CO2 :  866;# Exp.:  0;CO2 after Exp.:  866;RR skipped 12.6 (50%);VM1 aftr Trfr.:   30;PC (62107);Background: 16.10 mV,17.27 mV,24.88 mV (Thermo);Init int: 5536.04;PressAdj</t>
  </si>
  <si>
    <t xml:space="preserve"> Acid: 70.0 (°C); LeakRate (µBar/Min):  276 ;  0 xtra drops; P no Acid :   30;Total CO2 :  823;# Exp.:  0;CO2 after Exp.:  823;RR skipped 12.3 (50%);VM1 aftr Trfr.:   27;PC (62117);Background: 15.85 mV,17.00 mV,24.51 mV (Thermo);Init int: 5234.76;PressAdj</t>
  </si>
  <si>
    <t xml:space="preserve"> Acid: 70.1 (°C); LeakRate (µBar/Min):  333 ;  0 xtra drops; P no Acid :   20;Total CO2 :  791;# Exp.:  0;CO2 after Exp.:  791;RR pressure 7.1 (100%);RR pressure 14.5 (50%);VM1 aftr Trfr.:   34;PC (62117);Background: 15.21 mV,16.32 mV,23.56 mV (Thermo);In</t>
  </si>
  <si>
    <t xml:space="preserve"> Acid: 70.1 (°C); LeakRate (µBar/Min):  283 ;  0 xtra drops; P no Acid :   30;Total CO2 :  848;# Exp.:  0;CO2 after Exp.:  848;RR skipped 13.5 (50%);VM1 aftr Trfr.:   30;PC (62107);Background: 15.07 mV,16.16 mV,23.46 mV (Thermo);Init int: 4946.64;PressAdj</t>
  </si>
  <si>
    <t xml:space="preserve"> Acid: 70.1 (°C); LeakRate (µBar/Min):  156 ;  0 xtra drops; P no Acid :   27;Total CO2 :  859;# Exp.:  0;CO2 after Exp.:  859;RR skipped 13.1 (50%);VM1 aftr Trfr.:   30;PC (62107);Background: 14.78 mV,15.84 mV,23.06 mV (Thermo);Init int: 5676.14;PressAdj</t>
  </si>
  <si>
    <t xml:space="preserve"> Acid: 70.1 (°C); LeakRate (µBar/Min):  283 ;  0 xtra drops; P no Acid :   27;Total CO2 :  416;# Exp.:  0;CO2 after Exp.:  416;RR skipped 12.5 (50%);VM1 aftr Trfr.:   34;PC (62117);Background: 14.52 mV,15.57 mV,22.68 mV (Thermo);Init int: 1154.91;PressAdj</t>
  </si>
  <si>
    <t>Expected values according to Thermo manual</t>
  </si>
  <si>
    <t>P</t>
  </si>
  <si>
    <t>signal (mV)</t>
  </si>
  <si>
    <t>Mass (ug)</t>
  </si>
  <si>
    <t xml:space="preserve"> Acid: 70.0 (°C); LeakRate (µBar/Min):  142 ;  0 xtra drops; P no Acid :   37;Total CO2 :  349;# Exp.:  0;CO2 after Exp.:  349;RR skipped 14.1 (50%);VM1 aftr Trfr.:   23;PC (62117);Background: 13.11 mV,14.06 mV,20.73 mV (Thermo);Init int:  897.77;PressAdj</t>
  </si>
  <si>
    <t xml:space="preserve"> Acid: 70.0 (°C); LeakRate (µBar/Min):  255 ;  0 xtra drops; P no Acid :   23;Total CO2 :  604;# Exp.:  0;CO2 after Exp.:  604;RR skipped 14.1 (50%);VM1 aftr Trfr.:   30;PC (62107);Background: 12.85 mV,13.77 mV,20.36 mV (Thermo);Init int: 2446.64;PressAdj</t>
  </si>
  <si>
    <t xml:space="preserve"> Acid: 70.1 (°C); LeakRate (µBar/Min):  135 ;  0 xtra drops; P no Acid :   27;Total CO2 :  565;# Exp.:  0;CO2 after Exp.:  565;RR skipped 13.7 (50%);VM1 aftr Trfr.:   37;PC (62107);Background: 12.75 mV,13.65 mV,20.20 mV (Thermo);Init int: 1986.97;PressAdj</t>
  </si>
  <si>
    <t xml:space="preserve"> Acid: 70.1 (°C); LeakRate (µBar/Min):  276 ;  0 xtra drops; P no Acid :   37;Total CO2 :  533;# Exp.:  0;CO2 after Exp.:  533;RR skipped 13.5 (50%);VM1 aftr Trfr.:   34;PC (62117);Background: 12.44 mV,13.30 mV,19.79 mV (Thermo);Init int: 1686.14;PressAdj</t>
  </si>
  <si>
    <t xml:space="preserve"> Acid: 70.1 (°C); LeakRate (µBar/Min):  333 ;  0 xtra drops; P no Acid :   30;Total CO2 :  515;# Exp.:  0;CO2 after Exp.:  515;RR skipped 13.2 (50%);VM1 aftr Trfr.:   34;PC (62117);Background: 12.25 mV,13.11 mV,19.54 mV (Thermo);Init int: 1728.09;PressAdj</t>
  </si>
  <si>
    <t>3g</t>
  </si>
  <si>
    <t xml:space="preserve"> Acid: 70.1 (°C); LeakRate (µBar/Min):  290 ;  0 xtra drops; P no Acid :   30;Total CO2 :  625;# Exp.:  0;CO2 after Exp.:  625;RR pressure 7.1 (100%);RR pressure 14.5 (50%);VM1 aftr Trfr.:   41;PC (62107);Background: 12.04 mV,12.87 mV,19.25 mV (Thermo);In</t>
  </si>
  <si>
    <t xml:space="preserve"> Acid: 70.1 (°C); LeakRate (µBar/Min):  212 ;  0 xtra drops; P no Acid :   87;Total CO2 :  742;# Exp.:  0;CO2 after Exp.:  742;RR skipped 14.0 (50%);VM1 aftr Trfr.:   34;PC (62117);Background: 12.03 mV,12.88 mV,19.21 mV (Thermo);Init int: 3403.72;PressAdj</t>
  </si>
  <si>
    <t xml:space="preserve"> Acid: 70.0 (°C); LeakRate (µBar/Min):  276 ;  0 xtra drops; P no Acid :   34;Total CO2 :  717;# Exp.:  0;CO2 after Exp.:  717;RR skipped 13.4 (50%);VM1 aftr Trfr.:   34;PC (62107);Background: 12.13 mV,13.00 mV,19.41 mV (Thermo);Init int: 3372.83;PressAdj</t>
  </si>
  <si>
    <t xml:space="preserve"> Acid: 70.2 (°C); LeakRate (µBar/Min):  149 ;  0 xtra drops; P no Acid :   27;Total CO2 :  643;# Exp.:  0;CO2 after Exp.:  643;RR skipped 13.1 (50%);VM1 aftr Trfr.:   37;PC (62107);Background: 12.02 mV,12.88 mV,19.25 mV (Thermo);Init int: 2599.92;PressAdj</t>
  </si>
  <si>
    <t>5g</t>
  </si>
  <si>
    <t xml:space="preserve"> Acid: 70.1 (°C); LeakRate (µBar/Min):  283 ;  0 xtra drops; P no Acid :   37;Total CO2 :  830;# Exp.:  0;CO2 after Exp.:  830;RR skipped 13.0 (50%);VM1 aftr Trfr.:   34;PC (62117);Background: 11.79 mV,12.61 mV,18.93 mV (Thermo);Init int: 4586.25;PressAdj</t>
  </si>
  <si>
    <t xml:space="preserve"> Acid: 70.1 (°C); LeakRate (µBar/Min):  142 ;  0 xtra drops; P no Acid :   30;Total CO2 :  884;# Exp.:  0;CO2 after Exp.:  884;RR pressure 7.0 (100%);RR pressure 14.3 (50%);VM1 aftr Trfr.:   34;PC (62107);Background: 11.89 mV,12.72 mV,19.07 mV (Thermo);In</t>
  </si>
  <si>
    <t>NBS19_23</t>
  </si>
  <si>
    <t xml:space="preserve"> Acid: 70.2 (°C); LeakRate (µBar/Min):  149 ;  0 xtra drops; P no Acid :   27;Total CO2 :  795;# Exp.:  0;CO2 after Exp.:  795;RR skipped 13.4 (50%);VM1 aftr Trfr.:   37;PC (62107);Background: 12.17 mV,13.03 mV,19.53 mV (Thermo);Init int: 4338.84;PressAdj</t>
  </si>
  <si>
    <t>NBS19_24</t>
  </si>
  <si>
    <t xml:space="preserve"> Acid: 70.1 (°C); LeakRate (µBar/Min):  453 ;  0 xtra drops; P no Acid :   41;Total CO2 :   48;# Exp.:  0;CO2 after Exp.:   48;RR skipped 12.9 (50%);VM1 aftr Trfr.:   30;PC (62117);Background: 12.00 mV,12.84 mV,19.26 mV (Thermo);Init int:   38.99;PressAdj</t>
  </si>
  <si>
    <t xml:space="preserve"> Acid: 70.1 (°C); LeakRate (µBar/Min):  156 ;  0 xtra drops; P no Acid :   30;Total CO2 :  887;# Exp.:  0;CO2 after Exp.:  887;RR skipped 13.2 (50%);VM1 aftr Trfr.:   27;PC (62107);Background: 11.31 mV,12.08 mV,18.24 mV (Thermo);Init int: 6357.05;PressAdj</t>
  </si>
  <si>
    <t>NBS19_26</t>
  </si>
  <si>
    <t xml:space="preserve"> Acid: 70.1 (°C); LeakRate (µBar/Min):  411 ;  0 xtra drops; P no Acid :   41;Total CO2 :  175;# Exp.:  0;CO2 after Exp.:  175;RR skipped 12.1 (50%);VM1 aftr Trfr.:   34;PC (62107);Background: 11.89 mV,12.72 mV,19.15 mV (Thermo);Init int:  307.18;PressAdj</t>
  </si>
  <si>
    <t>NBS19_27</t>
  </si>
  <si>
    <t xml:space="preserve"> Acid: 70.0 (°C); LeakRate (µBar/Min):  142 ;  0 xtra drops; P no Acid :   34;Total CO2 :  958;# Exp.:  0;CO2 after Exp.:  958;RR pressure 7.1 (100%);RR pressure 14.4 (50%);VM1 aftr Trfr.:   30;PC (62117);Background: 11.10 mV,11.87 mV,17.92 mV (Thermo);In</t>
  </si>
  <si>
    <t>NBS19_28</t>
  </si>
  <si>
    <t xml:space="preserve"> Acid: 70.1 (°C); LeakRate (µBar/Min):  510 ;  0 xtra drops; P no Acid :   34;Total CO2 :   62;# Exp.:  0;CO2 after Exp.:   62;RR skipped 13.3 (50%);VM1 aftr Trfr.:   30;PC (62117);Background: 12.09 mV,12.94 mV,19.47 mV (Thermo);Init int:   92.17;PressAdj</t>
  </si>
  <si>
    <t>NBS19_29</t>
  </si>
  <si>
    <t>7g</t>
  </si>
  <si>
    <t xml:space="preserve"> Acid: 70.2 (°C); LeakRate (µBar/Min):  170 ;  0 xtra drops; P no Acid :   30;Total CO2 :  940;# Exp.:  0;CO2 after Exp.:  940;RR skipped 13.5 (50%);VM1 aftr Trfr.:   34;PC (62107);Background: 11.16 mV,11.92 mV,18.04 mV (Thermo);Init int: 8073.40;PressAdj</t>
  </si>
  <si>
    <t>NBS19_30</t>
  </si>
  <si>
    <t xml:space="preserve"> Acid: 70.1 (°C); LeakRate (µBar/Min):  524 ;  0 xtra drops; P no Acid :   48;Total CO2 :  197;# Exp.:  0;CO2 after Exp.:  197;RR skipped 12.4 (50%);VM1 aftr Trfr.:   30;PC (62107);Background: 12.04 mV,12.89 mV,19.42 mV (Thermo);Init int:  363.70;PressAdj</t>
  </si>
  <si>
    <t>5g releitura</t>
  </si>
  <si>
    <t>releitura</t>
  </si>
  <si>
    <t>NBS19_25-0000</t>
  </si>
  <si>
    <t>6g releitura</t>
  </si>
  <si>
    <t>7g releitura</t>
  </si>
  <si>
    <t>row</t>
  </si>
  <si>
    <t>25-0000</t>
  </si>
  <si>
    <t>NBS19_33</t>
  </si>
  <si>
    <t>05/21/15</t>
  </si>
  <si>
    <t>09:46:23</t>
  </si>
  <si>
    <t>NBS19_33_Std_NBS19_23_-0001.did</t>
  </si>
  <si>
    <t>Acid: 70.1 (°C);LeakRate (µBar/Min): 1034 ; 0 xtra drops;P no Acid :   16;P gases:   62;Total CO2 :  781;# Exp.:  0;CO2 after Exp.:  777;RR skipped 13.5 (50%);VM1 aftr Trfr.:   20;PC (62117);Background: 10.99 mV,11.74 mV,17.88 mV (Thermo);Init int: 5263.8</t>
  </si>
  <si>
    <t>NBS19_34</t>
  </si>
  <si>
    <t>10:16:57</t>
  </si>
  <si>
    <t>NBS19_34_Std_NBS19_27_-0001.did</t>
  </si>
  <si>
    <t xml:space="preserve"> Acid: 70.1 (°C); LeakRate (µBar/Min):  234 ;  0 xtra drops; P no Acid :   27;Total CO2 :  937;# Exp.:  0;CO2 after Exp.:  937;RR skipped 12.7 (50%);VM1 aftr Trfr.:   23;PC (62117);Background: 11.23 mV,12.01 mV,18.24 mV (Thermo);Init int: 7602.24;PressAdj</t>
  </si>
  <si>
    <t>NBS19_35</t>
  </si>
  <si>
    <t>10:46:53</t>
  </si>
  <si>
    <t>NBS19_35_Std_NBS19_29_-0001.did</t>
  </si>
  <si>
    <t xml:space="preserve"> Acid: 70.2 (°C); LeakRate (µBar/Min):  262 ;  0 xtra drops; P no Acid :   23;Total CO2 :  930;# Exp.:  0;CO2 after Exp.:  930;RR skipped 11.9 (50%);VM1 aftr Trfr.:   27;PC (62107);Background: 11.49 mV,12.27 mV,18.64 mV (Thermo);Init int: 7956.70;PressAdj</t>
  </si>
  <si>
    <t>NBS19_36</t>
  </si>
  <si>
    <t>NBS19_31</t>
  </si>
  <si>
    <t>11:19:37</t>
  </si>
  <si>
    <t>NBS19_36_Std_NBS19_31_-0001.did</t>
  </si>
  <si>
    <t xml:space="preserve"> Acid: 70.2 (°C); LeakRate (µBar/Min):  127 ;  0 xtra drops; P no Acid :   20;Total CO2 :  894;# Exp.:  0;CO2 after Exp.:  894;RR skipped 11.1 (50%);VM1 aftr Trfr.:   27;PC (62107);Background: 11.45 mV,12.24 mV,18.60 mV (Thermo);Init int: 7509.19;PressAdj</t>
  </si>
  <si>
    <t>*ATENÇÃO! mudança aleatório nos tempos de reação e transferência dentro da rotina!!!</t>
  </si>
  <si>
    <t>Initial int</t>
  </si>
  <si>
    <t>L</t>
  </si>
  <si>
    <t>R</t>
  </si>
  <si>
    <t>NBS19_01</t>
  </si>
  <si>
    <t>Acid: 70.2 (°C);LeakRate (µBar/Min):  248 ; 0 xtra drops;P no Acid :   44;P gases:   97;Total CO2 :  866;# Exp.:  0;CO2 after Exp.:  866;RR pressure 7.1 (100%);RR pressure 14.4 (50%);VM1 aftr Trfr.:   48;PC (62156);Background: 2.34 mV,2.51 mV,3.22 mV (The</t>
  </si>
  <si>
    <t>NBS19_02</t>
  </si>
  <si>
    <t xml:space="preserve"> Acid: 70.2 (°C); LeakRate (µBar/Min):  113 ;  0 xtra drops; P no Acid :   48; P gases:  101;Total CO2 :  809;# Exp.:  0;CO2 after Exp.:  809;RR skipped 14.1 (50%);VM1 aftr Trfr.:   66;PC (62156);Background: 2.80 mV,3.02 mV,3.91 mV (Thermo);Init int: 2276</t>
  </si>
  <si>
    <t>NBS19_03</t>
  </si>
  <si>
    <t xml:space="preserve"> Acid: 70.1 (°C); LeakRate (µBar/Min):  389 ;  0 xtra drops; P no Acid :   62;Total CO2 :  937;# Exp.:  0;CO2 after Exp.:  937;RR skipped 13.3 (50%);VM1 aftr Trfr.:   55;PC (62156);Background: 2.70 mV,2.88 mV,3.74 mV (Thermo);Init int: 3360.97;PressAdjust</t>
  </si>
  <si>
    <t>NBS19_04</t>
  </si>
  <si>
    <t xml:space="preserve"> Acid: 70.2 (°C); LeakRate (µBar/Min):  163 ;  0 xtra drops; P no Acid :   55;Total CO2 :  940;# Exp.:  0;CO2 after Exp.:  940;RR skipped 12.9 (50%);VM1 aftr Trfr.:   48;PC (62156);Background: 2.75 mV,2.96 mV,3.82 mV (Thermo);Init int: 3756.34;PressAdjust</t>
  </si>
  <si>
    <t>NBS19_05</t>
  </si>
  <si>
    <t xml:space="preserve"> Acid: 70.2 (°C); LeakRate (µBar/Min):  354 ;  0 xtra drops; P no Acid :   41;Total CO2 :  951;# Exp.:  0;CO2 after Exp.:  951;RR skipped 12.3 (50%);VM1 aftr Trfr.:   51;PC (62156);Background: 2.76 mV,2.96 mV,3.90 mV (Thermo);Init int: 4649.37;PressAdjust</t>
  </si>
  <si>
    <t>NBS19_06</t>
  </si>
  <si>
    <t xml:space="preserve"> Acid: 70.1 (°C); LeakRate (µBar/Min):  205 ;  0 xtra drops; P no Acid :   48;Total CO2 :  901;# Exp.:  0;CO2 after Exp.:  901;RR skipped 11.7 (50%);VM1 aftr Trfr.:   37;PC (62156);Background: 2.97 mV,3.19 mV,4.15 mV (Thermo);Init int: 3734.35;PressAdjust</t>
  </si>
  <si>
    <t>NBS19_07</t>
  </si>
  <si>
    <t xml:space="preserve"> Acid: 70.1 (°C); LeakRate (µBar/Min):  375 ;  0 xtra drops; P no Acid :   37;Total CO2 :  908;# Exp.:  0;CO2 after Exp.:  908;RR skipped 11.2 (50%);VM1 aftr Trfr.:   44;PC (62156);Background: 2.83 mV,3.04 mV,3.96 mV (Thermo);Init int: 3920.10;PressAdjust</t>
  </si>
  <si>
    <t>NBS19_08</t>
  </si>
  <si>
    <t xml:space="preserve"> Acid: 70.1 (°C); LeakRate (µBar/Min):  503 ;  0 xtra drops; P no Acid :   44;Total CO2 :  873;# Exp.:  0;CO2 after Exp.:  873;RR pressure 7.1 (100%);RR pressure 14.5 (50%);VM1 aftr Trfr.:   55;PC (62156);Background: 2.79 mV,2.99 mV,3.88 mV (Thermo);Init</t>
  </si>
  <si>
    <t>NBS19_09</t>
  </si>
  <si>
    <t xml:space="preserve"> Acid: 70.0 (°C); LeakRate (µBar/Min):  418 ;  0 xtra drops; P no Acid :   55;Total CO2 :  852;# Exp.:  0;CO2 after Exp.:  852;RR skipped 13.7 (50%);VM1 aftr Trfr.:   44;PC (62156);Background: 2.84 mV,3.05 mV,3.98 mV (Thermo);Init int: 2857.10;PressAdjust</t>
  </si>
  <si>
    <t xml:space="preserve"> Acid: 70.0 (°C); LeakRate (µBar/Min):  489 ;  0 xtra drops; P no Acid :   48;Total CO2 :  937;# Exp.:  0;CO2 after Exp.:  937;RR skipped 13.2 (50%);VM1 aftr Trfr.:   44;PC (62156);Background: 2.76 mV,2.96 mV,3.83 mV (Thermo);Init int: 4189.68;PressAdjust</t>
  </si>
  <si>
    <t xml:space="preserve"> Acid: 70.0 (°C); LeakRate (µBar/Min):  389 ;  0 xtra drops; P no Acid :   37;Total CO2 :  954;# Exp.:  0;CO2 after Exp.:  954;RR skipped 12.6 (50%);VM1 aftr Trfr.:   48;PC (62156);Background: 2.91 mV,3.12 mV,4.06 mV (Thermo);Init int: 4581.62;PressAdjust</t>
  </si>
  <si>
    <t xml:space="preserve"> Acid: 70.1 (°C); LeakRate (µBar/Min):  205 ;  0 xtra drops; P no Acid :   48;Total CO2 :  979;# Exp.:  0;CO2 after Exp.:  979;RR skipped 11.9 (50%);VM1 aftr Trfr.:   44;PC (62156);Background: 3.05 mV,3.27 mV,4.29 mV (Thermo);Init int: 4602.15;PressAdjust</t>
  </si>
  <si>
    <t xml:space="preserve"> Acid: 70.0 (°C); LeakRate (µBar/Min):  340 ;  0 xtra drops; P no Acid :   44;Total CO2 :  947;# Exp.:  0;CO2 after Exp.:  947;RR skipped 11.3 (50%);VM1 aftr Trfr.:   41;PC (62156);Background: 3.03 mV,3.25 mV,4.28 mV (Thermo);Init int: 4556.15;PressAdjust</t>
  </si>
  <si>
    <t xml:space="preserve"> Acid: 70.0 (°C); LeakRate (µBar/Min):  177 ;  0 xtra drops; P no Acid :   41;Total CO2 :  894;# Exp.:  0;CO2 after Exp.:  894;RR skipped 10.6 (50%);VM1 aftr Trfr.:   48;PC (62146);Background: 2.96 mV,3.19 mV,4.13 mV (Thermo);Init int: 3870.34;PressAdjust</t>
  </si>
  <si>
    <t xml:space="preserve"> Acid: 70.0 (°C); LeakRate (µBar/Min):  319 ;  0 xtra drops; P no Acid :   44;Total CO2 :  827;# Exp.:  0;CO2 after Exp.:  827;RR pressure 7.1 (100%);RR pressure 14.6 (50%);VM1 aftr Trfr.:   41;PC (62146);Background: 2.81 mV,3.02 mV,3.91 mV (Thermo);Init</t>
  </si>
  <si>
    <t xml:space="preserve"> Acid: 70.0 (°C); LeakRate (µBar/Min):  347 ;  0 xtra drops; P no Acid :   41;Total CO2 :  837;# Exp.:  0;CO2 after Exp.:  837;RR skipped 13.8 (50%);VM1 aftr Trfr.:   37;PC (62146);Background: 2.79 mV,2.99 mV,3.92 mV (Thermo);Init int: 3237.07;PressAdjust</t>
  </si>
  <si>
    <t xml:space="preserve"> Acid: 70.0 (°C); LeakRate (µBar/Min):  496 ;  0 xtra drops; P no Acid :   37;Total CO2 :  802;# Exp.:  0;CO2 after Exp.:  802;RR skipped 13.2 (50%);VM1 aftr Trfr.:   48;PC (62146);Background: 2.76 mV,2.98 mV,3.88 mV (Thermo);Init int: 2787.21;PressAdjust</t>
  </si>
  <si>
    <t xml:space="preserve"> Acid: 70.1 (°C); LeakRate (µBar/Min):  170 ;  0 xtra drops; P no Acid :   44;Total CO2 :  926;# Exp.:  0;CO2 after Exp.:  926;RR skipped 12.7 (50%);VM1 aftr Trfr.:   41;PC (62146);Background: 2.73 mV,2.91 mV,3.81 mV (Thermo);Init int: 4010.34;PressAdjust</t>
  </si>
  <si>
    <t xml:space="preserve"> Acid: 70.1 (°C); LeakRate (µBar/Min):  290 ;  0 xtra drops; P no Acid :   37;Total CO2 :  852;# Exp.:  0;CO2 after Exp.:  855;RR skipped 12.3 (50%);VM1 aftr Trfr.:   41;PC (62146);Background: 2.81 mV,3.02 mV,3.91 mV (Thermo);Init int: 3366.46;PressAdjust</t>
  </si>
  <si>
    <t xml:space="preserve"> Acid: 70.1 (°C); LeakRate (µBar/Min):  163 ;  0 xtra drops; P no Acid :   37;Total CO2 :  894;# Exp.:  0;CO2 after Exp.:  894;RR skipped 11.7 (50%);VM1 aftr Trfr.:   48;PC (62146);Background: 2.72 mV,2.93 mV,3.82 mV (Thermo);Init int: 3748.52;PressAdjust</t>
  </si>
  <si>
    <t xml:space="preserve"> Acid: 70.1 (°C); LeakRate (µBar/Min):  290 ;  0 xtra drops; P no Acid :   48;Total CO2 :  894;# Exp.:  0;CO2 after Exp.:  894;RR skipped 11.1 (50%);VM1 aftr Trfr.:   41;PC (62146);Background: 2.84 mV,3.04 mV,3.97 mV (Thermo);Init int: 3558.09;PressAdjust</t>
  </si>
  <si>
    <t xml:space="preserve"> Acid: 70.2 (°C); LeakRate (µBar/Min):  156 ;  0 xtra drops; P no Acid :   41;Total CO2 :  834;# Exp.:  0;CO2 after Exp.:  834;RR pressure 7.0 (100%);RR pressure 14.5 (50%);VM1 aftr Trfr.:   41;PC (62146);Background: 2.69 mV,2.88 mV,3.76 mV (Thermo);Init</t>
  </si>
  <si>
    <t xml:space="preserve"> Acid: 70.1 (°C); LeakRate (µBar/Min):  290 ;  0 xtra drops; P no Acid :   37;Total CO2 :  837;# Exp.:  0;CO2 after Exp.:  837;RR skipped 13.6 (50%);VM1 aftr Trfr.:   48;PC (62146);Background: 2.72 mV,2.91 mV,3.79 mV (Thermo);Init int: 3068.36;PressAdjust</t>
  </si>
  <si>
    <t xml:space="preserve"> Acid: 70.1 (°C); LeakRate (µBar/Min):  163 ;  0 xtra drops; P no Acid :   44;Total CO2 :  887;# Exp.:  0;CO2 after Exp.:  887;RR skipped 13.2 (50%);VM1 aftr Trfr.:   41;PC (62146);Background: 2.73 mV,2.90 mV,3.80 mV (Thermo);Init int: 3505.75;PressAdjust</t>
  </si>
  <si>
    <t>NBS19_25</t>
  </si>
  <si>
    <t xml:space="preserve"> Acid: 70.1 (°C); LeakRate (µBar/Min):  312 ;  0 xtra drops; P no Acid :   41;Total CO2 :  905;# Exp.:  0;CO2 after Exp.:  901;RR skipped 12.6 (50%);VM1 aftr Trfr.:   41;PC (62146);Background: 2.73 mV,2.93 mV,3.81 mV (Thermo);Init int: 3926.92;PressAdjust</t>
  </si>
  <si>
    <t xml:space="preserve"> Acid: 70.1 (°C); LeakRate (µBar/Min):  163 ;  0 xtra drops; P no Acid :   37;Total CO2 :  901;# Exp.:  0;CO2 after Exp.:  901;RR skipped 12.0 (50%);VM1 aftr Trfr.:   44;PC (62146);Background: 2.74 mV,2.92 mV,3.80 mV (Thermo);Init int: 3865.20;PressAdjust</t>
  </si>
  <si>
    <t xml:space="preserve"> Acid: 70.1 (°C); LeakRate (µBar/Min):  354 ;  0 xtra drops; P no Acid :   44;Total CO2 :  845;# Exp.:  0;CO2 after Exp.:  845;RR skipped 11.6 (50%);VM1 aftr Trfr.:   41;PC (62146);Background: 2.78 mV,2.98 mV,3.86 mV (Thermo);Init int: 3021.15;PressAdjust</t>
  </si>
  <si>
    <t xml:space="preserve"> Acid: 70.2 (°C); LeakRate (µBar/Min):  156 ;  0 xtra drops; P no Acid :   41;Total CO2 :  781;# Exp.:  0;CO2 after Exp.:  781;RR skipped 11.1 (50%);VM1 aftr Trfr.:   37;PC (62146);Background: 2.68 mV,2.86 mV,3.70 mV (Thermo);Init int: 2555.00;PressAdjust</t>
  </si>
  <si>
    <t xml:space="preserve"> Acid: 70.1 (°C); LeakRate (µBar/Min):  347 ;  0 xtra drops; P no Acid :   37;Total CO2 :  816;# Exp.:  0;CO2 after Exp.:  816;RR pressure 7.1 (100%);RR pressure 14.6 (50%);VM1 aftr Trfr.:   51;PC (62146);Background: 2.55 mV,2.71 mV,3.55 mV (Thermo);Init</t>
  </si>
  <si>
    <t xml:space="preserve"> Acid: 70.1 (°C); LeakRate (µBar/Min):  170 ;  0 xtra drops; P no Acid :   48;Total CO2 :  951;# Exp.:  0;CO2 after Exp.:  951;RR skipped 13.5 (50%);VM1 aftr Trfr.:   48;PC (62146);Background: 2.63 mV,2.82 mV,3.67 mV (Thermo);Init int: 4016.58;PressAdjust</t>
  </si>
  <si>
    <t xml:space="preserve"> Acid: 70.2 (°C); LeakRate (µBar/Min):  340 ;  0 xtra drops; P no Acid :   48;Total CO2 :  919;# Exp.:  0;CO2 after Exp.:  919;RR skipped 13.1 (50%);VM1 aftr Trfr.:   51;PC (62146);Background: 2.73 mV,2.92 mV,3.79 mV (Thermo);Init int: 3579.88;PressAdjust</t>
  </si>
  <si>
    <t>NBS19_32</t>
  </si>
  <si>
    <t xml:space="preserve"> Acid: 70.2 (°C); LeakRate (µBar/Min):  163 ;  0 xtra drops; P no Acid :   48;Total CO2 :  898;# Exp.:  0;CO2 after Exp.:  898;RR skipped 12.7 (50%);VM1 aftr Trfr.:   44;PC (62146);Background: 2.71 mV,2.90 mV,3.75 mV (Thermo);Init int: 3514.35;PressAdjust</t>
  </si>
  <si>
    <t xml:space="preserve"> Acid: 70.0 (°C); LeakRate (µBar/Min):  389 ;  0 xtra drops; P no Acid :   41;Total CO2 :  852;# Exp.:  0;CO2 after Exp.:  852;RR skipped 12.0 (50%);VM1 aftr Trfr.:   55;PC (62146);Background: 2.67 mV,2.86 mV,3.72 mV (Thermo);Init int: 3074.76;PressAdjust</t>
  </si>
  <si>
    <t xml:space="preserve"> Acid: 70.1 (°C); LeakRate (µBar/Min):  170 ;  0 xtra drops; P no Acid :   48;Total CO2 :  735;# Exp.:  0;CO2 after Exp.:  735;RR skipped 11.5 (50%);VM1 aftr Trfr.:   41;PC (62146);Background: 2.65 mV,2.83 mV,3.69 mV (Thermo);Init int: 2041.58;PressAdjust</t>
  </si>
  <si>
    <t xml:space="preserve"> Acid: 70.1 (°C); LeakRate (µBar/Min):  616 ;  0 xtra drops; P no Acid :   41;Total CO2 :  873;# Exp.:  0;CO2 after Exp.:  873;RR skipped 11.2 (50%);VM1 aftr Trfr.:   41;PC (62146);Background: 2.49 mV,2.65 mV,3.45 mV (Thermo);Init int: 3402.75;PressAdjust</t>
  </si>
  <si>
    <t xml:space="preserve"> Acid: 70.2 (°C); LeakRate (µBar/Min):  163 ;  0 xtra drops; P no Acid :   37;Total CO2 :  866;# Exp.:  0;CO2 after Exp.:  866;RR pressure 7.0 (100%);RR pressure 14.5 (50%);VM1 aftr Trfr.:   55;PC (62146);Background: 2.54 mV,2.72 mV,3.54 mV (Thermo);Init</t>
  </si>
  <si>
    <t>NBS19_37</t>
  </si>
  <si>
    <t xml:space="preserve"> Acid: 70.1 (°C); LeakRate (µBar/Min):  361 ;  0 xtra drops; P no Acid :   48;Total CO2 :  912;# Exp.:  0;CO2 after Exp.:  912;RR skipped 13.5 (50%);VM1 aftr Trfr.:   41;PC (62146);Background: 2.64 mV,2.83 mV,3.67 mV (Thermo);Init int: 3719.01;PressAdjust</t>
  </si>
  <si>
    <t>NBS19_38</t>
  </si>
  <si>
    <t xml:space="preserve"> Acid: 70.1 (°C); LeakRate (µBar/Min):  149 ;  0 xtra drops; P no Acid :   41;Total CO2 :  887;# Exp.:  0;CO2 after Exp.:  887;RR skipped 13.0 (50%);VM1 aftr Trfr.:   41;PC (62146);Background: 2.68 mV,2.88 mV,3.74 mV (Thermo);Init int: 3621.78;PressAdjust</t>
  </si>
  <si>
    <t>NBS19_39</t>
  </si>
  <si>
    <t xml:space="preserve"> Acid: 70.1 (°C); LeakRate (µBar/Min):  389 ;  0 xtra drops; P no Acid :   41;Total CO2 :  788;# Exp.:  0;CO2 after Exp.:  788;RR skipped 12.4 (50%);VM1 aftr Trfr.:   58;PC (62146);Background: 2.70 mV,2.88 mV,3.75 mV (Thermo);Init int: 2559.51;PressAdjust</t>
  </si>
  <si>
    <t>NBS19_40</t>
  </si>
  <si>
    <t xml:space="preserve"> Acid: 70.1 (°C); LeakRate (µBar/Min):  163 ;  0 xtra drops; P no Acid :   48;Total CO2 :  905;# Exp.:  0;CO2 after Exp.:  905;RR skipped 12.0 (50%);VM1 aftr Trfr.:   44;PC (62146);Background: 2.58 mV,2.74 mV,3.57 mV (Thermo);Init int: 3535.49;PressAdjust</t>
  </si>
  <si>
    <t>NBS19_41</t>
  </si>
  <si>
    <t xml:space="preserve"> Acid: 70.0 (°C); LeakRate (µBar/Min):  411 ;  0 xtra drops; P no Acid :   41;Total CO2 :  891;# Exp.:  0;CO2 after Exp.:  891;RR skipped 11.4 (50%);VM1 aftr Trfr.:   44;PC (62146);Background: 2.66 mV,2.85 mV,3.68 mV (Thermo);Init int: 3579.62;PressAdjust</t>
  </si>
  <si>
    <t>NBS19_42</t>
  </si>
  <si>
    <t xml:space="preserve"> Acid: 70.1 (°C); LeakRate (µBar/Min):  170 ;  0 xtra drops; P no Acid :   41;Total CO2 :  742;# Exp.:  0;CO2 after Exp.:  742;RR skipped 11.1 (50%);VM1 aftr Trfr.:   62;PC (62146);Background: 2.60 mV,2.76 mV,3.59 mV (Thermo);Init int: 2058.28;PressAdjust</t>
  </si>
  <si>
    <t>NBS19_43</t>
  </si>
  <si>
    <t xml:space="preserve"> Acid: 70.1 (°C); LeakRate (µBar/Min):  354 ;  0 xtra drops; P no Acid :   51;Total CO2 :  922;# Exp.:  0;CO2 after Exp.:  922;RR pressure 7.1 (100%);RR pressure 14.5 (50%);VM1 aftr Trfr.:   44;PC (62146);Background: 2.44 mV,2.60 mV,3.38 mV (Thermo);Init</t>
  </si>
  <si>
    <t>NBS19_44</t>
  </si>
  <si>
    <t xml:space="preserve"> Acid: 70.0 (°C); LeakRate (µBar/Min):  149 ;  0 xtra drops; P no Acid :   41;Total CO2 :  827;# Exp.:  0;CO2 after Exp.:  827;RR skipped 13.5 (50%);VM1 aftr Trfr.:   34;PC (62146);Background: 2.69 mV,2.84 mV,3.72 mV (Thermo);Init int: 3219.05;PressAdjust</t>
  </si>
  <si>
    <t>NBS19_45</t>
  </si>
  <si>
    <t xml:space="preserve"> Acid: 70.1 (°C); LeakRate (µBar/Min):  333 ;  0 xtra drops; P no Acid :   34;Total CO2 :  912;# Exp.:  0;CO2 after Exp.:  912;RR skipped 12.9 (50%);VM1 aftr Trfr.:   48;PC (62146);Background: 2.61 mV,2.79 mV,3.64 mV (Thermo);Init int: 3945.87;PressAdjust</t>
  </si>
  <si>
    <t>NBS19_46</t>
  </si>
  <si>
    <t xml:space="preserve"> Acid: 70.2 (°C); LeakRate (µBar/Min):  439 ;  0 xtra drops; P no Acid :   41;Total CO2 :  887;# Exp.:  0;CO2 after Exp.:  887;RR skipped 12.4 (50%);VM1 aftr Trfr.:   34;PC (62146);Background: 2.72 mV,2.91 mV,3.78 mV (Thermo);Init int: 3719.94;PressAdjust</t>
  </si>
  <si>
    <t>Init Int</t>
  </si>
  <si>
    <t>06/03/15</t>
  </si>
  <si>
    <t>15:04:14</t>
  </si>
  <si>
    <t>NBS19_08_Std4g__-0000.did</t>
  </si>
  <si>
    <t xml:space="preserve"> Acid: 70.2 (°C); LeakRate (µBar/Min):  163 ;  0 xtra drops; P no Acid :   48;Total CO2 :  859;# Exp.:  0;CO2 after Exp.:  859;RR skipped 12.2 (50%);VM1 aftr Trfr.:   44;PC (62166);Background: 2.64 mV,2.79 mV,3.62 mV (Thermo);Init int: 3282.61;PressAdjust</t>
  </si>
  <si>
    <t>14:30:28</t>
  </si>
  <si>
    <t>NBS19_07_Std4g__-0000.did</t>
  </si>
  <si>
    <t xml:space="preserve"> Acid: 70.2 (°C); LeakRate (µBar/Min):  269 ;  0 xtra drops; P no Acid :   41;Total CO2 :  876;# Exp.:  0;CO2 after Exp.:  876;RR skipped 12.8 (50%);VM1 aftr Trfr.:   37;PC (62166);Background: 2.63 mV,2.79 mV,3.64 mV (Thermo);Init int: 3570.68;PressAdjust</t>
  </si>
  <si>
    <t>13:59:53</t>
  </si>
  <si>
    <t>NBS19_06_Std4g__-0000.did</t>
  </si>
  <si>
    <t xml:space="preserve"> Acid: 70.3 (°C); LeakRate (µBar/Min):  184 ;  0 xtra drops; P no Acid :   41; P gases:   73;Total CO2 :  898;# Exp.:  0;CO2 after Exp.:  898;RR skipped 13.3 (50%);VM1 aftr Trfr.:   41;PC (62166);Background: 2.67 mV,2.85 mV,3.69 mV (Thermo);Init int: 3743</t>
  </si>
  <si>
    <t>13:31:28</t>
  </si>
  <si>
    <t>NBS19_05_Std4g__-0000.did</t>
  </si>
  <si>
    <t>Acid: 70.1 (°C);LeakRate (µBar/Min):  567 ; 0 xtra drops;P no Acid :   48;P gases:   94;Total CO2 :  951;# Exp.:  0;CO2 after Exp.:  951;RR pressure 7.0 (100%);RR pressure 14.4 (50%);VM1 aftr Trfr.:   41;PC (62166);Background: 2.50 mV,2.65 mV,3.44 mV (The</t>
  </si>
  <si>
    <t>12:29:46</t>
  </si>
  <si>
    <t>NBS19_04_Std4g__-0000.did</t>
  </si>
  <si>
    <t xml:space="preserve"> Acid: 70.1 (°C); LeakRate (µBar/Min):  156 ;  0 xtra drops; P no Acid :   62;Total CO2 :  898;# Exp.:  0;CO2 after Exp.:  898;RR skipped 12.5 (50%);VM1 aftr Trfr.:   55;PC (62156);Background: 2.51 mV,2.68 mV,3.48 mV (Thermo);Init int: 3054.83;PressAdjust</t>
  </si>
  <si>
    <t>12:00:16</t>
  </si>
  <si>
    <t>NBS19_03_Std4g__-0000.did</t>
  </si>
  <si>
    <t xml:space="preserve"> Acid: 70.2 (°C); LeakRate (µBar/Min):  312 ;  0 xtra drops; P no Acid :   44;Total CO2 :  869;# Exp.:  0;CO2 after Exp.:  869;RR skipped 12.9 (50%);VM1 aftr Trfr.:   62;PC (62156);Background: 2.49 mV,2.66 mV,3.42 mV (Thermo);Init int: 3105.31;PressAdjust</t>
  </si>
  <si>
    <t>11:26:58</t>
  </si>
  <si>
    <t>NBS19_02_Std4g__-0000.did</t>
  </si>
  <si>
    <t xml:space="preserve"> Acid: 70.1 (°C); LeakRate (µBar/Min):  368 ;  0 xtra drops; P no Acid :   51;Total CO2 :  845;# Exp.:  0;CO2 after Exp.:  845;RR skipped 13.5 (50%);VM1 aftr Trfr.:   48;PC (62166);Background: 2.53 mV,2.69 mV,3.51 mV (Thermo);Init int: 2912.00;PressAdjust</t>
  </si>
  <si>
    <t>10:57:33</t>
  </si>
  <si>
    <t>NBS19_01_Std4g__-0000.did</t>
  </si>
  <si>
    <t>Acid: 70.1 (°C);LeakRate (µBar/Min):  595 ; 0 xtra drops;P no Acid :   58;P gases:  129;Total CO2 :  958;# Exp.:  0;CO2 after Exp.:  958;RR pressure 7.0 (100%);RR pressure 14.4 (50%);VM1 aftr Trfr.:   51;PC (62166);Background: 2.26 mV,2.40 mV,3.13 mV (The</t>
  </si>
  <si>
    <t>Pressure</t>
  </si>
  <si>
    <t>Intensity</t>
  </si>
  <si>
    <t>%</t>
  </si>
  <si>
    <t>Refil time</t>
  </si>
  <si>
    <t>06/09/15</t>
  </si>
  <si>
    <t>10:28:08</t>
  </si>
  <si>
    <t>NBS19_46_4g-0000.did</t>
  </si>
  <si>
    <t xml:space="preserve"> Acid: 70.1 (°C); LeakRate (µBar/Min):  170 ;  0 xtra drops; P no Acid :   41;Total CO2 :  859;# Exp.:  0;CO2 after Exp.:  859;RR skipped 11.3 (50%);VM1 aftr Trfr.:   34;PC (62156);Background: 2.38 mV,2.53 mV,3.28 mV (Thermo);Init int: 2612.19;PressAdjust</t>
  </si>
  <si>
    <t>09:57:34</t>
  </si>
  <si>
    <t>NBS19_45_4g-0000.did</t>
  </si>
  <si>
    <t xml:space="preserve"> Acid: 70.1 (°C); LeakRate (µBar/Min):  312 ;  0 xtra drops; P no Acid :   48;Total CO2 :  930;# Exp.:  0;CO2 after Exp.:  930;RR skipped 11.8 (50%);VM1 aftr Trfr.:   37;PC (62156);Background: 2.38 mV,2.54 mV,3.29 mV (Thermo);Init int: 2997.20;PressAdjust</t>
  </si>
  <si>
    <t>09:27:53</t>
  </si>
  <si>
    <t>NBS19_44_4g-0000.did</t>
  </si>
  <si>
    <t xml:space="preserve"> Acid: 70.2 (°C); LeakRate (µBar/Min):  184 ;  0 xtra drops; P no Acid :   48;Total CO2 :  884;# Exp.:  0;CO2 after Exp.:  884;RR skipped 12.3 (50%);VM1 aftr Trfr.:   44;PC (62156);Background: 2.38 mV,2.54 mV,3.29 mV (Thermo);Init int: 2820.41;PressAdjust</t>
  </si>
  <si>
    <t>08:55:11</t>
  </si>
  <si>
    <t>NBS19_43_4g-0000.did</t>
  </si>
  <si>
    <t xml:space="preserve"> Acid: 70.2 (°C); LeakRate (µBar/Min):  297 ;  0 xtra drops; P no Acid :   41;Total CO2 :  933;# Exp.:  0;CO2 after Exp.:  933;RR skipped 12.8 (50%);VM1 aftr Trfr.:   41;PC (62156);Background: 2.33 mV,2.50 mV,3.25 mV (Thermo);Init int: 3068.23;PressAdjust</t>
  </si>
  <si>
    <t>08:24:45</t>
  </si>
  <si>
    <t>NBS19_42_4g-0000.did</t>
  </si>
  <si>
    <t xml:space="preserve"> Acid: 70.1 (°C); LeakRate (µBar/Min):  177 ;  0 xtra drops; P no Acid :   66;Total CO2 :  876;# Exp.:  0;CO2 after Exp.:  876;RR skipped 13.3 (50%);VM1 aftr Trfr.:   41;PC (62156);Background: 2.41 mV,2.57 mV,3.35 mV (Thermo);Init int: 2422.76;PressAdjust</t>
  </si>
  <si>
    <t>07:52:28</t>
  </si>
  <si>
    <t>NBS19_41_4g-0000.did</t>
  </si>
  <si>
    <t xml:space="preserve"> Acid: 70.1 (°C); LeakRate (µBar/Min):  305 ;  0 xtra drops; P no Acid :   37;Total CO2 :  905;# Exp.:  0;CO2 after Exp.:  905;RR skipped 13.7 (50%);VM1 aftr Trfr.:   41;PC (62156);Background: 2.35 mV,2.50 mV,3.26 mV (Thermo);Init int: 2879.19;PressAdjust</t>
  </si>
  <si>
    <t>07:20:54</t>
  </si>
  <si>
    <t>NBS19_40_4g-0000.did</t>
  </si>
  <si>
    <t xml:space="preserve"> Acid: 70.3 (°C); LeakRate (µBar/Min):  135 ;  0 xtra drops; P no Acid :   55;Total CO2 :  898;# Exp.:  0;CO2 after Exp.:  898;RR skipped 14.1 (50%);VM1 aftr Trfr.:   44;PC (62156);Background: 2.33 mV,2.48 mV,3.22 mV (Thermo);Init int: 2615.84;PressAdjust</t>
  </si>
  <si>
    <t>06:51:46</t>
  </si>
  <si>
    <t>NBS19_39_4g-0000.did</t>
  </si>
  <si>
    <t xml:space="preserve"> Acid: 70.2 (°C); LeakRate (µBar/Min):  354 ;  0 xtra drops; P no Acid :   37;Total CO2 :  841;# Exp.:  0;CO2 after Exp.:  841;RR skipped 14.6 (50%);VM1 aftr Trfr.:   44;PC (62156);Background: 2.39 mV,2.56 mV,3.29 mV (Thermo);Init int: 2228.93;PressAdjust</t>
  </si>
  <si>
    <t>06:19:16</t>
  </si>
  <si>
    <t>NBS19_38_4g-0000.did</t>
  </si>
  <si>
    <t xml:space="preserve"> Acid: 70.1 (°C); LeakRate (µBar/Min):  156 ;  0 xtra drops; P no Acid :   62;Total CO2 :  908;# Exp.:  0;CO2 after Exp.:  908;RR skipped 15.0 (50%);VM1 aftr Trfr.:   48;PC (62156);Background: 2.40 mV,2.57 mV,3.33 mV (Thermo);Init int: 2784.30;PressAdjust</t>
  </si>
  <si>
    <t>05:49:26</t>
  </si>
  <si>
    <t>NBS19_37_4g-0000.did</t>
  </si>
  <si>
    <t xml:space="preserve"> Acid: 70.2 (°C); LeakRate (µBar/Min):  354 ;  0 xtra drops; P no Acid :   37;Total CO2 :  940;# Exp.:  0;CO2 after Exp.:  940;RR skipped 15.5 (50%);VM1 aftr Trfr.:   48;PC (62156);Background: 2.34 mV,2.49 mV,3.21 mV (Thermo);Init int: 2984.36;PressAdjust</t>
  </si>
  <si>
    <t>05:16:44</t>
  </si>
  <si>
    <t>NBS19_36_4g-0000.did</t>
  </si>
  <si>
    <t xml:space="preserve"> Acid: 70.2 (°C); LeakRate (µBar/Min):  361 ;  0 xtra drops; P no Acid :   44;Total CO2 :  806;# Exp.:  0;CO2 after Exp.:  806;RR skipped 15.9 (50%);VM1 aftr Trfr.:   37;PC (62156);Background: 2.41 mV,2.56 mV,3.34 mV (Thermo);Init int: 2059.53;PressAdjust</t>
  </si>
  <si>
    <t>04:48:06</t>
  </si>
  <si>
    <t>NBS19_35_4g-0000.did</t>
  </si>
  <si>
    <t xml:space="preserve"> Acid: 70.3 (°C); LeakRate (µBar/Min):  489 ;  0 xtra drops; P no Acid :   41;Total CO2 :  873;# Exp.:  0;CO2 after Exp.:  873;RR pressure 8.2 (100%);RR pressure 16.9 (50%);VM1 aftr Trfr.:   37;PC (62156);Background: 2.33 mV,2.48 mV,3.22 mV (Thermo);Init</t>
  </si>
  <si>
    <t>04:14:21</t>
  </si>
  <si>
    <t>NBS19_34_4g-0000.did</t>
  </si>
  <si>
    <t xml:space="preserve"> Acid: 70.2 (°C); LeakRate (µBar/Min):  142 ;  0 xtra drops; P no Acid :   37;Total CO2 :  845;# Exp.:  0;CO2 after Exp.:  845;RR skipped 11.9 (50%);VM1 aftr Trfr.:   37;PC (62156);Background: 2.31 mV,2.47 mV,3.18 mV (Thermo);Init int: 2513.98;PressAdjust</t>
  </si>
  <si>
    <t>03:47:07</t>
  </si>
  <si>
    <t>NBS19_33_4g-0000.did</t>
  </si>
  <si>
    <t xml:space="preserve"> Acid: 70.2 (°C); LeakRate (µBar/Min):  283 ;  0 xtra drops; P no Acid :   48;Total CO2 :  901;# Exp.:  0;CO2 after Exp.:  901;RR skipped 12.2 (50%);VM1 aftr Trfr.:   41;PC (62156);Background: 2.39 mV,2.57 mV,3.32 mV (Thermo);Init int: 2628.75;PressAdjust</t>
  </si>
  <si>
    <t>03:15:00</t>
  </si>
  <si>
    <t>NBS19_32_4g-0000.did</t>
  </si>
  <si>
    <t xml:space="preserve"> Acid: 70.2 (°C); LeakRate (µBar/Min):  120 ;  0 xtra drops; P no Acid :   37;Total CO2 :  884;# Exp.:  0;CO2 after Exp.:  884;RR skipped 12.9 (50%);VM1 aftr Trfr.:   44;PC (62156);Background: 2.29 mV,2.44 mV,3.15 mV (Thermo);Init int: 3011.78;PressAdjust</t>
  </si>
  <si>
    <t>02:41:13</t>
  </si>
  <si>
    <t>NBS19_31_4g-0000.did</t>
  </si>
  <si>
    <t xml:space="preserve"> Acid: 70.2 (°C); LeakRate (µBar/Min):  255 ;  0 xtra drops; P no Acid :   37;Total CO2 :  784;# Exp.:  0;CO2 after Exp.:  784;RR skipped 13.1 (50%);VM1 aftr Trfr.:   34;PC (62156);Background: 2.38 mV,2.52 mV,3.29 mV (Thermo);Init int: 2045.84;PressAdjust</t>
  </si>
  <si>
    <t>02:10:12</t>
  </si>
  <si>
    <t>NBS19_30_4g-0000.did</t>
  </si>
  <si>
    <t xml:space="preserve"> Acid: 70.2 (°C); LeakRate (µBar/Min):  163 ;  0 xtra drops; P no Acid :   44;Total CO2 :  908;# Exp.:  0;CO2 after Exp.:  908;RR skipped 13.5 (50%);VM1 aftr Trfr.:   41;PC (62156);Background: 2.39 mV,2.54 mV,3.31 mV (Thermo);Init int: 2604.84;PressAdjust</t>
  </si>
  <si>
    <t>01:42:07</t>
  </si>
  <si>
    <t>NBS19_29_4g-0000.did</t>
  </si>
  <si>
    <t xml:space="preserve"> Acid: 70.2 (°C); LeakRate (µBar/Min):  305 ;  0 xtra drops; P no Acid :   34;Total CO2 :  876;# Exp.:  0;CO2 after Exp.:  876;RR skipped 14.1 (50%);VM1 aftr Trfr.:   44;PC (62156);Background: 2.41 mV,2.55 mV,3.33 mV (Thermo);Init int: 2725.84;PressAdjust</t>
  </si>
  <si>
    <t>01:08:36</t>
  </si>
  <si>
    <t>NBS19_28_4g-0000.did</t>
  </si>
  <si>
    <t xml:space="preserve"> Acid: 70.2 (°C); LeakRate (µBar/Min):  135 ;  0 xtra drops; P no Acid :   48;Total CO2 :  845;# Exp.:  0;CO2 after Exp.:  845;RR skipped 14.5 (50%);VM1 aftr Trfr.:   34;PC (62156);Background: 2.46 mV,2.64 mV,3.43 mV (Thermo);Init int: 2548.31;PressAdjust</t>
  </si>
  <si>
    <t>00:38:32</t>
  </si>
  <si>
    <t>NBS19_27_4g-0000.did</t>
  </si>
  <si>
    <t xml:space="preserve"> Acid: 70.2 (°C); LeakRate (µBar/Min):  297 ;  0 xtra drops; P no Acid :   51;Total CO2 :  926;# Exp.:  0;CO2 after Exp.:  926;RR skipped 14.9 (50%);VM1 aftr Trfr.:   37;PC (62166);Background: 2.49 mV,2.65 mV,3.46 mV (Thermo);Init int: 3003.43;PressAdjust</t>
  </si>
  <si>
    <t>00:08:55</t>
  </si>
  <si>
    <t>NBS19_26_4g-0000.did</t>
  </si>
  <si>
    <t xml:space="preserve"> Acid: 70.2 (°C); LeakRate (µBar/Min):  156 ;  0 xtra drops; P no Acid :   34;Total CO2 :  891;# Exp.:  0;CO2 after Exp.:  891;RR skipped 15.4 (50%);VM1 aftr Trfr.:   55;PC (62156);Background: 2.44 mV,2.61 mV,3.38 mV (Thermo);Init int: 2645.49;PressAdjust</t>
  </si>
  <si>
    <t>06/08/15</t>
  </si>
  <si>
    <t>23:34:56</t>
  </si>
  <si>
    <t>NBS19_25_4g-0000.did</t>
  </si>
  <si>
    <t xml:space="preserve"> Acid: 70.2 (°C); LeakRate (µBar/Min):  269 ;  0 xtra drops; P no Acid :   37;Total CO2 :  859;# Exp.:  0;CO2 after Exp.:  859;RR skipped 15.9 (50%);VM1 aftr Trfr.:   30;PC (62156);Background: 2.45 mV,2.61 mV,3.38 mV (Thermo);Init int: 2731.02;PressAdjust</t>
  </si>
  <si>
    <t>23:05:52</t>
  </si>
  <si>
    <t>NBS19_24_4g-0000.did</t>
  </si>
  <si>
    <t xml:space="preserve"> Acid: 70.1 (°C); LeakRate (µBar/Min):  135 ;  0 xtra drops; P no Acid :   44;Total CO2 :  905;# Exp.:  0;CO2 after Exp.:  905;RR pressure 8.2 (100%);RR pressure 16.7 (50%);VM1 aftr Trfr.:   37;PC (62156);Background: 2.32 mV,2.48 mV,3.22 mV (Thermo);Init</t>
  </si>
  <si>
    <t>22:31:45</t>
  </si>
  <si>
    <t>NBS19_23_4g-0000.did</t>
  </si>
  <si>
    <t xml:space="preserve"> Acid: 70.2 (°C); LeakRate (µBar/Min):  262 ;  0 xtra drops; P no Acid :   37;Total CO2 :  841;# Exp.:  0;CO2 after Exp.:  841;RR skipped 11.9 (50%);VM1 aftr Trfr.:   44;PC (62156);Background: 2.35 mV,2.50 mV,3.24 mV (Thermo);Init int: 2526.61;PressAdjust</t>
  </si>
  <si>
    <t>21:58:58</t>
  </si>
  <si>
    <t>NBS19_22_4g-0000.did</t>
  </si>
  <si>
    <t xml:space="preserve"> Acid: 70.2 (°C); LeakRate (µBar/Min):  156 ;  0 xtra drops; P no Acid :   44;Total CO2 :  884;# Exp.:  0;CO2 after Exp.:  884;RR skipped 12.3 (50%);VM1 aftr Trfr.:   37;PC (62156);Background: 2.35 mV,2.51 mV,3.25 mV (Thermo);Init int: 2786.44;PressAdjust</t>
  </si>
  <si>
    <t>21:28:04</t>
  </si>
  <si>
    <t>NBS19_21_4g-0000.did</t>
  </si>
  <si>
    <t xml:space="preserve"> Acid: 70.2 (°C); LeakRate (µBar/Min):  248 ;  0 xtra drops; P no Acid :   51;Total CO2 :  908;# Exp.:  0;CO2 after Exp.:  908;RR skipped 12.8 (50%);VM1 aftr Trfr.:   44;PC (62156);Background: 2.34 mV,2.49 mV,3.22 mV (Thermo);Init int: 2646.16;PressAdjust</t>
  </si>
  <si>
    <t>21:00:29</t>
  </si>
  <si>
    <t>NBS19_20_4g-0000.did</t>
  </si>
  <si>
    <t xml:space="preserve"> Acid: 70.2 (°C); LeakRate (µBar/Min):  142 ;  0 xtra drops; P no Acid :   48;Total CO2 :  873;# Exp.:  0;CO2 after Exp.:  873;RR skipped 13.3 (50%);VM1 aftr Trfr.:   51;PC (62156);Background: 2.34 mV,2.49 mV,3.22 mV (Thermo);Init int: 2496.42;PressAdjust</t>
  </si>
  <si>
    <t>20:26:26</t>
  </si>
  <si>
    <t>NBS19_19_4g-0000.did</t>
  </si>
  <si>
    <t xml:space="preserve"> Acid: 70.1 (°C); LeakRate (µBar/Min):  234 ;  0 xtra drops; P no Acid :   41;Total CO2 :  837;# Exp.:  0;CO2 after Exp.:  837;RR skipped 13.5 (50%);VM1 aftr Trfr.:   44;PC (62156);Background: 2.37 mV,2.53 mV,3.27 mV (Thermo);Init int: 2333.42;PressAdjust</t>
  </si>
  <si>
    <t>19:55:41</t>
  </si>
  <si>
    <t>NBS19_18_4g-0000.did</t>
  </si>
  <si>
    <t xml:space="preserve"> Acid: 70.2 (°C); LeakRate (µBar/Min):  290 ;  0 xtra drops; P no Acid :   48;Total CO2 :  848;# Exp.:  0;CO2 after Exp.:  848;RR skipped 13.9 (50%);VM1 aftr Trfr.:   41;PC (62156);Background: 2.48 mV,2.64 mV,3.44 mV (Thermo);Init int: 2307.26;PressAdjust</t>
  </si>
  <si>
    <t>19:26:14</t>
  </si>
  <si>
    <t>NBS19_17_4g-0000.did</t>
  </si>
  <si>
    <t xml:space="preserve"> Acid: 70.1 (°C); LeakRate (µBar/Min):  241 ;  0 xtra drops; P no Acid :   37;Total CO2 :  912;# Exp.:  0;CO2 after Exp.:  912;RR skipped 14.7 (50%);VM1 aftr Trfr.:   44;PC (62156);Background: 2.47 mV,2.63 mV,3.41 mV (Thermo);Init int: 3173.56;PressAdjust</t>
  </si>
  <si>
    <t>18:54:15</t>
  </si>
  <si>
    <t>NBS19_16_4g-0000.did</t>
  </si>
  <si>
    <t xml:space="preserve"> Acid: 70.1 (°C); LeakRate (µBar/Min):  326 ;  0 xtra drops; P no Acid :   44;Total CO2 :  919;# Exp.:  0;CO2 after Exp.:  919;RR skipped 15.2 (50%);VM1 aftr Trfr.:   37;PC (62156);Background: 2.39 mV,2.55 mV,3.30 mV (Thermo);Init int: 3170.26;PressAdjust</t>
  </si>
  <si>
    <t>18:25:18</t>
  </si>
  <si>
    <t>NBS19_15_4g-0000.did</t>
  </si>
  <si>
    <t xml:space="preserve"> Acid: 70.2 (°C); LeakRate (µBar/Min):  262 ;  0 xtra drops; P no Acid :   51;Total CO2 :  837;# Exp.:  0;CO2 after Exp.:  837;RR skipped 15.5 (50%);VM1 aftr Trfr.:   44;PC (62156);Background: 2.55 mV,2.71 mV,3.53 mV (Thermo);Init int: 2154.14;PressAdjust</t>
  </si>
  <si>
    <t>17:55:30</t>
  </si>
  <si>
    <t>NBS19_14_4g-0000.did</t>
  </si>
  <si>
    <t xml:space="preserve"> Acid: 70.2 (°C); LeakRate (µBar/Min):  135 ;  0 xtra drops; P no Acid :   73;Total CO2 :  983;# Exp.:  0;CO2 after Exp.:  983;RR skipped 16.4 (50%);VM1 aftr Trfr.:   58;PC (62156);Background: 2.30 mV,2.46 mV,3.18 mV (Thermo);Init int: 3838.87;PressAdjust</t>
  </si>
  <si>
    <t>17:23:46</t>
  </si>
  <si>
    <t>NBS19_13_4g-0000.did</t>
  </si>
  <si>
    <t xml:space="preserve"> Acid: 70.3 (°C); LeakRate (µBar/Min):  241 ;  0 xtra drops; P no Acid :   62;Total CO2 :  820;# Exp.:  0;CO2 after Exp.:  820;RR pressure 8.2 (100%);RR pressure 16.9 (50%);VM1 aftr Trfr.:   51;PC (62156);Background: 2.31 mV,2.46 mV,3.19 mV (Thermo);Init</t>
  </si>
  <si>
    <t>16:50:29</t>
  </si>
  <si>
    <t>NBS19_12_4g-0000.did</t>
  </si>
  <si>
    <t xml:space="preserve"> Acid: 70.2 (°C); LeakRate (µBar/Min):  142 ;  0 xtra drops; P no Acid :   58;Total CO2 :  915;# Exp.:  0;CO2 after Exp.:  915;RR skipped 11.5 (50%);VM1 aftr Trfr.:   58;PC (62156);Background: 2.32 mV,2.48 mV,3.22 mV (Thermo);Init int: 2450.75;PressAdjust</t>
  </si>
  <si>
    <t>16:18:16</t>
  </si>
  <si>
    <t>NBS19_11_4g-0000.did</t>
  </si>
  <si>
    <t xml:space="preserve"> Acid: 70.4 (°C); LeakRate (µBar/Min):  326 ;  0 xtra drops; P no Acid :   76;Total CO2 :  940;# Exp.:  0;CO2 after Exp.:  944;RR skipped 11.8 (50%);VM1 aftr Trfr.:   58;PC (62156);Background: 2.35 mV,2.53 mV,3.28 mV (Thermo);Init int: 2397.68;PressAdjust</t>
  </si>
  <si>
    <t>15:50:23</t>
  </si>
  <si>
    <t>NBS19_10_4g-0000.did</t>
  </si>
  <si>
    <t xml:space="preserve"> Acid: 70.3 (°C); LeakRate (µBar/Min):  142 ;  0 xtra drops; P no Acid :   73;Total CO2 :  997;# Exp.:  0;CO2 after Exp.:  997;RR skipped 12.3 (50%);VM1 aftr Trfr.:   73;PC (62156);Background: 2.37 mV,2.53 mV,3.30 mV (Thermo);Init int: 2638.33;PressAdjust</t>
  </si>
  <si>
    <t>15:17:01</t>
  </si>
  <si>
    <t>NBS19_09_4g-0000.did</t>
  </si>
  <si>
    <t xml:space="preserve"> Acid: 70.3 (°C); LeakRate (µBar/Min):  290 ;  0 xtra drops; P no Acid :   62;Total CO2 :  979;# Exp.:  0;CO2 after Exp.:  979;RR skipped 12.7 (50%);VM1 aftr Trfr.:   62;PC (62156);Background: 2.38 mV,2.52 mV,3.30 mV (Thermo);Init int: 2661.73;PressAdjust</t>
  </si>
  <si>
    <t>14:44:04</t>
  </si>
  <si>
    <t>NBS19_08_4g-0000.did</t>
  </si>
  <si>
    <t xml:space="preserve"> Acid: 70.3 (°C); LeakRate (µBar/Min):  163 ;  0 xtra drops; P no Acid :   48;Total CO2 :  862;# Exp.:  0;CO2 after Exp.:  862;RR skipped 13.1 (50%);VM1 aftr Trfr.:   41;PC (62156);Background: 2.37 mV,2.52 mV,3.27 mV (Thermo);Init int: 2471.60;PressAdjust</t>
  </si>
  <si>
    <t>14:14:33</t>
  </si>
  <si>
    <t>NBS19_07_4g-0000.did</t>
  </si>
  <si>
    <t xml:space="preserve"> Acid: 70.2 (°C); LeakRate (µBar/Min):  290 ;  0 xtra drops; P no Acid :   51;Total CO2 :  919;# Exp.:  0;CO2 after Exp.:  919;RR skipped 13.5 (50%);VM1 aftr Trfr.:   48;PC (62156);Background: 2.35 mV,2.49 mV,3.26 mV (Thermo);Init int: 2784.99;PressAdjust</t>
  </si>
  <si>
    <t>13:43:47</t>
  </si>
  <si>
    <t>NBS19_06_4g-0000.did</t>
  </si>
  <si>
    <t xml:space="preserve"> Acid: 70.1 (°C); LeakRate (µBar/Min):  333 ;  0 xtra drops; P no Acid :   41;Total CO2 :  784;# Exp.:  0;CO2 after Exp.:  784;RR skipped 14.1 (50%);VM1 aftr Trfr.:   44;PC (62156);Background: 2.41 mV,2.57 mV,3.34 mV (Thermo);Init int: 2110.07;PressAdjust</t>
  </si>
  <si>
    <t>13:12:18</t>
  </si>
  <si>
    <t>NBS19_05_4g-0000.did</t>
  </si>
  <si>
    <t xml:space="preserve"> Acid: 70.2 (°C); LeakRate (µBar/Min):  262 ;  0 xtra drops; P no Acid :   44;Total CO2 :  884;# Exp.:  0;CO2 after Exp.:  884;RR skipped 14.4 (50%);VM1 aftr Trfr.:   37;PC (62156);Background: 2.46 mV,2.60 mV,3.40 mV (Thermo);Init int: 2774.08;PressAdjust</t>
  </si>
  <si>
    <t>12:42:35</t>
  </si>
  <si>
    <t>NBS19_04_4g-0000.did</t>
  </si>
  <si>
    <t xml:space="preserve"> Acid: 70.2 (°C); LeakRate (µBar/Min):  170 ;  0 xtra drops; P no Acid :   48;Total CO2 :  937;# Exp.:  0;CO2 after Exp.:  937;RR skipped 14.9 (50%);VM1 aftr Trfr.:   41;PC (62156);Background: 2.39 mV,2.57 mV,3.32 mV (Thermo);Init int: 3249.57;PressAdjust</t>
  </si>
  <si>
    <t>12:14:55</t>
  </si>
  <si>
    <t>NBS19_03_4g-0000.did</t>
  </si>
  <si>
    <t xml:space="preserve"> Acid: 70.2 (°C); LeakRate (µBar/Min):  269 ;  0 xtra drops; P no Acid :   44;Total CO2 :  891;# Exp.:  0;CO2 after Exp.:  891;RR skipped 15.4 (50%);VM1 aftr Trfr.:   44;PC (62156);Background: 2.38 mV,2.52 mV,3.25 mV (Thermo);Init int: 3023.61;PressAdjust</t>
  </si>
  <si>
    <t>11:40:31</t>
  </si>
  <si>
    <t>NBS19_02_4g-0000.did</t>
  </si>
  <si>
    <t xml:space="preserve"> Acid: 70.3 (°C); LeakRate (µBar/Min):  467 ;  0 xtra drops; P no Acid :   41;Total CO2 :  891;# Exp.:  0;CO2 after Exp.:  891;RR skipped 15.9 (50%);VM1 aftr Trfr.:   37;PC (62156);Background: 2.25 mV,2.40 mV,3.10 mV (Thermo);Init int: 3096.52;PressAdjust</t>
  </si>
  <si>
    <t>11:12:28</t>
  </si>
  <si>
    <t>NBS19_01_4g-0000.did</t>
  </si>
  <si>
    <t>Acid: 70.2 (°C);LeakRate (µBar/Min):  906 ; 0 xtra drops;P no Acid :   48;P gases:  112;Total CO2 :  922;# Exp.:  0;CO2 after Exp.:  922;RR pressure 8.3 (100%);RR pressure 16.6 (50%);VM1 aftr Trfr.:   41;PC (62146);Background: 1.87 mV,1.97 mV,2.53 mV (The</t>
  </si>
  <si>
    <t>mass (ug)</t>
  </si>
  <si>
    <t>Int</t>
  </si>
  <si>
    <t>06/19/15</t>
  </si>
  <si>
    <t>08:28:41</t>
  </si>
  <si>
    <t xml:space="preserve"> Acid: 70.2 (°C); LeakRate (µBar/Min):  184 ;  0 xtra drops; P no Acid :   44;Total CO2 :  887;# Exp.:  0;CO2 after Exp.:  887;RR skipped 10.0 (50%);VM1 aftr Trfr.:   41;PC (62156);Background: 2.60 mV,2.77 mV,3.59 mV (Thermo);Init int: 5471.53;PressAdjust</t>
  </si>
  <si>
    <t>07:55:38</t>
  </si>
  <si>
    <t xml:space="preserve"> Acid: 70.2 (°C); LeakRate (µBar/Min):  319 ;  0 xtra drops; P no Acid :   48;Total CO2 :  908;# Exp.:  0;CO2 after Exp.:  908;RR skipped 10.6 (50%);VM1 aftr Trfr.:   41;PC (62156);Background: 2.62 mV,2.81 mV,3.62 mV (Thermo);Init int: 5727.35;PressAdjust</t>
  </si>
  <si>
    <t>07:23:07</t>
  </si>
  <si>
    <t xml:space="preserve"> Acid: 70.1 (°C); LeakRate (µBar/Min):  149 ;  0 xtra drops; P no Acid :   41;Total CO2 :  884;# Exp.:  0;CO2 after Exp.:  884;RR skipped 11.2 (50%);VM1 aftr Trfr.:   41;PC (62156);Background: 2.55 mV,2.70 mV,3.51 mV (Thermo);Init int: 5433.69;PressAdjust</t>
  </si>
  <si>
    <t>06:52:08</t>
  </si>
  <si>
    <t xml:space="preserve"> Acid: 70.2 (°C); LeakRate (µBar/Min):  333 ;  0 xtra drops; P no Acid :   41;Total CO2 :  830;# Exp.:  0;CO2 after Exp.:  830;RR skipped 11.7 (50%);VM1 aftr Trfr.:   41;PC (62156);Background: 2.65 mV,2.84 mV,3.66 mV (Thermo);Init int: 4395.59;PressAdjust</t>
  </si>
  <si>
    <t>06:23:03</t>
  </si>
  <si>
    <t xml:space="preserve"> Acid: 70.3 (°C); LeakRate (µBar/Min):  142 ;  0 xtra drops; P no Acid :   48;Total CO2 :  876;# Exp.:  0;CO2 after Exp.:  876;RR skipped 12.3 (50%);VM1 aftr Trfr.:   41;PC (62156);Background: 2.63 mV,2.81 mV,3.64 mV (Thermo);Init int: 5296.64;PressAdjust</t>
  </si>
  <si>
    <t>05:48:14</t>
  </si>
  <si>
    <t xml:space="preserve"> Acid: 70.2 (°C); LeakRate (µBar/Min):  297 ;  0 xtra drops; P no Acid :   41;Total CO2 :  862;# Exp.:  0;CO2 after Exp.:  862;RR skipped 12.8 (50%);VM1 aftr Trfr.:   37;PC (62165);Background: 2.65 mV,2.83 mV,3.69 mV (Thermo);Init int: 5051.99;PressAdjust</t>
  </si>
  <si>
    <t>05:17:39</t>
  </si>
  <si>
    <t xml:space="preserve"> Acid: 70.1 (°C); LeakRate (µBar/Min):  163 ;  0 xtra drops; P no Acid :   48;Total CO2 :  876;# Exp.:  0;CO2 after Exp.:  876;RR skipped 13.5 (50%);VM1 aftr Trfr.:   41;PC (62156);Background: 2.68 mV,2.87 mV,3.72 mV (Thermo);Init int: 5144.08;PressAdjust</t>
  </si>
  <si>
    <t>04:44:44</t>
  </si>
  <si>
    <t xml:space="preserve"> Acid: 70.2 (°C); LeakRate (µBar/Min):  312 ;  0 xtra drops; P no Acid :   41;Total CO2 :  855;# Exp.:  0;CO2 after Exp.:  855;RR skipped 14.0 (50%);VM1 aftr Trfr.:   37;PC (62156);Background: 2.66 mV,2.84 mV,3.67 mV (Thermo);Init int: 4999.17;PressAdjust</t>
  </si>
  <si>
    <t>04:12:51</t>
  </si>
  <si>
    <t xml:space="preserve"> Acid: 70.2 (°C); LeakRate (µBar/Min):  163 ;  0 xtra drops; P no Acid :   41;Total CO2 :  841;# Exp.:  0;CO2 after Exp.:  841;RR skipped 14.5 (50%);VM1 aftr Trfr.:   37;PC (62156);Background: 2.76 mV,2.94 mV,3.83 mV (Thermo);Init int: 4682.65;PressAdjust</t>
  </si>
  <si>
    <t>03:43:30</t>
  </si>
  <si>
    <t xml:space="preserve"> Acid: 70.1 (°C); LeakRate (µBar/Min):  333 ;  0 xtra drops; P no Acid :   44;Total CO2 :  891;# Exp.:  0;CO2 after Exp.:  891;RR skipped 15.2 (50%);VM1 aftr Trfr.:   41;PC (62146);Background: 2.72 mV,2.91 mV,3.79 mV (Thermo);Init int: 5607.12;PressAdjust</t>
  </si>
  <si>
    <t>03:09:50</t>
  </si>
  <si>
    <t xml:space="preserve"> Acid: 70.2 (°C); LeakRate (µBar/Min):  156 ;  0 xtra drops; P no Acid :   48;Total CO2 :  887;# Exp.:  0;CO2 after Exp.:  887;RR skipped 15.6 (50%);VM1 aftr Trfr.:   41;PC (62156);Background: 2.79 mV,2.98 mV,3.87 mV (Thermo);Init int: 5281.77;PressAdjust</t>
  </si>
  <si>
    <t>02:36:45</t>
  </si>
  <si>
    <t xml:space="preserve"> Acid: 70.1 (°C); LeakRate (µBar/Min):  319 ;  0 xtra drops; P no Acid :   41;Total CO2 :  926;# Exp.:  0;CO2 after Exp.:  926;RR pressure 8.2 (100%);RR pressure 16.8 (50%);VM1 aftr Trfr.:   41;PC (62156);Background: 2.57 mV,2.74 mV,3.54 mV (Thermo);Init</t>
  </si>
  <si>
    <t>02:03:11</t>
  </si>
  <si>
    <t xml:space="preserve"> Acid: 70.1 (°C); LeakRate (µBar/Min):  149 ;  0 xtra drops; P no Acid :   41;Total CO2 :  901;# Exp.:  0;CO2 after Exp.:  901;RR skipped 11.0 (50%);VM1 aftr Trfr.:   44;PC (62156);Background: 2.45 mV,2.61 mV,3.39 mV (Thermo);Init int: 5950.19;PressAdjust</t>
  </si>
  <si>
    <t>01:30:16</t>
  </si>
  <si>
    <t xml:space="preserve"> Acid: 70.1 (°C); LeakRate (µBar/Min):  319 ;  0 xtra drops; P no Acid :   48;Total CO2 :  834;# Exp.:  0;CO2 after Exp.:  834;RR skipped 11.5 (50%);VM1 aftr Trfr.:   37;PC (62156);Background: 2.55 mV,2.72 mV,3.51 mV (Thermo);Init int: 4592.69;PressAdjust</t>
  </si>
  <si>
    <t>00:56:48</t>
  </si>
  <si>
    <t xml:space="preserve"> Acid: 70.1 (°C); LeakRate (µBar/Min):  333 ;  0 xtra drops; P no Acid :   41;Total CO2 :  880;# Exp.:  0;CO2 after Exp.:  880;RR skipped 12.1 (50%);VM1 aftr Trfr.:   41;PC (62156);Background: 2.41 mV,2.58 mV,3.33 mV (Thermo);Init int: 5738.34;PressAdjust</t>
  </si>
  <si>
    <t>00:26:22</t>
  </si>
  <si>
    <t xml:space="preserve"> Acid: 70.1 (°C); LeakRate (µBar/Min):  290 ;  0 xtra drops; P no Acid :   41;Total CO2 :  848;# Exp.:  0;CO2 after Exp.:  848;RR skipped 13.0 (50%);VM1 aftr Trfr.:   37;PC (62156);Background: 2.14 mV,2.29 mV,2.96 mV (Thermo);Init int: 4905.99;PressAdjust</t>
  </si>
  <si>
    <t>06/18/15</t>
  </si>
  <si>
    <t>23:22:57</t>
  </si>
  <si>
    <t xml:space="preserve"> Acid: 70.1 (°C); LeakRate (µBar/Min):  305 ;  0 xtra drops; P no Acid :   41;Total CO2 :  841;# Exp.:  0;CO2 after Exp.:  841;RR skipped 13.5 (50%);VM1 aftr Trfr.:   37;PC (62156);Background: 2.51 mV,2.68 mV,3.49 mV (Thermo);Init int: 4938.75;PressAdjust</t>
  </si>
  <si>
    <t>22:52:09</t>
  </si>
  <si>
    <t xml:space="preserve"> Acid: 70.1 (°C); LeakRate (µBar/Min):  127 ;  0 xtra drops; P no Acid :   55;Total CO2 :  816;# Exp.:  0;CO2 after Exp.:  816;RR skipped 14.0 (50%);VM1 aftr Trfr.:   37;PC (62156);Background: 2.60 mV,2.77 mV,3.62 mV (Thermo);Init int: 4271.91;PressAdjust</t>
  </si>
  <si>
    <t>22:19:08</t>
  </si>
  <si>
    <t xml:space="preserve"> Acid: 70.2 (°C); LeakRate (µBar/Min):  305 ;  0 xtra drops; P no Acid :   41;Total CO2 :  855;# Exp.:  0;CO2 after Exp.:  855;RR skipped 14.6 (50%);VM1 aftr Trfr.:   44;PC (62165);Background: 2.63 mV,2.80 mV,3.66 mV (Thermo);Init int: 4987.86;PressAdjust</t>
  </si>
  <si>
    <t>21:46:52</t>
  </si>
  <si>
    <t xml:space="preserve"> Acid: 70.2 (°C); LeakRate (µBar/Min):  142 ;  0 xtra drops; P no Acid :   48;Total CO2 :  912;# Exp.:  0;CO2 after Exp.:  912;RR skipped 15.2 (50%);VM1 aftr Trfr.:   37;PC (62156);Background: 2.56 mV,2.73 mV,3.57 mV (Thermo);Init int: 5986.24;PressAdjust</t>
  </si>
  <si>
    <t>21:14:03</t>
  </si>
  <si>
    <t xml:space="preserve"> Acid: 70.1 (°C); LeakRate (µBar/Min):  305 ;  0 xtra drops; P no Acid :   41;Total CO2 :  859;# Exp.:  0;CO2 after Exp.:  859;RR skipped 15.9 (50%);VM1 aftr Trfr.:   37;PC (62156);Background: 2.47 mV,2.62 mV,3.42 mV (Thermo);Init int: 5115.73;PressAdjust</t>
  </si>
  <si>
    <t>20:42:37</t>
  </si>
  <si>
    <t xml:space="preserve"> Acid: 70.1 (°C); LeakRate (µBar/Min):  120 ;  0 xtra drops; P no Acid :   44;Total CO2 :  891;# Exp.:  0;CO2 after Exp.:  891;RR pressure 8.4 (100%);RR pressure 16.8 (50%);VM1 aftr Trfr.:   44;PC (62156);Background: 2.05 mV,2.17 mV,2.79 mV (Thermo);Init</t>
  </si>
  <si>
    <t>19:35:59</t>
  </si>
  <si>
    <t xml:space="preserve"> Acid: 70.0 (°C); LeakRate (µBar/Min):  163 ;  0 xtra drops; P no Acid :   41;Total CO2 :  845;# Exp.:  0;CO2 after Exp.:  845;RR skipped 12.3 (50%);VM1 aftr Trfr.:   41;PC (62146);Background: 2.36 mV,2.51 mV,3.27 mV (Thermo);Init int: 4712.44;PressAdjust</t>
  </si>
  <si>
    <t>19:05:18</t>
  </si>
  <si>
    <t xml:space="preserve"> Acid: 70.1 (°C); LeakRate (µBar/Min):  269 ;  0 xtra drops; P no Acid :   41;Total CO2 :  791;# Exp.:  0;CO2 after Exp.:  791;RR skipped 12.8 (50%);VM1 aftr Trfr.:   41;PC (62156);Background: 2.44 mV,2.61 mV,3.39 mV (Thermo);Init int: 4041.18;PressAdjust</t>
  </si>
  <si>
    <t>18:32:19</t>
  </si>
  <si>
    <t xml:space="preserve"> Acid: 70.0 (°C); LeakRate (µBar/Min):  135 ;  0 xtra drops; P no Acid :   41;Total CO2 :  869;# Exp.:  0;CO2 after Exp.:  869;RR skipped 13.3 (50%);VM1 aftr Trfr.:   41;PC (62156);Background: 2.39 mV,2.55 mV,3.32 mV (Thermo);Init int: 5191.09;PressAdjust</t>
  </si>
  <si>
    <t>18:01:46</t>
  </si>
  <si>
    <t xml:space="preserve"> Acid: 70.2 (°C); LeakRate (µBar/Min):  269 ;  0 xtra drops; P no Acid :   41;Total CO2 :  820;# Exp.:  0;CO2 after Exp.:  820;RR skipped 13.8 (50%);VM1 aftr Trfr.:   41;PC (62156);Background: 2.41 mV,2.57 mV,3.36 mV (Thermo);Init int: 4405.14;PressAdjust</t>
  </si>
  <si>
    <t>17:27:46</t>
  </si>
  <si>
    <t xml:space="preserve"> Acid: 70.0 (°C); LeakRate (µBar/Min):  142 ;  0 xtra drops; P no Acid :   41;Total CO2 :  827;# Exp.:  0;CO2 after Exp.:  830;RR skipped 14.4 (50%);VM1 aftr Trfr.:   37;PC (62156);Background: 2.49 mV,2.65 mV,3.50 mV (Thermo);Init int: 4494.44;PressAdjust</t>
  </si>
  <si>
    <t>16:57:12</t>
  </si>
  <si>
    <t xml:space="preserve"> Acid: 70.0 (°C); LeakRate (µBar/Min):  290 ;  0 xtra drops; P no Acid :   37;Total CO2 :  869;# Exp.:  0;CO2 after Exp.:  869;RR skipped 14.9 (50%);VM1 aftr Trfr.:   37;PC (62156);Background: 2.56 mV,2.73 mV,3.58 mV (Thermo);Init int: 5411.85;PressAdjust</t>
  </si>
  <si>
    <t>16:24:28</t>
  </si>
  <si>
    <t xml:space="preserve"> Acid: 70.1 (°C); LeakRate (µBar/Min):  198 ;  0 xtra drops; P no Acid :   37;Total CO2 :  958;# Exp.:  0;CO2 after Exp.:  958;RR skipped 15.8 (50%);VM1 aftr Trfr.:   37;PC (62156);Background: 2.42 mV,2.59 mV,3.37 mV (Thermo);Init int: 7484.18;PressAdjust</t>
  </si>
  <si>
    <t>15:54:21</t>
  </si>
  <si>
    <t>Acid: 70.1 (°C);LeakRate (µBar/Min):  666 ; 0 xtra drops;P no Acid :   27;P gases:   69;Total CO2 :  869;# Exp.:  0;CO2 after Exp.:  869;RR pressure 8.2 (100%);RR pressure 17.0 (50%);VM1 aftr Trfr.:   34;PC (62156);Background: 2.26 mV,2.41 mV,3.14 mV (The</t>
  </si>
  <si>
    <t>14:55:22</t>
  </si>
  <si>
    <t xml:space="preserve"> Acid: 70.0 (°C); LeakRate (µBar/Min):  198 ;  0 xtra drops; P no Acid :   27;Total CO2 :  912;# Exp.:  0;CO2 after Exp.:  912;RR skipped 16.4 (50%);VM1 aftr Trfr.:   30;PC (62156);Background: 1.68 mV,1.78 mV,2.32 mV (Thermo);Init int: 7053.81;PressAdjust</t>
  </si>
  <si>
    <t>10:46:45</t>
  </si>
  <si>
    <t>Acid: 70.2 (°C);LeakRate (µBar/Min):  772 ; 0 xtra drops;P no Acid :   20;P gases:   58;Total CO2 :  795;# Exp.:  0;CO2 after Exp.:  795;RR pressure 8.2 (100%);RR pressure 17.0 (50%);VM1 aftr Trfr.:   62;PC (62156);Background: 2.79 mV,2.98 mV,3.84 mV (The</t>
  </si>
  <si>
    <t>11:19:26</t>
  </si>
  <si>
    <t xml:space="preserve"> Acid: 70.2 (°C); LeakRate (µBar/Min):  425 ;  0 xtra drops; P no Acid :   48;Total CO2 :  791;# Exp.:  0;CO2 after Exp.:  791;RR skipped 15.6 (50%);VM1 aftr Trfr.:   27;PC (62156);Background: 3.07 mV,3.30 mV,4.28 mV (Thermo);Init int: 7581.97;PressAdjust</t>
  </si>
  <si>
    <t>11:50:56</t>
  </si>
  <si>
    <t xml:space="preserve"> Acid: 70.2 (°C); LeakRate (µBar/Min):  297 ;  0 xtra drops; P no Acid :   27;Total CO2 :  937;# Exp.:  0;CO2 after Exp.:  937;RR skipped 15.0 (50%);VM1 aftr Trfr.:   37;PC (62156);Background: 2.98 mV,3.18 mV,4.13 mV (Thermo);Init int: 9678.52;PressAdjust</t>
  </si>
  <si>
    <t>12:24:28</t>
  </si>
  <si>
    <t xml:space="preserve"> Acid: 70.3 (°C); LeakRate (µBar/Min):  149 ;  0 xtra drops; P no Acid :   48;Total CO2 :  880;# Exp.:  0;CO2 after Exp.:  880;RR skipped 14.1 (50%);VM1 aftr Trfr.:   41;PC (62156);Background: 3.09 mV,3.30 mV,4.31 mV (Thermo);Init int: 7884.51;PressAdjust</t>
  </si>
  <si>
    <t>12:57:32</t>
  </si>
  <si>
    <t xml:space="preserve"> Acid: 70.2 (°C); LeakRate (µBar/Min):  312 ;  0 xtra drops; P no Acid :   48;Total CO2 :  912;# Exp.:  0;CO2 after Exp.:  912;RR skipped 13.5 (50%);VM1 aftr Trfr.:   44;PC (62165);Background: 2.94 mV,3.14 mV,4.11 mV (Thermo);Init int: 8791.18;PressAdjust</t>
  </si>
  <si>
    <t>13:27:14</t>
  </si>
  <si>
    <t xml:space="preserve"> Acid: 70.1 (°C); LeakRate (µBar/Min):  156 ;  0 xtra drops; P no Acid :   37;Total CO2 :  816;# Exp.:  0;CO2 after Exp.:  816;RR skipped 12.9 (50%);VM1 aftr Trfr.:   23;PC (62146);Background: 2.97 mV,3.18 mV,4.12 mV (Thermo);Init int: 8101.47;PressAdjust</t>
  </si>
  <si>
    <t>09:41:43</t>
  </si>
  <si>
    <t>Acid: 70.2 (°C);LeakRate (µBar/Min):  375 ; 0 xtra drops;P no Acid :   20;P gases:   66;Total CO2 :  802;# Exp.:  0;CO2 after Exp.:  802;RR skipped 8.8 (50%);VM1 aftr Trfr.:   27;PC (62156);Background: 2.73 mV,2.89 mV,3.78 mV (Thermo);Init int: 5202.53;Pr</t>
  </si>
  <si>
    <t>avg</t>
  </si>
  <si>
    <t>mass</t>
  </si>
  <si>
    <t>06/22/15</t>
  </si>
  <si>
    <t>15:44:29</t>
  </si>
  <si>
    <t>NBS19_10_cv_2g-0000.did</t>
  </si>
  <si>
    <t xml:space="preserve"> Acid: 70.1 (°C); LeakRate (µBar/Min):  149 ;  0 xtra drops; P no Acid :   58;Total CO2 :  303;# Exp.:  0;CO2 after Exp.:  303;RR pressure 8.2 (100%);RR pressure 16.8 (50%);VM1 aftr Trfr.:   44;PC (62156);Background: 2.10 mV,2.22 mV,2.90 mV (Thermo);Init</t>
  </si>
  <si>
    <t>15:10:11</t>
  </si>
  <si>
    <t>NBS19_09_cv_2g-0000.did</t>
  </si>
  <si>
    <t xml:space="preserve"> Acid: 70.2 (°C); LeakRate (µBar/Min):  290 ;  0 xtra drops; P no Acid :   87;Total CO2 :  600;# Exp.:  0;CO2 after Exp.:  600;RR skipped 13.8 (50%);VM1 aftr Trfr.:   44;PC (62156);Background: 2.02 mV,2.15 mV,2.77 mV (Thermo);Init int: 2879.59;PressAdjust</t>
  </si>
  <si>
    <t>14:37:33</t>
  </si>
  <si>
    <t>NBS19_08_cv_1g-0000.did</t>
  </si>
  <si>
    <t xml:space="preserve"> Acid: 70.1 (°C); LeakRate (µBar/Min):  113 ;  0 xtra drops; P no Acid :   58;Total CO2 :  398;# Exp.:  0;CO2 after Exp.:  398;RR skipped 14.1 (50%);VM1 aftr Trfr.:   48;PC (62156);Background: 2.03 mV,2.16 mV,2.79 mV (Thermo);Init int: 1270.25;PressAdjust</t>
  </si>
  <si>
    <t>14:04:37</t>
  </si>
  <si>
    <t>NBS19_07_cv_1g-0000.did</t>
  </si>
  <si>
    <t xml:space="preserve"> Acid: 70.1 (°C); LeakRate (µBar/Min):  283 ;  0 xtra drops; P no Acid :   69;Total CO2 :  391;# Exp.:  0;CO2 after Exp.:  391;RR skipped 14.5 (50%);VM1 aftr Trfr.:   44;PC (62156);Background: 2.10 mV,2.24 mV,2.88 mV (Thermo);Init int: 1277.69;PressAdjust</t>
  </si>
  <si>
    <t>13:32:35</t>
  </si>
  <si>
    <t>NBS19_06_cv_1g-0000.did</t>
  </si>
  <si>
    <t xml:space="preserve"> Acid: 70.2 (°C); LeakRate (µBar/Min):  135 ;  0 xtra drops; P no Acid :   48;Total CO2 :  420;# Exp.:  0;CO2 after Exp.:  420;RR skipped 14.7 (50%);VM1 aftr Trfr.:   48;PC (62156);Background: 2.17 mV,2.31 mV,3.01 mV (Thermo);Init int: 1432.99;PressAdjust</t>
  </si>
  <si>
    <t>13:01:02</t>
  </si>
  <si>
    <t>NBS19_05_cv_1g-0000.did</t>
  </si>
  <si>
    <t xml:space="preserve"> Acid: 70.2 (°C); LeakRate (µBar/Min):  262 ;  0 xtra drops; P no Acid :   55;Total CO2 :  515;# Exp.:  0;CO2 after Exp.:  519;RR skipped 14.9 (50%);VM1 aftr Trfr.:   48;PC (62156);Background: 2.19 mV,2.31 mV,3.00 mV (Thermo);Init int: 2049.86;PressAdjust</t>
  </si>
  <si>
    <t>12:26:52</t>
  </si>
  <si>
    <t>NBS19_04_cv_1g-0000.did</t>
  </si>
  <si>
    <t xml:space="preserve"> Acid: 70.2 (°C); LeakRate (µBar/Min):  156 ;  0 xtra drops; P no Acid :   41;Total CO2 :  370;# Exp.:  0;CO2 after Exp.:  370;RR skipped 15.3 (50%);VM1 aftr Trfr.:   41;PC (62156);Background: 2.33 mV,2.47 mV,3.22 mV (Thermo);Init int: 1176.16;PressAdjust</t>
  </si>
  <si>
    <t>11:54:55</t>
  </si>
  <si>
    <t>NBS19_03_cv_1g-0000.did</t>
  </si>
  <si>
    <t xml:space="preserve"> Acid: 70.2 (°C); LeakRate (µBar/Min):  326 ;  0 xtra drops; P no Acid :  161;Total CO2 :  413;# Exp.:  0;CO2 after Exp.:  413;RR skipped 15.0 (50%);VM1 aftr Trfr.:   41;PC (62156);Background: 2.76 mV,2.94 mV,3.85 mV (Thermo);Init int: 1490.40;PressAdjust</t>
  </si>
  <si>
    <t>11:22:44</t>
  </si>
  <si>
    <t>NBS19_02_cv_4g-0000.did</t>
  </si>
  <si>
    <t xml:space="preserve"> Acid: 70.1 (°C); LeakRate (µBar/Min):  531 ;  0 xtra drops; P no Acid :   27;Total CO2 :  887;# Exp.:  0;CO2 after Exp.:  887;RR skipped 15.9 (50%);VM1 aftr Trfr.:   30;PC (62156);Background: 2.32 mV,2.45 mV,3.22 mV (Thermo);Init int: 10181.73;PressAdjus</t>
  </si>
  <si>
    <t>10:51:05</t>
  </si>
  <si>
    <t>NBS19_01_cv_4g-0000.did</t>
  </si>
  <si>
    <t>Acid: 70.2 (°C);LeakRate (µBar/Min):  744 ; 0 xtra drops;P no Acid :   41;P gases:   97;Total CO2 :  738;# Exp.:  0;CO2 after Exp.:  738;RR pressure 8.2 (100%);RR pressure 16.7 (50%);VM1 aftr Trfr.:   30;PC (62156);Background: 1.85 mV,1.96 mV,2.56 mV (The</t>
  </si>
  <si>
    <t>06/23/15</t>
  </si>
  <si>
    <t>14:07:49</t>
  </si>
  <si>
    <t>NBS19_21_cv_4g-0000.did</t>
  </si>
  <si>
    <t xml:space="preserve"> Acid: 70.1 (°C); LeakRate (µBar/Min):  418 ;  0 xtra drops; P no Acid :  607;Total CO2 :  866;# Exp.:  0;CO2 after Exp.:  866;RR skipped 12.5 (50%);VM1 aftr Trfr.:   41;PC (62156);Background: 2.46 mV,2.63 mV,3.39 mV (Thermo);Init int: 7929.81;PressAdjust</t>
  </si>
  <si>
    <t>13:29:15</t>
  </si>
  <si>
    <t>NBS19_20_cv_3g-0000.did</t>
  </si>
  <si>
    <t xml:space="preserve"> Acid: 70.1 (°C); LeakRate (µBar/Min):  170 ;  0 xtra drops; P no Acid :   41;Total CO2 :  728;# Exp.:  0;CO2 after Exp.:  728;RR skipped 13.2 (50%);VM1 aftr Trfr.:   34;PC (62156);Background: 2.50 mV,2.65 mV,3.45 mV (Thermo);Init int: 4989.08;PressAdjust</t>
  </si>
  <si>
    <t>12:57:56</t>
  </si>
  <si>
    <t>NBS19_19_cv_3g-0000.did</t>
  </si>
  <si>
    <t xml:space="preserve"> Acid: 70.1 (°C); LeakRate (µBar/Min):  276 ;  0 xtra drops; P no Acid :  168;Total CO2 :  827;# Exp.:  0;CO2 after Exp.:  827;RR skipped 13.6 (50%);VM1 aftr Trfr.:   44;PC (62156);Background: 2.39 mV,2.55 mV,3.30 mV (Thermo);Init int: 6661.12;PressAdjust</t>
  </si>
  <si>
    <t>12:24:18</t>
  </si>
  <si>
    <t>NBS19_18_cv_3g-0000.did</t>
  </si>
  <si>
    <t xml:space="preserve"> Acid: 70.1 (°C); LeakRate (µBar/Min):  368 ;  0 xtra drops; P no Acid :   37;Total CO2 :  770;# Exp.:  0;CO2 after Exp.:  770;RR skipped 14.1 (50%);VM1 aftr Trfr.:  228;PC (62156);Background: 2.37 mV,2.53 mV,3.26 mV (Thermo);Init int: 5039.40;PressAdjust</t>
  </si>
  <si>
    <t>11:50:07</t>
  </si>
  <si>
    <t>NBS19_17_cv_3g-0000.did</t>
  </si>
  <si>
    <t xml:space="preserve"> Acid: 70.1 (°C); LeakRate (µBar/Min):  326 ;  0 xtra drops; P no Acid :  126;Total CO2 :  760;# Exp.:  0;CO2 after Exp.:  760;RR skipped 15.2 (50%);VM1 aftr Trfr.:   37;PC (62156);Background: 2.11 mV,2.24 mV,2.91 mV (Thermo);Init int: 5765.54;PressAdjust</t>
  </si>
  <si>
    <t>10:45:03</t>
  </si>
  <si>
    <t>NBS19_15_cv_3g-0000.did</t>
  </si>
  <si>
    <t xml:space="preserve"> Acid: 70.0 (°C); LeakRate (µBar/Min):  368 ;  0 xtra drops; P no Acid :  115;Total CO2 :  777;# Exp.:  0;CO2 after Exp.:  777;RR skipped 15.9 (50%);VM1 aftr Trfr.:   37;PC (62156);Background: 2.19 mV,2.33 mV,3.03 mV (Thermo);Init int: 5861.06;PressAdjust</t>
  </si>
  <si>
    <t>10:13:07</t>
  </si>
  <si>
    <t>NBS19_14_cv_2g-0000.did</t>
  </si>
  <si>
    <t xml:space="preserve"> Acid: 70.1 (°C); LeakRate (µBar/Min):  220 ;  0 xtra drops; P no Acid :   41;Total CO2 :  671;# Exp.:  0;CO2 after Exp.:  671;RR skipped 16.4 (50%);VM1 aftr Trfr.:   44;PC (62156);Background: 2.02 mV,2.13 mV,2.77 mV (Thermo);Init int: 4076.51;PressAdjust</t>
  </si>
  <si>
    <t>09:41:23</t>
  </si>
  <si>
    <t>NBS19_13_cv_2g-0000.did</t>
  </si>
  <si>
    <t>Acid: 70.0 (°C);LeakRate (µBar/Min):  850 ; 0 xtra drops;P no Acid :  122;P gases:  600;Total CO2 :  604;# Exp.:  0;CO2 after Exp.:  604;RR pressure 8.2 (100%);RR pressure 16.7 (50%);VM1 aftr Trfr.:   37;PC (62156);Background: 1.67 mV,1.76 mV,2.31 mV (The</t>
  </si>
  <si>
    <t>06/25/15</t>
  </si>
  <si>
    <t>17:20:54</t>
  </si>
  <si>
    <t>NBS19_41_cv_4g-0002.did</t>
  </si>
  <si>
    <t xml:space="preserve"> Acid: 70.2 (°C); LeakRate (µBar/Min):  375 ;  1 xtra drops; P no Acid :   73;Total CO2 :  908;# Exp.:  0;CO2 after Exp.:  908;RR skipped 13.8 (50%);VM1 aftr Trfr.:   48;PC (62156);Background: 2.66 mV,2.84 mV,3.68 mV (Thermo);Init int: 7922.14;PressAdjust</t>
  </si>
  <si>
    <t>16:50:24</t>
  </si>
  <si>
    <t>NBS19_40_cv_4g-0002.did</t>
  </si>
  <si>
    <t xml:space="preserve"> Acid: 70.2 (°C); LeakRate (µBar/Min):  198 ;  0 xtra drops; P no Acid :   51;Total CO2 :  855;# Exp.:  0;CO2 after Exp.:  855;RR skipped 14.7 (50%);VM1 aftr Trfr.:   44;PC (62156);Background: 2.49 mV,2.65 mV,3.44 mV (Thermo);Init int: 6557.36;PressAdjust</t>
  </si>
  <si>
    <t>16:18:56</t>
  </si>
  <si>
    <t>NBS19_39_cv_4g-0002.did</t>
  </si>
  <si>
    <t xml:space="preserve"> Acid: 70.1 (°C); LeakRate (µBar/Min):  418 ;  1 xtra drops; P no Acid :   97;Total CO2 :  731;# Exp.:  0;CO2 after Exp.:  728;RR skipped 14.8 (50%);VM1 aftr Trfr.:  384;PC (62156);Background: 2.81 mV,3.00 mV,3.89 mV (Thermo);Init int: 2815.46;PressAdjust</t>
  </si>
  <si>
    <t>15:42:37</t>
  </si>
  <si>
    <t>NBS19_38_cv_6g-0002.did</t>
  </si>
  <si>
    <t xml:space="preserve"> Acid: 70.1 (°C); LeakRate (µBar/Min):  177 ;  0 xtra drops; P no Acid :   48;Total CO2 : 1068;# Exp.:  1;CO2 after Exp.:  837;RR skipped 15.3 (50%);VM1 aftr Trfr.:   48;PC (62156);Background: 3.12 mV,3.32 mV,4.32 mV (Thermo);Init int: 6225.55;PressAdjust</t>
  </si>
  <si>
    <t>15:10:48</t>
  </si>
  <si>
    <t>NBS19_37_cv_6g-0002.did</t>
  </si>
  <si>
    <t xml:space="preserve"> Acid: 70.1 (°C); LeakRate (µBar/Min):  297 ;  1 xtra drops; P no Acid :   76;Total CO2 :  965;# Exp.:  0;CO2 after Exp.:  965;RR pressure 8.2 (100%);RR pressure 16.8 (50%);VM1 aftr Trfr.:   41;PC (62156);Background: 2.75 mV,2.91 mV,3.79 mV (Thermo);Init</t>
  </si>
  <si>
    <t>14:35:05</t>
  </si>
  <si>
    <t>NBS19_36_cv_6g-0002.did</t>
  </si>
  <si>
    <t xml:space="preserve"> Acid: 70.1 (°C); LeakRate (µBar/Min):  241 ;  0 xtra drops; P no Acid :   44;Total CO2 : 1022;# Exp.:  1;CO2 after Exp.:  802;RR skipped 13.0 (50%);VM1 aftr Trfr.:   30;PC (62156);Background: 3.06 mV,3.26 mV,4.22 mV (Thermo);Init int: 6664.39;PressAdjust</t>
  </si>
  <si>
    <t>14:02:22</t>
  </si>
  <si>
    <t>NBS19_35_cv_6g-0002.did</t>
  </si>
  <si>
    <t xml:space="preserve"> Acid: 70.1 (°C); LeakRate (µBar/Min):  283 ;  1 xtra drops; P no Acid :   44;Total CO2 :  979;# Exp.:  0;CO2 after Exp.:  979;RR skipped 13.9 (50%);VM1 aftr Trfr.:   34;PC (62146);Background: 2.97 mV,3.18 mV,4.14 mV (Thermo);Init int: 12256.30;PressAdjus</t>
  </si>
  <si>
    <t>13:29:18</t>
  </si>
  <si>
    <t>NBS19_34_cv_6g-0002.did</t>
  </si>
  <si>
    <t xml:space="preserve"> Acid: 70.1 (°C); LeakRate (µBar/Min):  382 ;  0 xtra drops; P no Acid :   34;Total CO2 :  947;# Exp.:  0;CO2 after Exp.:  944;RR skipped 14.9 (50%);VM1 aftr Trfr.:  214;PC (62156);Background: 2.67 mV,2.83 mV,3.68 mV (Thermo);Init int: 10563.77;PressAdjus</t>
  </si>
  <si>
    <t>12:56:16</t>
  </si>
  <si>
    <t>NBS19_33_cv_6g-0002.did</t>
  </si>
  <si>
    <t xml:space="preserve"> Acid: 70.2 (°C); LeakRate (µBar/Min):  262 ;  1 xtra drops; P no Acid :   41;Total CO2 : 1004;# Exp.:  1;CO2 after Exp.:  763;RR skipped 15.3 (50%);VM1 aftr Trfr.:   37;PC (62146);Background: 2.97 mV,3.18 mV,4.12 mV (Thermo);Init int: 5387.50;PressAdjust</t>
  </si>
  <si>
    <t>12:25:01</t>
  </si>
  <si>
    <t>NBS19_32_cv_5g-0002.did</t>
  </si>
  <si>
    <t xml:space="preserve"> Acid: 70.1 (°C); LeakRate (µBar/Min):  156 ;  0 xtra drops; P no Acid :   37;Total CO2 :  986;# Exp.:  0;CO2 after Exp.:  986;RR pressure 8.2 (100%);RR pressure 16.7 (50%);VM1 aftr Trfr.:   41;PC (62156);Background: 2.68 mV,2.88 mV,3.70 mV (Thermo);Init</t>
  </si>
  <si>
    <t>11:46:44</t>
  </si>
  <si>
    <t>NBS19_31_cv_5g-0002.did</t>
  </si>
  <si>
    <t xml:space="preserve"> Acid: 70.2 (°C); LeakRate (µBar/Min):  283 ;  1 xtra drops; P no Acid :   41;Total CO2 :  915;# Exp.:  0;CO2 after Exp.:  915;RR skipped 14.0 (50%);VM1 aftr Trfr.:   30;PC (62156);Background: 2.61 mV,2.78 mV,3.58 mV (Thermo);Init int: 10347.17;PressAdjus</t>
  </si>
  <si>
    <t>11:15:06</t>
  </si>
  <si>
    <t>NBS19_30_cv_5g-0002.did</t>
  </si>
  <si>
    <t xml:space="preserve"> Acid: 70.2 (°C); LeakRate (µBar/Min):  666 ;  0 xtra drops; P no Acid :   41;Total CO2 :  954;# Exp.:  0;CO2 after Exp.:  954;RR skipped 15.2 (50%);VM1 aftr Trfr.:   37;PC (62156);Background: 2.11 mV,2.25 mV,2.89 mV (Thermo);Init int: 11198.43;PressAdjus</t>
  </si>
  <si>
    <t>10:11:54</t>
  </si>
  <si>
    <t>NBS19_28_cv_5g-0002.did</t>
  </si>
  <si>
    <t>Acid: 70.7 (°C);LeakRate (µBar/Min):  205 ; 0 xtra drops;P no Acid :   34;P gases:   94;Total CO2 :  926;# Exp.:  0;CO2 after Exp.:  926;RR skipped 16.4 (50%);VM1 aftr Trfr.:   27;PC (62156);Background: 1.98 mV,2.09 mV,2.70 mV (Thermo);Init int: 12166.35;</t>
  </si>
  <si>
    <t>06/24/15</t>
  </si>
  <si>
    <t>15:36:30</t>
  </si>
  <si>
    <t>NBS19_25_cv_4g-0002.did</t>
  </si>
  <si>
    <t>Acid: 70.0 (°C);LeakRate (µBar/Min):  864 ; 0 xtra drops;P no Acid :   76;P gases:  405;Total CO2 :  830;# Exp.:  0;CO2 after Exp.:  830;RR skipped 12.0 (50%);VM1 aftr Trfr.:   34;PC (62156);Background: 2.69 mV,2.86 mV,3.74 mV (Thermo);Init int: 7196.47;P</t>
  </si>
  <si>
    <t>13:53:02</t>
  </si>
  <si>
    <t>NBS19_24_cv_4g-0001.did</t>
  </si>
  <si>
    <t>Acid: 70.1 (°C);LeakRate (µBar/Min):  722 ; 0 xtra drops;P no Acid :   27;P gases:   76;Total CO2 :  788;# Exp.:  0;CO2 after Exp.:  788;RR skipped 13.8 (50%);VM1 aftr Trfr.:   27;PC (62156);Background: 2.30 mV,2.44 mV,3.14 mV (Thermo);Init int: 6617.76;P</t>
  </si>
  <si>
    <t>12:37:26</t>
  </si>
  <si>
    <t>NBS19_43_cv_4g-0001.did</t>
  </si>
  <si>
    <t xml:space="preserve"> Acid: 70.1 (°C); LeakRate (µBar/Min):  602 ;  0 xtra drops; P no Acid :  214;Total CO2 :  834;# Exp.:  0;CO2 after Exp.:  834;RR skipped 14.4 (50%);VM1 aftr Trfr.:   97;PC (62146);Background: 2.50 mV,2.66 mV,3.46 mV (Thermo);Init int: 8394.16;PressAdjust</t>
  </si>
  <si>
    <t>12:04:53</t>
  </si>
  <si>
    <t>NBS19_42_cv_4g-0001.did</t>
  </si>
  <si>
    <t xml:space="preserve"> Acid: 70.1 (°C); LeakRate (µBar/Min):  276 ;  0 xtra drops; P no Acid :   34;Total CO2 :  752;# Exp.:  0;CO2 after Exp.:  752;RR skipped 15.1 (50%);VM1 aftr Trfr.:   23;PC (62156);Background: 2.57 mV,2.72 mV,3.54 mV (Thermo);Init int: 6031.00;PressAdjust</t>
  </si>
  <si>
    <t>11:35:12</t>
  </si>
  <si>
    <t>NBS19_41_cv_4g-0001.did</t>
  </si>
  <si>
    <t xml:space="preserve"> Acid: 70.1 (°C); LeakRate (µBar/Min):  375 ;  0 xtra drops; P no Acid :  115;Total CO2 :  866;# Exp.:  0;CO2 after Exp.:  866;RR skipped 15.6 (50%);VM1 aftr Trfr.:   37;PC (62146);Background: 2.48 mV,2.64 mV,3.40 mV (Thermo);Init int: 8146.33;PressAdjust</t>
  </si>
  <si>
    <t>11:05:52</t>
  </si>
  <si>
    <t>NBS19_40_cv_4g-0001.did</t>
  </si>
  <si>
    <t>Acid: 70.0 (°C);LeakRate (µBar/Min):  127 ; 0 xtra drops;P no Acid :   44;P gases:   97;Total CO2 :  884;# Exp.:  0;CO2 after Exp.:  884;RR pressure 8.2 (100%);RR pressure 16.9 (50%);VM1 aftr Trfr.:   41;PC (62156);Background: 1.92 mV,2.03 mV,2.62 mV (The</t>
  </si>
  <si>
    <t>Exp</t>
  </si>
  <si>
    <t>P Exp</t>
  </si>
  <si>
    <t>II</t>
  </si>
  <si>
    <t>PL</t>
  </si>
  <si>
    <t>PR</t>
  </si>
  <si>
    <t>P refil</t>
  </si>
  <si>
    <t>refil time</t>
  </si>
  <si>
    <t>06/30/15</t>
  </si>
  <si>
    <t>23:07:16</t>
  </si>
  <si>
    <t>NBS19_46_cv_1g-0000.did</t>
  </si>
  <si>
    <t xml:space="preserve"> Acid: 70.2 (°C); LeakRate (µBar/Min):  212 ;  0 xtra drops; P no Acid :   51;Total CO2 :  434;# Exp.:  0;CO2 after Exp.:  434;RR skipped 16.4 (50%);VM1 aftr Trfr.:   44;PC (62156);Background: 2.27 mV,2.41 mV,3.10 mV (Thermo);Init int: 1490.52;PressAdjust</t>
  </si>
  <si>
    <t>22:34:21</t>
  </si>
  <si>
    <t>NBS19_45_cv_1g-0000.did</t>
  </si>
  <si>
    <t xml:space="preserve"> Acid: 70.4 (°C); LeakRate (µBar/Min):  482 ;  1 xtra drops; P no Acid :  211;Total CO2 :  430;# Exp.:  0;CO2 after Exp.:  430;RR skipped 17.0 (50%);VM1 aftr Trfr.:   48;PC (62156);Background: 2.36 mV,2.51 mV,3.25 mV (Thermo);Init int: 1543.94;PressAdjust</t>
  </si>
  <si>
    <t>22:02:45</t>
  </si>
  <si>
    <t>NBS19_44_cv_1g-0000.did</t>
  </si>
  <si>
    <t xml:space="preserve"> Acid: 70.3 (°C); LeakRate (µBar/Min):  142 ;  0 xtra drops; P no Acid :   51;Total CO2 :  444;# Exp.:  0;CO2 after Exp.:  444;RR skipped 17.1 (50%);VM1 aftr Trfr.:   48;PC (62156);Background: 2.44 mV,2.60 mV,3.35 mV (Thermo);Init int: 1581.39;PressAdjust</t>
  </si>
  <si>
    <t>21:30:19</t>
  </si>
  <si>
    <t>NBS19_43_cv_1g-0000.did</t>
  </si>
  <si>
    <t xml:space="preserve"> Acid: 70.4 (°C); LeakRate (µBar/Min):  333 ;  1 xtra drops; P no Acid :   55;Total CO2 :  359;# Exp.:  0;CO2 after Exp.:  359;RR skipped 17.0 (50%);VM1 aftr Trfr.:   44;PC (62156);Background: 2.78 mV,2.97 mV,3.84 mV (Thermo);Init int: 1075.31;PressAdjust</t>
  </si>
  <si>
    <t>20:59:41</t>
  </si>
  <si>
    <t>NBS19_42_cv_6g-0000.did</t>
  </si>
  <si>
    <t xml:space="preserve"> Acid: 70.4 (°C); LeakRate (µBar/Min):  184 ;  0 xtra drops; P no Acid :   51;Total CO2 : 1043;# Exp.:  1;CO2 after Exp.:  806;RR skipped 17.7 (50%);VM1 aftr Trfr.:   44;PC (62156);Background: 2.82 mV,3.02 mV,3.90 mV (Thermo);Init int: 5794.01;PressAdjust</t>
  </si>
  <si>
    <t>20:24:44</t>
  </si>
  <si>
    <t>NBS19_41_cv_6g-0000.did</t>
  </si>
  <si>
    <t xml:space="preserve"> Acid: 70.4 (°C); LeakRate (µBar/Min):  333 ;  1 xtra drops; P no Acid :   55;Total CO2 : 1032;# Exp.:  1;CO2 after Exp.:  802;RR skipped 18.7 (50%);VM1 aftr Trfr.:   48;PC (62156);Background: 2.81 mV,3.01 mV,3.87 mV (Thermo);Init int: 5765.36;PressAdjust</t>
  </si>
  <si>
    <t>19:52:00</t>
  </si>
  <si>
    <t>NBS19_40_cv_6g-0000.did</t>
  </si>
  <si>
    <t xml:space="preserve"> Acid: 70.4 (°C); LeakRate (µBar/Min):  163 ;  0 xtra drops; P no Acid :   51;Total CO2 : 1018;# Exp.:  1;CO2 after Exp.:  781;RR pressure 9.3 (100%);RR pressure 19.2 (50%);VM1 aftr Trfr.:   48;PC (62156);Background: 2.89 mV,3.10 mV,4.00 mV (Thermo);Init</t>
  </si>
  <si>
    <t>19:13:52</t>
  </si>
  <si>
    <t>NBS19_39_cv_6g-0000.did</t>
  </si>
  <si>
    <t xml:space="preserve"> Acid: 70.3 (°C); LeakRate (µBar/Min):  305 ;  1 xtra drops; P no Acid :   55;Total CO2 :  979;# Exp.:  0;CO2 after Exp.:  979;RR skipped 16.6 (50%);VM1 aftr Trfr.:   48;PC (62156);Background: 2.70 mV,2.89 mV,3.72 mV (Thermo);Init int: 10168.21;PressAdjus</t>
  </si>
  <si>
    <t>18:42:59</t>
  </si>
  <si>
    <t>NBS19_38_cv_6g-0000.did</t>
  </si>
  <si>
    <t xml:space="preserve"> Acid: 70.3 (°C); LeakRate (µBar/Min):  163 ;  0 xtra drops; P no Acid :   51;Total CO2 : 1011;# Exp.:  1;CO2 after Exp.:  763;RR skipped 17.1 (50%);VM1 aftr Trfr.:   51;PC (62156);Background: 2.76 mV,2.96 mV,3.80 mV (Thermo);Init int: 5000.75;PressAdjust</t>
  </si>
  <si>
    <t>18:07:54</t>
  </si>
  <si>
    <t>NBS19_37_cv_6g-0000.did</t>
  </si>
  <si>
    <t xml:space="preserve"> Acid: 70.4 (°C); LeakRate (µBar/Min):  305 ;  1 xtra drops; P no Acid :   62;Total CO2 : 1046;# Exp.:  1;CO2 after Exp.:  791;RR skipped 17.7 (50%);VM1 aftr Trfr.:   48;PC (62156);Background: 2.82 mV,3.02 mV,3.91 mV (Thermo);Init int: 5378.52;PressAdjust</t>
  </si>
  <si>
    <t>17:35:00</t>
  </si>
  <si>
    <t>NBS19_36_cv_6g-0000.did</t>
  </si>
  <si>
    <t xml:space="preserve"> Acid: 70.4 (°C); LeakRate (µBar/Min):  170 ;  0 xtra drops; P no Acid :   55;Total CO2 : 1068;# Exp.:  1;CO2 after Exp.:  820;RR skipped 18.7 (50%);VM1 aftr Trfr.:   48;PC (62146);Background: 2.82 mV,3.02 mV,3.91 mV (Thermo);Init int: 5803.80;PressAdjust</t>
  </si>
  <si>
    <t>17:03:15</t>
  </si>
  <si>
    <t>NBS19_35_cv_5g-0000.did</t>
  </si>
  <si>
    <t xml:space="preserve"> Acid: 70.3 (°C); LeakRate (µBar/Min):  305 ;  1 xtra drops; P no Acid :   76;Total CO2 : 1007;# Exp.:  1;CO2 after Exp.:  763;RR pressure 9.3 (100%);RR pressure 19.4 (50%);VM1 aftr Trfr.:   55;PC (62156);Background: 3.01 mV,3.22 mV,4.15 mV (Thermo);Init</t>
  </si>
  <si>
    <t>16:25:39</t>
  </si>
  <si>
    <t>NBS19_34_cv_5g-0000.did</t>
  </si>
  <si>
    <t xml:space="preserve"> Acid: 70.4 (°C); LeakRate (µBar/Min):  135 ;  0 xtra drops; P no Acid :   55;Total CO2 :  993;# Exp.:  0;CO2 after Exp.:  990;RR skipped 15.4 (50%);VM1 aftr Trfr.:   48;PC (62156);Background: 3.10 mV,3.34 mV,4.33 mV (Thermo);Init int: 10369.04;PressAdjus</t>
  </si>
  <si>
    <t>15:55:22</t>
  </si>
  <si>
    <t>NBS19_33_cv_5g-0000.did</t>
  </si>
  <si>
    <t xml:space="preserve"> Acid: 70.4 (°C); LeakRate (µBar/Min):  297 ;  1 xtra drops; P no Acid :   62;Total CO2 :  997;# Exp.:  0;CO2 after Exp.:  997;RR skipped 16.2 (50%);VM1 aftr Trfr.:   48;PC (62156);Background: 3.09 mV,3.31 mV,4.29 mV (Thermo);Init int: 10687.01;PressAdjus</t>
  </si>
  <si>
    <t>15:22:13</t>
  </si>
  <si>
    <t>NBS19_32_cv_5g-0000.did</t>
  </si>
  <si>
    <t xml:space="preserve"> Acid: 70.3 (°C); LeakRate (µBar/Min):  170 ;  0 xtra drops; P no Acid :   41;Total CO2 :  905;# Exp.:  0;CO2 after Exp.:  905;RR skipped 17.0 (50%);VM1 aftr Trfr.:   41;PC (62146);Background: 2.99 mV,3.21 mV,4.13 mV (Thermo);Init int: 9707.29;PressAdjust</t>
  </si>
  <si>
    <t>14:47:35</t>
  </si>
  <si>
    <t>NBS19_31_cv_5g-0000.did</t>
  </si>
  <si>
    <t xml:space="preserve"> Acid: 70.3 (°C); LeakRate (µBar/Min):  474 ;  1 xtra drops; P no Acid :   44;Total CO2 :  919;# Exp.:  0;CO2 after Exp.:  919;RR skipped 18.1 (50%);VM1 aftr Trfr.:   37;PC (62156);Background: 2.88 mV,3.08 mV,4.00 mV (Thermo);Init int: 10278.30;PressAdjus</t>
  </si>
  <si>
    <t>14:14:31</t>
  </si>
  <si>
    <t>NBS19_30_cv_5g-0000.did</t>
  </si>
  <si>
    <t xml:space="preserve"> Acid: 70.3 (°C); LeakRate (µBar/Min):  156 ;  0 xtra drops; P no Acid :   51;Total CO2 :  926;# Exp.:  0;CO2 after Exp.:  926;RR pressure 9.3 (100%);RR pressure 19.3 (50%);VM1 aftr Trfr.:   44;PC (62156);Background: 2.59 mV,2.76 mV,3.57 mV (Thermo);Init</t>
  </si>
  <si>
    <t>13:37:52</t>
  </si>
  <si>
    <t>NBS19_29_cv_5g-0000.did</t>
  </si>
  <si>
    <t xml:space="preserve"> Acid: 70.4 (°C); LeakRate (µBar/Min):  326 ;  1 xtra drops; P no Acid :   62;Total CO2 : 1018;# Exp.:  1;CO2 after Exp.:  760;RR skipped 16.4 (50%);VM1 aftr Trfr.:   44;PC (62156);Background: 2.73 mV,2.92 mV,3.79 mV (Thermo);Init int: 4711.52;PressAdjust</t>
  </si>
  <si>
    <t>13:04:23</t>
  </si>
  <si>
    <t>NBS19_28_cv_4g-0000.did</t>
  </si>
  <si>
    <t xml:space="preserve"> Acid: 70.3 (°C); LeakRate (µBar/Min):  184 ;  0 xtra drops; P no Acid :   55;Total CO2 :  855;# Exp.:  0;CO2 after Exp.:  855;RR skipped 17.0 (50%);VM1 aftr Trfr.:   55;PC (62156);Background: 2.86 mV,3.06 mV,3.97 mV (Thermo);Init int: 5995.42;PressAdjust</t>
  </si>
  <si>
    <t>12:29:09</t>
  </si>
  <si>
    <t>NBS19_27_cv_4g-0000.did</t>
  </si>
  <si>
    <t xml:space="preserve"> Acid: 70.4 (°C); LeakRate (µBar/Min):  531 ;  1 xtra drops; P no Acid :   58;Total CO2 :  926;# Exp.:  0;CO2 after Exp.:  926;RR skipped 17.6 (50%);VM1 aftr Trfr.:   48;PC (62156);Background: 2.75 mV,2.94 mV,3.81 mV (Thermo);Init int: 8204.79;PressAdjust</t>
  </si>
  <si>
    <t>11:58:07</t>
  </si>
  <si>
    <t>NBS19_26_cv_4g-0000.did</t>
  </si>
  <si>
    <t xml:space="preserve"> Acid: 70.4 (°C); LeakRate (µBar/Min):  297 ;  0 xtra drops; P no Acid :   44; P gases:  101;Total CO2 :  901;# Exp.:  0;CO2 after Exp.:  901;RR skipped 18.2 (50%);VM1 aftr Trfr.:   48;PC (62155);Background: 2.70 mV,2.88 mV,3.75 mV (Thermo);Init int: 7327</t>
  </si>
  <si>
    <t>10:12:19</t>
  </si>
  <si>
    <t>NBS19_24_cv_4g-0000.did</t>
  </si>
  <si>
    <t xml:space="preserve"> Acid: 70.3 (°C); LeakRate (µBar/Min):  262 ;  0 xtra drops; P no Acid :   41;Total CO2 :  834;# Exp.:  0;CO2 after Exp.:  834;RR skipped 6.5 (50%);VM1 aftr Trfr.:   44;PC (62156);Background: 2.13 mV,2.26 mV,2.91 mV (Thermo);Init int: 7508.61;PressAdjust:</t>
  </si>
  <si>
    <t>09:38:11</t>
  </si>
  <si>
    <t>NBS19_23_cv_4g-0000.did</t>
  </si>
  <si>
    <t>Acid: 70.3 (°C);LeakRate (µBar/Min):  836 ; 1 xtra drops;P no Acid :   51;P gases:  108;Total CO2 :  912;# Exp.:  0;CO2 after Exp.:  912;RR skipped 7.3 (50%);VM1 aftr Trfr.:   41;PC (62156);Background: 1.84 mV,1.94 mV,2.50 mV (Thermo);Init int: 8780.64;Pr</t>
  </si>
  <si>
    <t>00:04:27</t>
  </si>
  <si>
    <t xml:space="preserve"> Acid: 70.5 (°C); LeakRate (µBar/Min):  163 ;  0 xtra drops; P no Acid :   51;Total CO2 :  710;# Exp.:  0;CO2 after Exp.:  710;RR skipped 10.6 (50%);VM1 aftr Trfr.:   48;PC (62156);Background: 2.28 mV,2.42 mV,3.13 mV (Thermo);Init int: 4182.80;PressAdjust</t>
  </si>
  <si>
    <t>06/29/15</t>
  </si>
  <si>
    <t>23:30:43</t>
  </si>
  <si>
    <t xml:space="preserve"> Acid: 70.4 (°C); LeakRate (µBar/Min):  326 ;  1 xtra drops; P no Acid :   55;Total CO2 :  809;# Exp.:  0;CO2 after Exp.:  809;RR skipped 11.2 (50%);VM1 aftr Trfr.:   51;PC (62146);Background: 2.23 mV,2.36 mV,3.08 mV (Thermo);Init int: 5678.46;PressAdjust</t>
  </si>
  <si>
    <t>22:57:07</t>
  </si>
  <si>
    <t xml:space="preserve"> Acid: 70.3 (°C); LeakRate (µBar/Min):  149 ;  0 xtra drops; P no Acid :   55;Total CO2 :  763;# Exp.:  0;CO2 after Exp.:  763;RR pressure 5.8 (100%);RR pressure 11.9 (50%);VM1 aftr Trfr.:   48;PC (62156);Background: 2.19 mV,2.31 mV,3.01 mV (Thermo);Init</t>
  </si>
  <si>
    <t>22:20:37</t>
  </si>
  <si>
    <t xml:space="preserve"> Acid: 70.4 (°C); LeakRate (µBar/Min):  305 ;  1 xtra drops; P no Acid :   51;Total CO2 :  823;# Exp.:  0;CO2 after Exp.:  823;RR skipped 10.0 (50%);VM1 aftr Trfr.:   44;PC (62156);Background: 2.11 mV,2.24 mV,2.88 mV (Thermo);Init int: 6226.29;PressAdjust</t>
  </si>
  <si>
    <t>21:46:24</t>
  </si>
  <si>
    <t>NBS19_16_cv_3g-0000.did</t>
  </si>
  <si>
    <t xml:space="preserve"> Acid: 70.3 (°C); LeakRate (µBar/Min):  170 ;  0 xtra drops; P no Acid :   55;Total CO2 :  728;# Exp.:  0;CO2 after Exp.:  728;RR skipped 10.4 (50%);VM1 aftr Trfr.:   44;PC (62156);Background: 2.18 mV,2.32 mV,2.98 mV (Thermo);Init int: 4482.29;PressAdjust</t>
  </si>
  <si>
    <t>21:12:31</t>
  </si>
  <si>
    <t xml:space="preserve"> Acid: 70.3 (°C); LeakRate (µBar/Min):  297 ;  1 xtra drops; P no Acid :   51;Total CO2 :  837;# Exp.:  0;CO2 after Exp.:  837;RR skipped 11.4 (50%);VM1 aftr Trfr.:   90;PC (62156);Background: 1.92 mV,2.04 mV,2.64 mV (Thermo);Init int: 6107.20;PressAdjust</t>
  </si>
  <si>
    <t>20:39:29</t>
  </si>
  <si>
    <t xml:space="preserve"> Acid: 70.3 (°C); LeakRate (µBar/Min):  142 ;  0 xtra drops; P no Acid :   55;Total CO2 :  568;# Exp.:  0;CO2 after Exp.:  568;RR skipped 11.7 (50%);VM1 aftr Trfr.:   48;PC (62156);Background: 1.93 mV,2.06 mV,2.62 mV (Thermo);Init int: 2576.10;PressAdjust</t>
  </si>
  <si>
    <t>20:04:40</t>
  </si>
  <si>
    <t xml:space="preserve"> Acid: 70.3 (°C); LeakRate (µBar/Min):  297 ;  1 xtra drops; P no Acid :   48;Total CO2 :  579;# Exp.:  0;CO2 after Exp.:  579;RR pressure 5.8 (100%);RR pressure 12.0 (50%);VM1 aftr Trfr.:   69;PC (62156);Background: 1.92 mV,2.03 mV,2.61 mV (Thermo);Init</t>
  </si>
  <si>
    <t>19:29:43</t>
  </si>
  <si>
    <t>NBS19_12_cv_2g-0000.did</t>
  </si>
  <si>
    <t xml:space="preserve"> Acid: 70.4 (°C); LeakRate (µBar/Min):  135 ;  0 xtra drops; P no Acid :   48;Total CO2 :  689;# Exp.:  0;CO2 after Exp.:  689;RR skipped 10.3 (50%);VM1 aftr Trfr.:   44;PC (62146);Background: 1.75 mV,1.86 mV,2.39 mV (Thermo);Init int: 3924.92;PressAdjust</t>
  </si>
  <si>
    <t>18:56:19</t>
  </si>
  <si>
    <t>NBS19_11_cv_2g-0000.did</t>
  </si>
  <si>
    <t xml:space="preserve"> Acid: 70.4 (°C); LeakRate (µBar/Min):  297 ;  1 xtra drops; P no Acid :   44;Total CO2 :  671;# Exp.:  0;CO2 after Exp.:  671;RR skipped 10.3 (50%);VM1 aftr Trfr.:  529;PC (62156);Background: 1.96 mV,2.09 mV,2.68 mV (Thermo);Init int:  877.60;PressAdjust</t>
  </si>
  <si>
    <t>18:21:04</t>
  </si>
  <si>
    <t xml:space="preserve"> Acid: 70.4 (°C); LeakRate (µBar/Min):  142 ;  0 xtra drops; P no Acid :   51;Total CO2 :  650;# Exp.:  0;CO2 after Exp.:  650;RR skipped 10.7 (50%);VM1 aftr Trfr.:   44;PC (62156);Background: 1.97 mV,2.08 mV,2.67 mV (Thermo);Init int: 3521.83;PressAdjust</t>
  </si>
  <si>
    <t>17:47:14</t>
  </si>
  <si>
    <t xml:space="preserve"> Acid: 70.4 (°C); LeakRate (µBar/Min):  297 ;  1 xtra drops; P no Acid :   37;Total CO2 :  657;# Exp.:  0;CO2 after Exp.:  657;RR skipped 11.4 (50%);VM1 aftr Trfr.:   90;PC (62156);Background: 1.86 mV,1.96 mV,2.55 mV (Thermo);Init int: 3972.02;PressAdjust</t>
  </si>
  <si>
    <t>17:14:08</t>
  </si>
  <si>
    <t>NBS19_08_cv_2g-0000.did</t>
  </si>
  <si>
    <t xml:space="preserve"> Acid: 70.4 (°C); LeakRate (µBar/Min):  127 ;  0 xtra drops; P no Acid :   44;Total CO2 :  568;# Exp.:  0;CO2 after Exp.:  568;RR skipped 11.7 (50%);VM1 aftr Trfr.:   37;PC (62156);Background: 1.70 mV,1.80 mV,2.34 mV (Thermo);Init int: 2890.00;PressAdjust</t>
  </si>
  <si>
    <t>16:39:46</t>
  </si>
  <si>
    <t xml:space="preserve"> Acid: 70.3 (°C); LeakRate (µBar/Min):  312 ;  1 xtra drops; P no Acid :   44;Total CO2 :  441;# Exp.:  0;CO2 after Exp.:  437;RR pressure 5.9 (100%);RR pressure 12.1 (50%);VM1 aftr Trfr.:  136;PC (62156);Background: 1.68 mV,1.78 mV,2.28 mV (Thermo);Init</t>
  </si>
  <si>
    <t>16:04:34</t>
  </si>
  <si>
    <t xml:space="preserve"> Acid: 70.3 (°C); LeakRate (µBar/Min):  177 ;  0 xtra drops; P no Acid :   41;Total CO2 :  122;# Exp.:  0;CO2 after Exp.:  122;RR skipped 8.2 (50%);VM1 aftr Trfr.:   37;PC (62156);Background: 1.63 mV,1.71 mV,2.23 mV (Thermo);Init int:  204.85;PressAdjust:</t>
  </si>
  <si>
    <t>15:31:15</t>
  </si>
  <si>
    <t xml:space="preserve"> Acid: 70.3 (°C); LeakRate (µBar/Min):  290 ;  1 xtra drops; P no Acid :   44;Total CO2 :  321;# Exp.:  0;CO2 after Exp.:  321;RR skipped 8.4 (50%);VM1 aftr Trfr.:   62;PC (62156);Background: 1.72 mV,1.81 mV,2.35 mV (Thermo);Init int:  969.53;PressAdjust:</t>
  </si>
  <si>
    <t>14:58:51</t>
  </si>
  <si>
    <t xml:space="preserve"> Acid: 70.4 (°C); LeakRate (µBar/Min):  170 ;  0 xtra drops; P no Acid :   37;Total CO2 :  388;# Exp.:  0;CO2 after Exp.:  388;RR skipped 8.3 (50%);VM1 aftr Trfr.:   41;PC (62156);Background: 1.83 mV,1.91 mV,2.48 mV (Thermo);Init int: 1347.34;PressAdjust:</t>
  </si>
  <si>
    <t>14:29:18</t>
  </si>
  <si>
    <t>Acid: 70.3 (°C);LeakRate (µBar/Min):  906 ; 1 xtra drops;P no Acid :   41;P gases:  179;Total CO2 :  547;# Exp.:  0;CO2 after Exp.:  547;RR skipped 8.8 (50%);VM1 aftr Trfr.:   30;PC (62156);Background: 1.77 mV,1.87 mV,2.41 mV (Thermo);Init int: 2816.00;Pr</t>
  </si>
  <si>
    <t>11:56:45</t>
  </si>
  <si>
    <t>NBS19_01_cv_1g-0000.did</t>
  </si>
  <si>
    <t>Acid: 70.2 (°C);LeakRate (µBar/Min):  559 ; 1 xtra drops;P no Acid :   41;P gases:  126;Total CO2 :  487;# Exp.:  0;CO2 after Exp.:  487;RR pressure 4.7 (100%);RR pressure 9.7 (50%);VM1 aftr Trfr.:   37;PC (62156);Background: 1.60 mV,1.70 mV,2.20 mV (Ther</t>
  </si>
  <si>
    <t>Média por massa (corridas de 22-29/Jun)</t>
  </si>
  <si>
    <t>Sd</t>
  </si>
  <si>
    <t>9ug</t>
  </si>
  <si>
    <t>18ug</t>
  </si>
  <si>
    <t>27ug</t>
  </si>
  <si>
    <t>36ug</t>
  </si>
  <si>
    <t>45ug</t>
  </si>
  <si>
    <t>54ug</t>
  </si>
  <si>
    <t>Carbon isotopes</t>
  </si>
  <si>
    <t>Oxygen isotopes</t>
  </si>
  <si>
    <t>n</t>
  </si>
  <si>
    <t>Refil = 40s</t>
  </si>
  <si>
    <t>07/06/15</t>
  </si>
  <si>
    <t>11:59:49</t>
  </si>
  <si>
    <t>NBS19_01_std_2g-0000.did</t>
  </si>
  <si>
    <t>Acid: 70.0 (°C);LeakRate (µBar/Min):  531 ; 1 xtra drops;P no Acid :   94;P gases:  607;Total CO2 :  717;# Exp.:  0;CO2 after Exp.:  717;RR pressure 9.4 (100%);RR pressure 19.1 (50%);VM1 aftr Trfr.:   30;PC (62156);Background: 1.21 mV,1.24 mV,1.58 mV (The</t>
  </si>
  <si>
    <t>12:31:27</t>
  </si>
  <si>
    <t>NBS19_02_std_2g-0000.did</t>
  </si>
  <si>
    <t xml:space="preserve"> Acid: 70.1 (°C); LeakRate (µBar/Min):  361 ;  0 xtra drops; P no Acid :   34;Total CO2 :  671;# Exp.:  0;CO2 after Exp.:  671;RR skipped 18.8 (50%);VM1 aftr Trfr.:   27;PC (62156);Background: 1.57 mV,1.65 mV,2.14 mV (Thermo);Init int: 4512.07;PressAdjust</t>
  </si>
  <si>
    <t>13:04:44</t>
  </si>
  <si>
    <t>NBS19_03_std_2g-0000.did</t>
  </si>
  <si>
    <t xml:space="preserve"> Acid: 70.1 (°C); LeakRate (µBar/Min):  361 ;  1 xtra drops; P no Acid :   69;Total CO2 :  653;# Exp.:  0;CO2 after Exp.:  653;RR skipped 18.1 (50%);VM1 aftr Trfr.:   27;PC (62156);Background: 1.66 mV,1.76 mV,2.24 mV (Thermo);Init int: 4257.77;PressAdjust</t>
  </si>
  <si>
    <t>13:36:52</t>
  </si>
  <si>
    <t>NBS19_04_std_2g-0000.did</t>
  </si>
  <si>
    <t xml:space="preserve"> Acid: 70.1 (°C); LeakRate (µBar/Min):  212 ;  0 xtra drops; P no Acid :   34;Total CO2 :  660;# Exp.:  0;CO2 after Exp.:  660;RR skipped 17.6 (50%);VM1 aftr Trfr.:   37;PC (62156);Background: 1.72 mV,1.82 mV,2.34 mV (Thermo);Init int: 4013.54;PressAdjust</t>
  </si>
  <si>
    <t>14:09:49</t>
  </si>
  <si>
    <t>NBS19_05_std_2g-0000.did</t>
  </si>
  <si>
    <t xml:space="preserve"> Acid: 70.0 (°C); LeakRate (µBar/Min):  361 ;  1 xtra drops; P no Acid :   62;Total CO2 :  639;# Exp.:  0;CO2 after Exp.:  639;RR skipped 17.2 (50%);VM1 aftr Trfr.:   37;PC (62156);Background: 1.75 mV,1.85 mV,2.36 mV (Thermo);Init int: 3610.87;PressAdjust</t>
  </si>
  <si>
    <t>14:42:38</t>
  </si>
  <si>
    <t>NBS19_06_std_2g-0000.did</t>
  </si>
  <si>
    <t xml:space="preserve"> Acid: 70.1 (°C); LeakRate (µBar/Min):  163 ;  0 xtra drops; P no Acid :   37;Total CO2 :  664;# Exp.:  0;CO2 after Exp.:  664;RR skipped 16.9 (50%);VM1 aftr Trfr.:   37;PC (62146);Background: 1.77 mV,1.87 mV,2.42 mV (Thermo);Init int: 4211.56;PressAdjust</t>
  </si>
  <si>
    <t>15:15:50</t>
  </si>
  <si>
    <t>NBS19_07_std_2g-0000.did</t>
  </si>
  <si>
    <t xml:space="preserve"> Acid: 70.0 (°C); LeakRate (µBar/Min):  340 ;  1 xtra drops; P no Acid :   51;Total CO2 :  646;# Exp.:  0;CO2 after Exp.:  646;RR skipped 16.2 (50%);VM1 aftr Trfr.:   30;PC (62156);Background: 1.82 mV,1.93 mV,2.48 mV (Thermo);Init int: 3844.17;PressAdjust</t>
  </si>
  <si>
    <t>%bellow</t>
  </si>
  <si>
    <t>aberto!</t>
  </si>
  <si>
    <t>Analyte</t>
  </si>
  <si>
    <t>Value</t>
  </si>
  <si>
    <t>Unit</t>
  </si>
  <si>
    <t>SD</t>
  </si>
  <si>
    <t>R/I/C</t>
  </si>
  <si>
    <r>
      <t>δ</t>
    </r>
    <r>
      <rPr>
        <vertAlign val="superscript"/>
        <sz val="14"/>
        <color rgb="FF333333"/>
        <rFont val="Arial"/>
        <family val="2"/>
      </rPr>
      <t>13</t>
    </r>
    <r>
      <rPr>
        <sz val="14"/>
        <color rgb="FF333333"/>
        <rFont val="Arial"/>
        <family val="2"/>
      </rPr>
      <t>C</t>
    </r>
  </si>
  <si>
    <r>
      <t>+1.95</t>
    </r>
    <r>
      <rPr>
        <vertAlign val="superscript"/>
        <sz val="14"/>
        <color rgb="FF333333"/>
        <rFont val="Arial"/>
        <family val="2"/>
      </rPr>
      <t>#</t>
    </r>
  </si>
  <si>
    <r>
      <t>‰</t>
    </r>
    <r>
      <rPr>
        <vertAlign val="subscript"/>
        <sz val="14"/>
        <color rgb="FF333333"/>
        <rFont val="Arial"/>
        <family val="2"/>
      </rPr>
      <t>VPDB</t>
    </r>
  </si>
  <si>
    <t>C</t>
  </si>
  <si>
    <t>Run</t>
  </si>
  <si>
    <t>Cycle</t>
  </si>
  <si>
    <t>Int 44 Sample</t>
  </si>
  <si>
    <t>Int 44 Reference</t>
  </si>
  <si>
    <t>dC</t>
  </si>
  <si>
    <t>dC Mean</t>
  </si>
  <si>
    <t>dC Stdev</t>
  </si>
  <si>
    <t>dO</t>
  </si>
  <si>
    <t>dO Mean</t>
  </si>
  <si>
    <t>dO Stdev</t>
  </si>
  <si>
    <r>
      <t>δ</t>
    </r>
    <r>
      <rPr>
        <vertAlign val="superscript"/>
        <sz val="14"/>
        <color rgb="FF333333"/>
        <rFont val="Arial"/>
        <family val="2"/>
      </rPr>
      <t>18</t>
    </r>
    <r>
      <rPr>
        <sz val="14"/>
        <color rgb="FF333333"/>
        <rFont val="Arial"/>
        <family val="2"/>
      </rPr>
      <t>O</t>
    </r>
  </si>
  <si>
    <r>
      <t>-2.20</t>
    </r>
    <r>
      <rPr>
        <vertAlign val="superscript"/>
        <sz val="14"/>
        <color rgb="FF333333"/>
        <rFont val="Arial"/>
        <family val="2"/>
      </rPr>
      <t>#</t>
    </r>
  </si>
  <si>
    <t>P at VM1</t>
  </si>
  <si>
    <t>Int Int</t>
  </si>
  <si>
    <t>13C</t>
  </si>
  <si>
    <t>18O</t>
  </si>
  <si>
    <t xml:space="preserve">Mean </t>
  </si>
  <si>
    <t>St Dev</t>
  </si>
  <si>
    <t>Dados enviados para a Thermo</t>
  </si>
  <si>
    <t>19/May</t>
  </si>
  <si>
    <t>29/May</t>
  </si>
  <si>
    <t>software change to correct m x P</t>
  </si>
  <si>
    <t>Result = bad d18O values</t>
  </si>
  <si>
    <t>change of O-ring because heating do not turned off</t>
  </si>
  <si>
    <t>Result = P x I started to decrease</t>
  </si>
  <si>
    <t>Open the sample capilar arriving to the ion source</t>
  </si>
  <si>
    <t>Heating and capilar (P x I) adjustment (both belows)</t>
  </si>
  <si>
    <t>Result = bad d18O curve</t>
  </si>
  <si>
    <t>Average values on 26/jun</t>
  </si>
  <si>
    <t>OTHER ISSUES:</t>
  </si>
  <si>
    <t>LN2:</t>
  </si>
  <si>
    <t>EXPORT:</t>
  </si>
  <si>
    <t>mask to export data to excel xls file: on info the number of variables is limited and cuts the information described</t>
  </si>
  <si>
    <t>when trying to freeze trap 2 just before transfer the CO2 when the dewar is on 40-35% full the program do not wait enough to achieve the necessary volume (the P is a little lower, but still high enough in theory)</t>
  </si>
  <si>
    <t>d18O</t>
  </si>
  <si>
    <t>d13C</t>
  </si>
  <si>
    <t>ISSUES:</t>
  </si>
  <si>
    <t>1. Higher standard deviations on low masses. Possibly due to</t>
  </si>
  <si>
    <t>the decline of the linearity on intensities around 3 - 4 V as seen</t>
  </si>
  <si>
    <t>on the desta vs. Signal graph</t>
  </si>
  <si>
    <t>We expected a decline on this linearity only around 1-1.5 V like the</t>
  </si>
  <si>
    <t>manual and the data that we had previously (before changes)</t>
  </si>
  <si>
    <t>2. The difference on the flow, between sample and standard, is</t>
  </si>
  <si>
    <t>seen on signal decay and increases the sd of the sample, which</t>
  </si>
  <si>
    <t>seems a problem that could be solved (improving the data)</t>
  </si>
  <si>
    <t>When you lower the sd on a sample, we will decrease the average</t>
  </si>
  <si>
    <t>sd of the whole data</t>
  </si>
  <si>
    <t>Seguem os dados para acesso remoto</t>
  </si>
  <si>
    <t>Participant code: 8253932559</t>
  </si>
  <si>
    <r>
      <t>Liga para número 11 ou 0800 e entrar com código </t>
    </r>
    <r>
      <rPr>
        <b/>
        <sz val="14"/>
        <color rgb="FF222222"/>
        <rFont val="Arial"/>
        <family val="2"/>
      </rPr>
      <t>8253932559 e #</t>
    </r>
  </si>
  <si>
    <t>Brazil - SP</t>
  </si>
  <si>
    <t>55 11 55826524</t>
  </si>
  <si>
    <t xml:space="preserve">Free Brazil </t>
  </si>
  <si>
    <t>0800 8810042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</si>
</sst>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3" x14ac:knownFonts="1">
    <font>
      <sz val="10"/>
      <name val="MS Sans Serif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MS Sans Serif"/>
      <family val="2"/>
    </font>
    <font>
      <b/>
      <sz val="10"/>
      <color rgb="FFFF0000"/>
      <name val="MS Sans Serif"/>
      <family val="2"/>
    </font>
    <font>
      <b/>
      <sz val="10"/>
      <name val="MS Sans Serif"/>
      <family val="2"/>
    </font>
    <font>
      <u/>
      <sz val="10"/>
      <color theme="10"/>
      <name val="MS Sans Serif"/>
      <family val="2"/>
    </font>
    <font>
      <u/>
      <sz val="10"/>
      <color theme="11"/>
      <name val="MS Sans Serif"/>
      <family val="2"/>
    </font>
    <font>
      <sz val="10"/>
      <color theme="0" tint="-0.249977111117893"/>
      <name val="MS Sans Serif"/>
      <family val="2"/>
    </font>
    <font>
      <i/>
      <sz val="10"/>
      <color theme="0" tint="-0.499984740745262"/>
      <name val="MS Sans Serif"/>
      <family val="2"/>
    </font>
    <font>
      <sz val="10"/>
      <color theme="1" tint="0.499984740745262"/>
      <name val="MS Sans Serif"/>
      <family val="2"/>
    </font>
    <font>
      <b/>
      <sz val="10"/>
      <name val="MS Sans Serif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color theme="5"/>
      <name val="MS Sans Serif"/>
      <family val="2"/>
    </font>
    <font>
      <sz val="10"/>
      <color theme="4"/>
      <name val="MS Sans Serif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sz val="14"/>
      <color rgb="FF333333"/>
      <name val="Arial"/>
      <family val="2"/>
    </font>
    <font>
      <vertAlign val="superscript"/>
      <sz val="14"/>
      <color rgb="FF333333"/>
      <name val="Arial"/>
      <family val="2"/>
    </font>
    <font>
      <vertAlign val="subscript"/>
      <sz val="14"/>
      <color rgb="FF333333"/>
      <name val="Arial"/>
      <family val="2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FF0000"/>
      <name val="MS Sans Serif"/>
      <family val="2"/>
    </font>
    <font>
      <b/>
      <sz val="11"/>
      <color rgb="FFFF0000"/>
      <name val="MS Sans Serif"/>
    </font>
    <font>
      <sz val="11"/>
      <color rgb="FFFF0000"/>
      <name val="MS Sans Serif"/>
    </font>
    <font>
      <sz val="10"/>
      <color rgb="FFFF0000"/>
      <name val="MS Sans Serif"/>
    </font>
    <font>
      <sz val="10"/>
      <color rgb="FFFF0000"/>
      <name val="MS Sans Serif"/>
      <family val="2"/>
    </font>
    <font>
      <sz val="11"/>
      <color rgb="FF222222"/>
      <name val="Arial"/>
      <family val="2"/>
    </font>
    <font>
      <b/>
      <sz val="14"/>
      <color rgb="FF222222"/>
      <name val="Arial"/>
      <family val="2"/>
    </font>
    <font>
      <sz val="12"/>
      <color rgb="FF1F497D"/>
      <name val="Times New Roman"/>
      <family val="1"/>
    </font>
    <font>
      <u/>
      <sz val="12"/>
      <color rgb="FF22222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/>
      <diagonal/>
    </border>
    <border>
      <left style="medium">
        <color rgb="FFC2C2C2"/>
      </left>
      <right style="medium">
        <color rgb="FFD0D0D0"/>
      </right>
      <top/>
      <bottom style="medium">
        <color rgb="FFD0D0D0"/>
      </bottom>
      <diagonal/>
    </border>
    <border>
      <left/>
      <right style="medium">
        <color rgb="FFD0D0D0"/>
      </right>
      <top/>
      <bottom style="medium">
        <color rgb="FFD0D0D0"/>
      </bottom>
      <diagonal/>
    </border>
    <border>
      <left/>
      <right style="medium">
        <color rgb="FFC2C2C2"/>
      </right>
      <top/>
      <bottom style="medium">
        <color rgb="FFD0D0D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C2C2C2"/>
      </left>
      <right style="medium">
        <color rgb="FFD0D0D0"/>
      </right>
      <top/>
      <bottom style="medium">
        <color rgb="FFC2C2C2"/>
      </bottom>
      <diagonal/>
    </border>
    <border>
      <left/>
      <right style="medium">
        <color rgb="FFD0D0D0"/>
      </right>
      <top/>
      <bottom style="medium">
        <color rgb="FFC2C2C2"/>
      </bottom>
      <diagonal/>
    </border>
    <border>
      <left/>
      <right style="medium">
        <color rgb="FFC2C2C2"/>
      </right>
      <top/>
      <bottom style="medium">
        <color rgb="FFC2C2C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09">
    <xf numFmtId="0" fontId="0" fillId="0" borderId="0" xfId="0"/>
    <xf numFmtId="0" fontId="0" fillId="0" borderId="0" xfId="0" quotePrefix="1" applyNumberFormat="1"/>
    <xf numFmtId="0" fontId="0" fillId="0" borderId="0" xfId="0" applyNumberFormat="1"/>
    <xf numFmtId="0" fontId="0" fillId="0" borderId="1" xfId="0" applyBorder="1"/>
    <xf numFmtId="16" fontId="0" fillId="0" borderId="0" xfId="0" applyNumberFormat="1"/>
    <xf numFmtId="0" fontId="0" fillId="0" borderId="0" xfId="0" quotePrefix="1" applyNumberFormat="1" applyFill="1"/>
    <xf numFmtId="0" fontId="0" fillId="0" borderId="0" xfId="0" applyFill="1"/>
    <xf numFmtId="0" fontId="0" fillId="0" borderId="0" xfId="0" applyNumberFormat="1" applyFill="1"/>
    <xf numFmtId="0" fontId="0" fillId="0" borderId="1" xfId="0" applyFill="1" applyBorder="1"/>
    <xf numFmtId="16" fontId="0" fillId="0" borderId="0" xfId="0" applyNumberFormat="1" applyFill="1"/>
    <xf numFmtId="0" fontId="3" fillId="0" borderId="0" xfId="0" applyFont="1" applyFill="1"/>
    <xf numFmtId="0" fontId="3" fillId="0" borderId="0" xfId="0" applyFont="1"/>
    <xf numFmtId="0" fontId="0" fillId="0" borderId="1" xfId="0" quotePrefix="1" applyNumberFormat="1" applyFill="1" applyBorder="1"/>
    <xf numFmtId="0" fontId="3" fillId="0" borderId="0" xfId="0" applyNumberFormat="1" applyFont="1"/>
    <xf numFmtId="0" fontId="0" fillId="2" borderId="0" xfId="0" applyNumberFormat="1" applyFill="1"/>
    <xf numFmtId="0" fontId="0" fillId="2" borderId="0" xfId="0" quotePrefix="1" applyNumberFormat="1" applyFill="1"/>
    <xf numFmtId="0" fontId="0" fillId="2" borderId="0" xfId="0" applyFill="1"/>
    <xf numFmtId="16" fontId="0" fillId="2" borderId="0" xfId="0" applyNumberFormat="1" applyFill="1"/>
    <xf numFmtId="0" fontId="3" fillId="2" borderId="0" xfId="0" applyNumberFormat="1" applyFont="1" applyFill="1"/>
    <xf numFmtId="0" fontId="4" fillId="0" borderId="0" xfId="0" applyNumberFormat="1" applyFont="1"/>
    <xf numFmtId="0" fontId="4" fillId="0" borderId="0" xfId="0" quotePrefix="1" applyNumberFormat="1" applyFont="1"/>
    <xf numFmtId="0" fontId="5" fillId="0" borderId="0" xfId="0" quotePrefix="1" applyNumberFormat="1" applyFont="1"/>
    <xf numFmtId="0" fontId="5" fillId="0" borderId="0" xfId="0" applyFont="1"/>
    <xf numFmtId="16" fontId="5" fillId="0" borderId="0" xfId="0" applyNumberFormat="1" applyFont="1"/>
    <xf numFmtId="14" fontId="5" fillId="0" borderId="0" xfId="0" applyNumberFormat="1" applyFont="1"/>
    <xf numFmtId="0" fontId="8" fillId="0" borderId="0" xfId="0" applyFont="1"/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right"/>
    </xf>
    <xf numFmtId="16" fontId="0" fillId="0" borderId="0" xfId="0" quotePrefix="1" applyNumberFormat="1"/>
    <xf numFmtId="0" fontId="10" fillId="0" borderId="0" xfId="0" quotePrefix="1" applyNumberFormat="1" applyFont="1"/>
    <xf numFmtId="0" fontId="10" fillId="0" borderId="0" xfId="0" applyFont="1"/>
    <xf numFmtId="2" fontId="10" fillId="0" borderId="0" xfId="0" quotePrefix="1" applyNumberFormat="1" applyFont="1"/>
    <xf numFmtId="0" fontId="11" fillId="0" borderId="0" xfId="0" applyFont="1"/>
    <xf numFmtId="0" fontId="10" fillId="0" borderId="0" xfId="0" applyFont="1" applyAlignment="1">
      <alignment horizontal="center"/>
    </xf>
    <xf numFmtId="2" fontId="10" fillId="0" borderId="0" xfId="0" quotePrefix="1" applyNumberFormat="1" applyFont="1" applyAlignment="1">
      <alignment horizontal="center"/>
    </xf>
    <xf numFmtId="0" fontId="10" fillId="0" borderId="0" xfId="0" quotePrefix="1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1" fontId="10" fillId="0" borderId="0" xfId="0" quotePrefix="1" applyNumberFormat="1" applyFont="1" applyAlignment="1">
      <alignment horizontal="center"/>
    </xf>
    <xf numFmtId="0" fontId="5" fillId="0" borderId="0" xfId="0" applyNumberFormat="1" applyFont="1"/>
    <xf numFmtId="16" fontId="0" fillId="0" borderId="0" xfId="0" applyNumberFormat="1" applyFont="1"/>
    <xf numFmtId="0" fontId="14" fillId="0" borderId="0" xfId="0" applyFont="1"/>
    <xf numFmtId="16" fontId="14" fillId="0" borderId="0" xfId="0" applyNumberFormat="1" applyFont="1"/>
    <xf numFmtId="0" fontId="15" fillId="0" borderId="0" xfId="0" applyFont="1"/>
    <xf numFmtId="16" fontId="15" fillId="0" borderId="0" xfId="0" applyNumberFormat="1" applyFont="1"/>
    <xf numFmtId="0" fontId="0" fillId="0" borderId="0" xfId="0" applyAlignment="1">
      <alignment horizontal="center"/>
    </xf>
    <xf numFmtId="0" fontId="18" fillId="3" borderId="2" xfId="0" applyFont="1" applyFill="1" applyBorder="1" applyAlignment="1">
      <alignment horizontal="left" vertical="center" wrapText="1"/>
    </xf>
    <xf numFmtId="0" fontId="19" fillId="3" borderId="3" xfId="0" applyFont="1" applyFill="1" applyBorder="1" applyAlignment="1">
      <alignment vertical="top" wrapText="1"/>
    </xf>
    <xf numFmtId="0" fontId="19" fillId="3" borderId="4" xfId="0" applyFont="1" applyFill="1" applyBorder="1" applyAlignment="1">
      <alignment vertical="top" wrapText="1"/>
    </xf>
    <xf numFmtId="0" fontId="19" fillId="3" borderId="5" xfId="0" applyFont="1" applyFill="1" applyBorder="1" applyAlignment="1">
      <alignment vertical="top" wrapText="1"/>
    </xf>
    <xf numFmtId="0" fontId="17" fillId="0" borderId="6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9" fillId="4" borderId="9" xfId="0" applyFont="1" applyFill="1" applyBorder="1" applyAlignment="1">
      <alignment vertical="top" wrapText="1"/>
    </xf>
    <xf numFmtId="0" fontId="19" fillId="4" borderId="10" xfId="0" applyFont="1" applyFill="1" applyBorder="1" applyAlignment="1">
      <alignment vertical="top" wrapText="1"/>
    </xf>
    <xf numFmtId="0" fontId="19" fillId="4" borderId="11" xfId="0" applyFont="1" applyFill="1" applyBorder="1" applyAlignment="1">
      <alignment vertical="top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2" fontId="23" fillId="0" borderId="12" xfId="0" applyNumberFormat="1" applyFont="1" applyBorder="1" applyAlignment="1">
      <alignment horizontal="center"/>
    </xf>
    <xf numFmtId="2" fontId="23" fillId="0" borderId="0" xfId="0" applyNumberFormat="1" applyFont="1" applyBorder="1" applyAlignment="1">
      <alignment horizontal="center"/>
    </xf>
    <xf numFmtId="164" fontId="23" fillId="0" borderId="14" xfId="0" applyNumberFormat="1" applyFont="1" applyBorder="1" applyAlignment="1">
      <alignment horizontal="center"/>
    </xf>
    <xf numFmtId="164" fontId="23" fillId="0" borderId="16" xfId="0" applyNumberFormat="1" applyFont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24" fillId="0" borderId="0" xfId="0" applyFont="1" applyAlignment="1">
      <alignment horizontal="center"/>
    </xf>
    <xf numFmtId="0" fontId="24" fillId="0" borderId="0" xfId="0" applyFont="1"/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2" fontId="26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6" fillId="0" borderId="0" xfId="0" applyFont="1"/>
    <xf numFmtId="49" fontId="26" fillId="0" borderId="0" xfId="0" applyNumberFormat="1" applyFont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" borderId="13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11">
    <cellStyle name="Hiperlink" xfId="1" builtinId="8" hidden="1"/>
    <cellStyle name="Hiperlink" xfId="3" builtinId="8" hidden="1"/>
    <cellStyle name="Hiperlink" xfId="5" builtinId="8" hidden="1"/>
    <cellStyle name="Hiperlink" xfId="7" builtinId="8" hidden="1"/>
    <cellStyle name="Hiperlink" xfId="9" builtinId="8" hidden="1"/>
    <cellStyle name="Hiperlink Visitado" xfId="2" builtinId="9" hidden="1"/>
    <cellStyle name="Hiperlink Visitado" xfId="4" builtinId="9" hidden="1"/>
    <cellStyle name="Hiperlink Visitado" xfId="6" builtinId="9" hidden="1"/>
    <cellStyle name="Hiperlink Visitado" xfId="8" builtinId="9" hidden="1"/>
    <cellStyle name="Hiperlink Visitado" xfId="10" builtinId="9" hidden="1"/>
    <cellStyle name="Normal" xfId="0" builtinId="0"/>
  </cellStyles>
  <dxfs count="0"/>
  <tableStyles count="0" defaultTableStyle="TableStyleMedium9" defaultPivotStyle="PivotStyleLight16"/>
  <colors>
    <mruColors>
      <color rgb="FFB818AD"/>
      <color rgb="FFC41249"/>
      <color rgb="FF5C28A8"/>
      <color rgb="FFF991B9"/>
      <color rgb="FF86A44A"/>
      <color rgb="FF777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281433956557901"/>
          <c:y val="3.8350672487182602E-2"/>
          <c:w val="0.81842195651469496"/>
          <c:h val="0.82398439133161405"/>
        </c:manualLayout>
      </c:layout>
      <c:scatterChart>
        <c:scatterStyle val="lineMarker"/>
        <c:varyColors val="0"/>
        <c:ser>
          <c:idx val="4"/>
          <c:order val="0"/>
          <c:tx>
            <c:strRef>
              <c:f>'After instal'!$A$70</c:f>
              <c:strCache>
                <c:ptCount val="1"/>
                <c:pt idx="0">
                  <c:v>2 grains, 3 drops, 600s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accent5">
                    <a:lumMod val="75000"/>
                  </a:schemeClr>
                </a:solidFill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1.0630461315792299E-3"/>
                  <c:y val="-6.2217576785202698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>
                      <a:solidFill>
                        <a:schemeClr val="accent5">
                          <a:lumMod val="75000"/>
                        </a:schemeClr>
                      </a:solidFill>
                    </a:defRPr>
                  </a:pPr>
                  <a:endParaRPr lang="pt-BR"/>
                </a:p>
              </c:txPr>
            </c:trendlineLbl>
          </c:trendline>
          <c:xVal>
            <c:numRef>
              <c:f>'After instal'!$AG$71:$AG$75</c:f>
              <c:numCache>
                <c:formatCode>General</c:formatCode>
                <c:ptCount val="5"/>
                <c:pt idx="0">
                  <c:v>418</c:v>
                </c:pt>
                <c:pt idx="1">
                  <c:v>367</c:v>
                </c:pt>
                <c:pt idx="2">
                  <c:v>311</c:v>
                </c:pt>
                <c:pt idx="3">
                  <c:v>418</c:v>
                </c:pt>
                <c:pt idx="4">
                  <c:v>440</c:v>
                </c:pt>
              </c:numCache>
            </c:numRef>
          </c:xVal>
          <c:yVal>
            <c:numRef>
              <c:f>'After instal'!$AJ$71:$AJ$75</c:f>
              <c:numCache>
                <c:formatCode>General</c:formatCode>
                <c:ptCount val="5"/>
                <c:pt idx="0">
                  <c:v>1061</c:v>
                </c:pt>
                <c:pt idx="1">
                  <c:v>888</c:v>
                </c:pt>
                <c:pt idx="2">
                  <c:v>646</c:v>
                </c:pt>
                <c:pt idx="3">
                  <c:v>1149</c:v>
                </c:pt>
                <c:pt idx="4">
                  <c:v>1310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'After instal'!$A$32</c:f>
              <c:strCache>
                <c:ptCount val="1"/>
                <c:pt idx="0">
                  <c:v>3 grains, 3 drops, 600s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chemeClr val="tx2">
                  <a:lumMod val="40000"/>
                  <a:lumOff val="60000"/>
                </a:schemeClr>
              </a:solidFill>
              <a:ln>
                <a:solidFill>
                  <a:schemeClr val="tx2">
                    <a:lumMod val="40000"/>
                    <a:lumOff val="60000"/>
                  </a:schemeClr>
                </a:solidFill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5.3785252152122997E-3"/>
                  <c:y val="-3.8790947591727999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defRPr>
                  </a:pPr>
                  <a:endParaRPr lang="pt-BR"/>
                </a:p>
              </c:txPr>
            </c:trendlineLbl>
          </c:trendline>
          <c:xVal>
            <c:numRef>
              <c:f>('After instal'!$AG$33:$AG$35,'After instal'!$AG$78:$AG$82)</c:f>
              <c:numCache>
                <c:formatCode>General</c:formatCode>
                <c:ptCount val="8"/>
                <c:pt idx="0">
                  <c:v>462</c:v>
                </c:pt>
                <c:pt idx="1">
                  <c:v>486</c:v>
                </c:pt>
                <c:pt idx="2">
                  <c:v>508</c:v>
                </c:pt>
                <c:pt idx="3">
                  <c:v>469</c:v>
                </c:pt>
                <c:pt idx="4">
                  <c:v>489</c:v>
                </c:pt>
                <c:pt idx="5">
                  <c:v>489</c:v>
                </c:pt>
                <c:pt idx="6">
                  <c:v>469</c:v>
                </c:pt>
                <c:pt idx="7">
                  <c:v>416</c:v>
                </c:pt>
              </c:numCache>
            </c:numRef>
          </c:xVal>
          <c:yVal>
            <c:numRef>
              <c:f>('After instal'!$AJ$33:$AJ$35,'After instal'!$AJ$78:$AJ$82)</c:f>
              <c:numCache>
                <c:formatCode>General</c:formatCode>
                <c:ptCount val="8"/>
                <c:pt idx="0">
                  <c:v>1355</c:v>
                </c:pt>
                <c:pt idx="1">
                  <c:v>1513</c:v>
                </c:pt>
                <c:pt idx="2">
                  <c:v>1748</c:v>
                </c:pt>
                <c:pt idx="3">
                  <c:v>1467</c:v>
                </c:pt>
                <c:pt idx="4">
                  <c:v>1527</c:v>
                </c:pt>
                <c:pt idx="5">
                  <c:v>1519</c:v>
                </c:pt>
                <c:pt idx="6">
                  <c:v>1444</c:v>
                </c:pt>
                <c:pt idx="7">
                  <c:v>1112</c:v>
                </c:pt>
              </c:numCache>
            </c:numRef>
          </c:yVal>
          <c:smooth val="0"/>
        </c:ser>
        <c:ser>
          <c:idx val="1"/>
          <c:order val="2"/>
          <c:tx>
            <c:strRef>
              <c:f>'After instal'!$A$37</c:f>
              <c:strCache>
                <c:ptCount val="1"/>
                <c:pt idx="0">
                  <c:v>3 grains, 4 drops, 600s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solidFill>
                  <a:schemeClr val="accent2">
                    <a:lumMod val="40000"/>
                    <a:lumOff val="60000"/>
                  </a:schemeClr>
                </a:solidFill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30519015369992297"/>
                  <c:y val="0.23710496364945499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>
                      <a:solidFill>
                        <a:schemeClr val="accent2">
                          <a:lumMod val="40000"/>
                          <a:lumOff val="60000"/>
                        </a:schemeClr>
                      </a:solidFill>
                    </a:defRPr>
                  </a:pPr>
                  <a:endParaRPr lang="pt-BR"/>
                </a:p>
              </c:txPr>
            </c:trendlineLbl>
          </c:trendline>
          <c:xVal>
            <c:numRef>
              <c:f>'After instal'!$AG$38:$AG$43</c:f>
              <c:numCache>
                <c:formatCode>General</c:formatCode>
                <c:ptCount val="6"/>
                <c:pt idx="0">
                  <c:v>401</c:v>
                </c:pt>
                <c:pt idx="1">
                  <c:v>484</c:v>
                </c:pt>
                <c:pt idx="2">
                  <c:v>438</c:v>
                </c:pt>
                <c:pt idx="3">
                  <c:v>416</c:v>
                </c:pt>
                <c:pt idx="4">
                  <c:v>462</c:v>
                </c:pt>
                <c:pt idx="5">
                  <c:v>377</c:v>
                </c:pt>
              </c:numCache>
            </c:numRef>
          </c:xVal>
          <c:yVal>
            <c:numRef>
              <c:f>'After instal'!$AJ$38:$AJ$43</c:f>
              <c:numCache>
                <c:formatCode>General</c:formatCode>
                <c:ptCount val="6"/>
                <c:pt idx="0">
                  <c:v>967</c:v>
                </c:pt>
                <c:pt idx="1">
                  <c:v>1496</c:v>
                </c:pt>
                <c:pt idx="2">
                  <c:v>1185</c:v>
                </c:pt>
                <c:pt idx="3">
                  <c:v>1097</c:v>
                </c:pt>
                <c:pt idx="4">
                  <c:v>1386</c:v>
                </c:pt>
                <c:pt idx="5">
                  <c:v>942</c:v>
                </c:pt>
              </c:numCache>
            </c:numRef>
          </c:yVal>
          <c:smooth val="0"/>
        </c:ser>
        <c:ser>
          <c:idx val="2"/>
          <c:order val="3"/>
          <c:tx>
            <c:strRef>
              <c:f>'After instal'!$A$5</c:f>
              <c:strCache>
                <c:ptCount val="1"/>
                <c:pt idx="0">
                  <c:v>4 grains, 3 drops, 600s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6"/>
            <c:spPr>
              <a:solidFill>
                <a:schemeClr val="tx2"/>
              </a:solidFill>
              <a:ln>
                <a:solidFill>
                  <a:schemeClr val="tx2"/>
                </a:solidFill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4.8797727444563302E-2"/>
                  <c:y val="0.41253338907857801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>
                      <a:solidFill>
                        <a:schemeClr val="tx2"/>
                      </a:solidFill>
                    </a:defRPr>
                  </a:pPr>
                  <a:endParaRPr lang="pt-BR"/>
                </a:p>
              </c:txPr>
            </c:trendlineLbl>
          </c:trendline>
          <c:xVal>
            <c:numRef>
              <c:f>'After instal'!$AG$6:$AG$13</c:f>
              <c:numCache>
                <c:formatCode>General</c:formatCode>
                <c:ptCount val="8"/>
                <c:pt idx="0">
                  <c:v>533</c:v>
                </c:pt>
                <c:pt idx="1">
                  <c:v>538</c:v>
                </c:pt>
                <c:pt idx="2">
                  <c:v>494</c:v>
                </c:pt>
                <c:pt idx="3">
                  <c:v>455</c:v>
                </c:pt>
                <c:pt idx="4">
                  <c:v>467</c:v>
                </c:pt>
                <c:pt idx="5">
                  <c:v>477</c:v>
                </c:pt>
                <c:pt idx="6">
                  <c:v>525</c:v>
                </c:pt>
                <c:pt idx="7">
                  <c:v>445</c:v>
                </c:pt>
              </c:numCache>
            </c:numRef>
          </c:xVal>
          <c:yVal>
            <c:numRef>
              <c:f>'After instal'!$AJ$6:$AJ$13</c:f>
              <c:numCache>
                <c:formatCode>General</c:formatCode>
                <c:ptCount val="8"/>
                <c:pt idx="0">
                  <c:v>1775</c:v>
                </c:pt>
                <c:pt idx="1">
                  <c:v>1729</c:v>
                </c:pt>
                <c:pt idx="2">
                  <c:v>1375</c:v>
                </c:pt>
                <c:pt idx="3">
                  <c:v>1177</c:v>
                </c:pt>
                <c:pt idx="4">
                  <c:v>1187</c:v>
                </c:pt>
                <c:pt idx="5">
                  <c:v>1195</c:v>
                </c:pt>
                <c:pt idx="6">
                  <c:v>1652</c:v>
                </c:pt>
                <c:pt idx="7">
                  <c:v>1146</c:v>
                </c:pt>
              </c:numCache>
            </c:numRef>
          </c:yVal>
          <c:smooth val="0"/>
        </c:ser>
        <c:ser>
          <c:idx val="3"/>
          <c:order val="4"/>
          <c:tx>
            <c:strRef>
              <c:f>'After instal'!$A$15</c:f>
              <c:strCache>
                <c:ptCount val="1"/>
                <c:pt idx="0">
                  <c:v>4 grains, 4 drops, 600s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6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34685871056241402"/>
                  <c:y val="0.55351125357118003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>
                      <a:solidFill>
                        <a:srgbClr val="C00000"/>
                      </a:solidFill>
                    </a:defRPr>
                  </a:pPr>
                  <a:endParaRPr lang="pt-BR"/>
                </a:p>
              </c:txPr>
            </c:trendlineLbl>
          </c:trendline>
          <c:xVal>
            <c:numRef>
              <c:f>'After instal'!$AG$16:$AG$27</c:f>
              <c:numCache>
                <c:formatCode>General</c:formatCode>
                <c:ptCount val="12"/>
                <c:pt idx="0">
                  <c:v>472</c:v>
                </c:pt>
                <c:pt idx="1">
                  <c:v>389</c:v>
                </c:pt>
                <c:pt idx="2">
                  <c:v>425</c:v>
                </c:pt>
                <c:pt idx="3">
                  <c:v>506</c:v>
                </c:pt>
                <c:pt idx="4">
                  <c:v>521</c:v>
                </c:pt>
                <c:pt idx="5">
                  <c:v>486</c:v>
                </c:pt>
                <c:pt idx="6">
                  <c:v>399</c:v>
                </c:pt>
                <c:pt idx="7">
                  <c:v>496</c:v>
                </c:pt>
                <c:pt idx="8">
                  <c:v>506</c:v>
                </c:pt>
                <c:pt idx="9">
                  <c:v>513</c:v>
                </c:pt>
                <c:pt idx="10">
                  <c:v>508</c:v>
                </c:pt>
                <c:pt idx="11">
                  <c:v>506</c:v>
                </c:pt>
              </c:numCache>
            </c:numRef>
          </c:xVal>
          <c:yVal>
            <c:numRef>
              <c:f>'After instal'!$AJ$16:$AJ$27</c:f>
              <c:numCache>
                <c:formatCode>General</c:formatCode>
                <c:ptCount val="12"/>
                <c:pt idx="0">
                  <c:v>1321</c:v>
                </c:pt>
                <c:pt idx="1">
                  <c:v>903</c:v>
                </c:pt>
                <c:pt idx="2">
                  <c:v>1068</c:v>
                </c:pt>
                <c:pt idx="3">
                  <c:v>1558</c:v>
                </c:pt>
                <c:pt idx="4">
                  <c:v>1676</c:v>
                </c:pt>
                <c:pt idx="5">
                  <c:v>1427</c:v>
                </c:pt>
                <c:pt idx="6">
                  <c:v>917</c:v>
                </c:pt>
                <c:pt idx="7">
                  <c:v>1532</c:v>
                </c:pt>
                <c:pt idx="8">
                  <c:v>1593</c:v>
                </c:pt>
                <c:pt idx="9">
                  <c:v>1711</c:v>
                </c:pt>
                <c:pt idx="10">
                  <c:v>1635</c:v>
                </c:pt>
                <c:pt idx="11">
                  <c:v>1641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378496"/>
        <c:axId val="63379072"/>
      </c:scatterChart>
      <c:valAx>
        <c:axId val="63378496"/>
        <c:scaling>
          <c:orientation val="minMax"/>
          <c:min val="3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 CO2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379072"/>
        <c:crosses val="autoZero"/>
        <c:crossBetween val="midCat"/>
      </c:valAx>
      <c:valAx>
        <c:axId val="63379072"/>
        <c:scaling>
          <c:orientation val="minMax"/>
          <c:min val="6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Initial intensity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3784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4976421157231901"/>
          <c:y val="1.8911883802135401E-2"/>
          <c:w val="0.34543209876543202"/>
          <c:h val="0.18877073994069299"/>
        </c:manualLayout>
      </c:layout>
      <c:overlay val="0"/>
      <c:txPr>
        <a:bodyPr/>
        <a:lstStyle/>
        <a:p>
          <a:pPr>
            <a:defRPr sz="800"/>
          </a:pPr>
          <a:endParaRPr lang="pt-B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281433956557901"/>
          <c:y val="3.8350672487182602E-2"/>
          <c:w val="0.81842195651469596"/>
          <c:h val="0.823984391331614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'After instal'!$A$32</c:f>
              <c:strCache>
                <c:ptCount val="1"/>
                <c:pt idx="0">
                  <c:v>3 grains, 3 drops, 600s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23348346888738"/>
                  <c:y val="0.24633235004916401"/>
                </c:manualLayout>
              </c:layout>
              <c:numFmt formatCode="General" sourceLinked="0"/>
            </c:trendlineLbl>
          </c:trendline>
          <c:xVal>
            <c:numRef>
              <c:f>'After instal'!$AG$33:$AG$35</c:f>
              <c:numCache>
                <c:formatCode>General</c:formatCode>
                <c:ptCount val="3"/>
                <c:pt idx="0">
                  <c:v>462</c:v>
                </c:pt>
                <c:pt idx="1">
                  <c:v>486</c:v>
                </c:pt>
                <c:pt idx="2">
                  <c:v>508</c:v>
                </c:pt>
              </c:numCache>
            </c:numRef>
          </c:xVal>
          <c:yVal>
            <c:numRef>
              <c:f>'After instal'!$AJ$33:$AJ$35</c:f>
              <c:numCache>
                <c:formatCode>General</c:formatCode>
                <c:ptCount val="3"/>
                <c:pt idx="0">
                  <c:v>1355</c:v>
                </c:pt>
                <c:pt idx="1">
                  <c:v>1513</c:v>
                </c:pt>
                <c:pt idx="2">
                  <c:v>1748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'After instal'!$A$45</c:f>
              <c:strCache>
                <c:ptCount val="1"/>
                <c:pt idx="0">
                  <c:v>3 grains, 3 drops, 720s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trendline>
            <c:trendlineType val="linear"/>
            <c:dispRSqr val="1"/>
            <c:dispEq val="1"/>
            <c:trendlineLbl>
              <c:layout>
                <c:manualLayout>
                  <c:x val="0.126362291133361"/>
                  <c:y val="-8.3586896770647096E-2"/>
                </c:manualLayout>
              </c:layout>
              <c:numFmt formatCode="General" sourceLinked="0"/>
            </c:trendlineLbl>
          </c:trendline>
          <c:xVal>
            <c:numRef>
              <c:f>'After instal'!$AG$46:$AG$51</c:f>
              <c:numCache>
                <c:formatCode>General</c:formatCode>
                <c:ptCount val="6"/>
                <c:pt idx="0">
                  <c:v>423</c:v>
                </c:pt>
                <c:pt idx="1">
                  <c:v>474</c:v>
                </c:pt>
                <c:pt idx="2">
                  <c:v>528</c:v>
                </c:pt>
                <c:pt idx="3">
                  <c:v>484</c:v>
                </c:pt>
                <c:pt idx="4">
                  <c:v>489</c:v>
                </c:pt>
                <c:pt idx="5">
                  <c:v>486</c:v>
                </c:pt>
              </c:numCache>
            </c:numRef>
          </c:xVal>
          <c:yVal>
            <c:numRef>
              <c:f>'After instal'!$AJ$46:$AJ$51</c:f>
              <c:numCache>
                <c:formatCode>General</c:formatCode>
                <c:ptCount val="6"/>
                <c:pt idx="0">
                  <c:v>1201</c:v>
                </c:pt>
                <c:pt idx="1">
                  <c:v>1540</c:v>
                </c:pt>
                <c:pt idx="2">
                  <c:v>2014</c:v>
                </c:pt>
                <c:pt idx="3">
                  <c:v>1622</c:v>
                </c:pt>
                <c:pt idx="4">
                  <c:v>1696</c:v>
                </c:pt>
                <c:pt idx="5">
                  <c:v>1644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'After instal'!$A$53</c:f>
              <c:strCache>
                <c:ptCount val="1"/>
                <c:pt idx="0">
                  <c:v>3 grains, 3 drops, 840s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6"/>
          </c:marker>
          <c:trendline>
            <c:trendlineType val="linear"/>
            <c:dispRSqr val="1"/>
            <c:dispEq val="1"/>
            <c:trendlineLbl>
              <c:layout>
                <c:manualLayout>
                  <c:x val="2.1561841806811199E-2"/>
                  <c:y val="-5.6890189611254298E-2"/>
                </c:manualLayout>
              </c:layout>
              <c:numFmt formatCode="General" sourceLinked="0"/>
            </c:trendlineLbl>
          </c:trendline>
          <c:xVal>
            <c:numRef>
              <c:f>'After instal'!$AG$54:$AG$59</c:f>
              <c:numCache>
                <c:formatCode>General</c:formatCode>
                <c:ptCount val="6"/>
                <c:pt idx="0">
                  <c:v>472</c:v>
                </c:pt>
                <c:pt idx="1">
                  <c:v>452</c:v>
                </c:pt>
                <c:pt idx="2">
                  <c:v>445</c:v>
                </c:pt>
                <c:pt idx="3">
                  <c:v>484</c:v>
                </c:pt>
                <c:pt idx="4">
                  <c:v>496</c:v>
                </c:pt>
                <c:pt idx="5">
                  <c:v>464</c:v>
                </c:pt>
              </c:numCache>
            </c:numRef>
          </c:xVal>
          <c:yVal>
            <c:numRef>
              <c:f>'After instal'!$AJ$54:$AJ$59</c:f>
              <c:numCache>
                <c:formatCode>General</c:formatCode>
                <c:ptCount val="6"/>
                <c:pt idx="0">
                  <c:v>1614</c:v>
                </c:pt>
                <c:pt idx="1">
                  <c:v>1382</c:v>
                </c:pt>
                <c:pt idx="2">
                  <c:v>1399</c:v>
                </c:pt>
                <c:pt idx="3">
                  <c:v>1679</c:v>
                </c:pt>
                <c:pt idx="4">
                  <c:v>1809</c:v>
                </c:pt>
                <c:pt idx="5">
                  <c:v>1454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561088"/>
        <c:axId val="122561664"/>
      </c:scatterChart>
      <c:valAx>
        <c:axId val="122561088"/>
        <c:scaling>
          <c:orientation val="minMax"/>
          <c:min val="3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 CO2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561664"/>
        <c:crosses val="autoZero"/>
        <c:crossBetween val="midCat"/>
      </c:valAx>
      <c:valAx>
        <c:axId val="122561664"/>
        <c:scaling>
          <c:orientation val="minMax"/>
          <c:min val="6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Initial intensity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56108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4427724312238799"/>
          <c:y val="5.4310113890631E-2"/>
          <c:w val="0.30144043722929698"/>
          <c:h val="0.226160933423145"/>
        </c:manualLayout>
      </c:layout>
      <c:overlay val="0"/>
      <c:txPr>
        <a:bodyPr/>
        <a:lstStyle/>
        <a:p>
          <a:pPr>
            <a:defRPr sz="800"/>
          </a:pPr>
          <a:endParaRPr lang="pt-B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4281433956557901"/>
          <c:y val="3.8350672487182602E-2"/>
          <c:w val="0.81842195651469596"/>
          <c:h val="0.82398439133161405"/>
        </c:manualLayout>
      </c:layout>
      <c:scatterChart>
        <c:scatterStyle val="lineMarker"/>
        <c:varyColors val="0"/>
        <c:ser>
          <c:idx val="0"/>
          <c:order val="0"/>
          <c:tx>
            <c:v>mass x P</c:v>
          </c:tx>
          <c:spPr>
            <a:ln w="28575">
              <a:noFill/>
            </a:ln>
          </c:spPr>
          <c:xVal>
            <c:numRef>
              <c:f>('After instal'!$AM$6:$AM$13,'After instal'!$AM$16:$AM$27,'After instal'!$AM$30,'After instal'!$AM$33:$AM$35,'After instal'!$AM$38:$AM$43,'After instal'!$AM$46:$AM$51,'After instal'!$AM$54:$AM$59,'After instal'!$AM$64:$AM$68,'After instal'!$AM$71:$AM$75,'After instal'!$AM$78:$AM$82,'After instal'!$AM$87:$AM$94,'After instal'!$AM$99:$AM$107,'After instal'!$AM$112:$AM$118)</c:f>
              <c:numCache>
                <c:formatCode>General</c:formatCode>
                <c:ptCount val="81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36</c:v>
                </c:pt>
                <c:pt idx="11">
                  <c:v>36</c:v>
                </c:pt>
                <c:pt idx="12">
                  <c:v>36</c:v>
                </c:pt>
                <c:pt idx="13">
                  <c:v>36</c:v>
                </c:pt>
                <c:pt idx="14">
                  <c:v>36</c:v>
                </c:pt>
                <c:pt idx="15">
                  <c:v>36</c:v>
                </c:pt>
                <c:pt idx="16">
                  <c:v>36</c:v>
                </c:pt>
                <c:pt idx="17">
                  <c:v>36</c:v>
                </c:pt>
                <c:pt idx="18">
                  <c:v>36</c:v>
                </c:pt>
                <c:pt idx="19">
                  <c:v>36</c:v>
                </c:pt>
                <c:pt idx="20">
                  <c:v>18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18</c:v>
                </c:pt>
                <c:pt idx="51">
                  <c:v>18</c:v>
                </c:pt>
                <c:pt idx="52">
                  <c:v>27</c:v>
                </c:pt>
                <c:pt idx="53">
                  <c:v>27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54</c:v>
                </c:pt>
                <c:pt idx="58">
                  <c:v>54</c:v>
                </c:pt>
                <c:pt idx="59">
                  <c:v>54</c:v>
                </c:pt>
                <c:pt idx="60">
                  <c:v>54</c:v>
                </c:pt>
                <c:pt idx="61">
                  <c:v>54</c:v>
                </c:pt>
                <c:pt idx="62">
                  <c:v>54</c:v>
                </c:pt>
                <c:pt idx="63">
                  <c:v>54</c:v>
                </c:pt>
                <c:pt idx="64">
                  <c:v>54</c:v>
                </c:pt>
                <c:pt idx="65">
                  <c:v>54</c:v>
                </c:pt>
                <c:pt idx="68">
                  <c:v>54</c:v>
                </c:pt>
                <c:pt idx="69">
                  <c:v>54</c:v>
                </c:pt>
                <c:pt idx="70">
                  <c:v>54</c:v>
                </c:pt>
                <c:pt idx="71">
                  <c:v>54</c:v>
                </c:pt>
                <c:pt idx="72">
                  <c:v>54</c:v>
                </c:pt>
                <c:pt idx="73">
                  <c:v>54</c:v>
                </c:pt>
                <c:pt idx="74">
                  <c:v>36</c:v>
                </c:pt>
                <c:pt idx="77">
                  <c:v>54</c:v>
                </c:pt>
                <c:pt idx="78">
                  <c:v>54</c:v>
                </c:pt>
                <c:pt idx="79">
                  <c:v>54</c:v>
                </c:pt>
              </c:numCache>
            </c:numRef>
          </c:xVal>
          <c:yVal>
            <c:numRef>
              <c:f>('After instal'!$AG$6:$AG$13,'After instal'!$AG$16:$AG$27,'After instal'!$AG$30,'After instal'!$AG$33:$AG$35,'After instal'!$AG$38:$AG$43,'After instal'!$AG$46:$AG$51,'After instal'!$AG$54:$AG$59,'After instal'!$AG$64:$AG$68,'After instal'!$AG$71:$AG$75,'After instal'!$AG$78:$AG$82,'After instal'!$AG$87:$AG$94,'After instal'!$AG$99:$AG$107,'After instal'!$AG$112:$AG$118)</c:f>
              <c:numCache>
                <c:formatCode>General</c:formatCode>
                <c:ptCount val="81"/>
                <c:pt idx="0">
                  <c:v>533</c:v>
                </c:pt>
                <c:pt idx="1">
                  <c:v>538</c:v>
                </c:pt>
                <c:pt idx="2">
                  <c:v>494</c:v>
                </c:pt>
                <c:pt idx="3">
                  <c:v>455</c:v>
                </c:pt>
                <c:pt idx="4">
                  <c:v>467</c:v>
                </c:pt>
                <c:pt idx="5">
                  <c:v>477</c:v>
                </c:pt>
                <c:pt idx="6">
                  <c:v>525</c:v>
                </c:pt>
                <c:pt idx="7">
                  <c:v>445</c:v>
                </c:pt>
                <c:pt idx="8">
                  <c:v>472</c:v>
                </c:pt>
                <c:pt idx="9">
                  <c:v>389</c:v>
                </c:pt>
                <c:pt idx="10">
                  <c:v>425</c:v>
                </c:pt>
                <c:pt idx="11">
                  <c:v>506</c:v>
                </c:pt>
                <c:pt idx="12">
                  <c:v>521</c:v>
                </c:pt>
                <c:pt idx="13">
                  <c:v>486</c:v>
                </c:pt>
                <c:pt idx="14">
                  <c:v>399</c:v>
                </c:pt>
                <c:pt idx="15">
                  <c:v>496</c:v>
                </c:pt>
                <c:pt idx="16">
                  <c:v>506</c:v>
                </c:pt>
                <c:pt idx="17">
                  <c:v>513</c:v>
                </c:pt>
                <c:pt idx="18">
                  <c:v>508</c:v>
                </c:pt>
                <c:pt idx="19">
                  <c:v>506</c:v>
                </c:pt>
                <c:pt idx="20">
                  <c:v>40</c:v>
                </c:pt>
                <c:pt idx="21">
                  <c:v>462</c:v>
                </c:pt>
                <c:pt idx="22">
                  <c:v>486</c:v>
                </c:pt>
                <c:pt idx="23">
                  <c:v>508</c:v>
                </c:pt>
                <c:pt idx="24">
                  <c:v>401</c:v>
                </c:pt>
                <c:pt idx="25">
                  <c:v>484</c:v>
                </c:pt>
                <c:pt idx="26">
                  <c:v>438</c:v>
                </c:pt>
                <c:pt idx="27">
                  <c:v>416</c:v>
                </c:pt>
                <c:pt idx="28">
                  <c:v>462</c:v>
                </c:pt>
                <c:pt idx="29">
                  <c:v>377</c:v>
                </c:pt>
                <c:pt idx="30">
                  <c:v>423</c:v>
                </c:pt>
                <c:pt idx="31">
                  <c:v>474</c:v>
                </c:pt>
                <c:pt idx="32">
                  <c:v>528</c:v>
                </c:pt>
                <c:pt idx="33">
                  <c:v>484</c:v>
                </c:pt>
                <c:pt idx="34">
                  <c:v>489</c:v>
                </c:pt>
                <c:pt idx="35">
                  <c:v>486</c:v>
                </c:pt>
                <c:pt idx="36">
                  <c:v>472</c:v>
                </c:pt>
                <c:pt idx="37">
                  <c:v>452</c:v>
                </c:pt>
                <c:pt idx="38">
                  <c:v>445</c:v>
                </c:pt>
                <c:pt idx="39">
                  <c:v>484</c:v>
                </c:pt>
                <c:pt idx="40">
                  <c:v>496</c:v>
                </c:pt>
                <c:pt idx="41">
                  <c:v>464</c:v>
                </c:pt>
                <c:pt idx="42">
                  <c:v>311</c:v>
                </c:pt>
                <c:pt idx="43">
                  <c:v>30</c:v>
                </c:pt>
                <c:pt idx="44">
                  <c:v>232</c:v>
                </c:pt>
                <c:pt idx="45">
                  <c:v>262</c:v>
                </c:pt>
                <c:pt idx="46">
                  <c:v>250</c:v>
                </c:pt>
                <c:pt idx="47">
                  <c:v>418</c:v>
                </c:pt>
                <c:pt idx="48">
                  <c:v>367</c:v>
                </c:pt>
                <c:pt idx="49">
                  <c:v>311</c:v>
                </c:pt>
                <c:pt idx="50">
                  <c:v>418</c:v>
                </c:pt>
                <c:pt idx="51">
                  <c:v>440</c:v>
                </c:pt>
                <c:pt idx="52">
                  <c:v>469</c:v>
                </c:pt>
                <c:pt idx="53">
                  <c:v>489</c:v>
                </c:pt>
                <c:pt idx="54">
                  <c:v>489</c:v>
                </c:pt>
                <c:pt idx="55">
                  <c:v>469</c:v>
                </c:pt>
                <c:pt idx="56">
                  <c:v>416</c:v>
                </c:pt>
                <c:pt idx="57">
                  <c:v>621</c:v>
                </c:pt>
                <c:pt idx="58">
                  <c:v>665</c:v>
                </c:pt>
                <c:pt idx="59">
                  <c:v>648</c:v>
                </c:pt>
                <c:pt idx="60">
                  <c:v>631</c:v>
                </c:pt>
                <c:pt idx="61">
                  <c:v>621</c:v>
                </c:pt>
                <c:pt idx="62">
                  <c:v>704</c:v>
                </c:pt>
                <c:pt idx="63">
                  <c:v>677</c:v>
                </c:pt>
                <c:pt idx="64">
                  <c:v>635</c:v>
                </c:pt>
                <c:pt idx="65">
                  <c:v>689</c:v>
                </c:pt>
                <c:pt idx="68">
                  <c:v>604</c:v>
                </c:pt>
                <c:pt idx="69">
                  <c:v>640</c:v>
                </c:pt>
                <c:pt idx="70">
                  <c:v>655</c:v>
                </c:pt>
                <c:pt idx="71">
                  <c:v>645</c:v>
                </c:pt>
                <c:pt idx="72">
                  <c:v>667</c:v>
                </c:pt>
                <c:pt idx="73">
                  <c:v>413</c:v>
                </c:pt>
                <c:pt idx="74">
                  <c:v>543</c:v>
                </c:pt>
                <c:pt idx="77">
                  <c:v>670</c:v>
                </c:pt>
                <c:pt idx="78">
                  <c:v>589</c:v>
                </c:pt>
                <c:pt idx="79">
                  <c:v>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563968"/>
        <c:axId val="122564544"/>
      </c:scatterChart>
      <c:valAx>
        <c:axId val="122563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mass (ug)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564544"/>
        <c:crosses val="autoZero"/>
        <c:crossBetween val="midCat"/>
      </c:valAx>
      <c:valAx>
        <c:axId val="12256454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5639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" l="0.70000000000000095" r="0.70000000000000095" t="0.750000000000001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</a:t>
            </a:r>
            <a:r>
              <a:rPr lang="en-US" baseline="0"/>
              <a:t> x Intensity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4281433956557901"/>
          <c:y val="3.8350672487182602E-2"/>
          <c:w val="0.81842195651469696"/>
          <c:h val="0.8239843913316140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'After instal'!$AG$6:$AG$117</c:f>
              <c:numCache>
                <c:formatCode>General</c:formatCode>
                <c:ptCount val="112"/>
                <c:pt idx="0">
                  <c:v>533</c:v>
                </c:pt>
                <c:pt idx="1">
                  <c:v>538</c:v>
                </c:pt>
                <c:pt idx="2">
                  <c:v>494</c:v>
                </c:pt>
                <c:pt idx="3">
                  <c:v>455</c:v>
                </c:pt>
                <c:pt idx="4">
                  <c:v>467</c:v>
                </c:pt>
                <c:pt idx="5">
                  <c:v>477</c:v>
                </c:pt>
                <c:pt idx="6">
                  <c:v>525</c:v>
                </c:pt>
                <c:pt idx="7">
                  <c:v>445</c:v>
                </c:pt>
                <c:pt idx="10">
                  <c:v>472</c:v>
                </c:pt>
                <c:pt idx="11">
                  <c:v>389</c:v>
                </c:pt>
                <c:pt idx="12">
                  <c:v>425</c:v>
                </c:pt>
                <c:pt idx="13">
                  <c:v>506</c:v>
                </c:pt>
                <c:pt idx="14">
                  <c:v>521</c:v>
                </c:pt>
                <c:pt idx="15">
                  <c:v>486</c:v>
                </c:pt>
                <c:pt idx="16">
                  <c:v>399</c:v>
                </c:pt>
                <c:pt idx="17">
                  <c:v>496</c:v>
                </c:pt>
                <c:pt idx="18">
                  <c:v>506</c:v>
                </c:pt>
                <c:pt idx="19">
                  <c:v>513</c:v>
                </c:pt>
                <c:pt idx="20">
                  <c:v>508</c:v>
                </c:pt>
                <c:pt idx="21">
                  <c:v>506</c:v>
                </c:pt>
                <c:pt idx="24">
                  <c:v>40</c:v>
                </c:pt>
                <c:pt idx="27">
                  <c:v>462</c:v>
                </c:pt>
                <c:pt idx="28">
                  <c:v>486</c:v>
                </c:pt>
                <c:pt idx="29">
                  <c:v>508</c:v>
                </c:pt>
                <c:pt idx="32">
                  <c:v>401</c:v>
                </c:pt>
                <c:pt idx="33">
                  <c:v>484</c:v>
                </c:pt>
                <c:pt idx="34">
                  <c:v>438</c:v>
                </c:pt>
                <c:pt idx="35">
                  <c:v>416</c:v>
                </c:pt>
                <c:pt idx="36">
                  <c:v>462</c:v>
                </c:pt>
                <c:pt idx="37">
                  <c:v>377</c:v>
                </c:pt>
                <c:pt idx="40">
                  <c:v>423</c:v>
                </c:pt>
                <c:pt idx="41">
                  <c:v>474</c:v>
                </c:pt>
                <c:pt idx="42">
                  <c:v>528</c:v>
                </c:pt>
                <c:pt idx="43">
                  <c:v>484</c:v>
                </c:pt>
                <c:pt idx="44">
                  <c:v>489</c:v>
                </c:pt>
                <c:pt idx="45">
                  <c:v>486</c:v>
                </c:pt>
                <c:pt idx="48">
                  <c:v>472</c:v>
                </c:pt>
                <c:pt idx="49">
                  <c:v>452</c:v>
                </c:pt>
                <c:pt idx="50">
                  <c:v>445</c:v>
                </c:pt>
                <c:pt idx="51">
                  <c:v>484</c:v>
                </c:pt>
                <c:pt idx="52">
                  <c:v>496</c:v>
                </c:pt>
                <c:pt idx="53">
                  <c:v>464</c:v>
                </c:pt>
                <c:pt idx="58">
                  <c:v>311</c:v>
                </c:pt>
                <c:pt idx="59">
                  <c:v>30</c:v>
                </c:pt>
                <c:pt idx="60">
                  <c:v>232</c:v>
                </c:pt>
                <c:pt idx="61">
                  <c:v>262</c:v>
                </c:pt>
                <c:pt idx="62">
                  <c:v>250</c:v>
                </c:pt>
                <c:pt idx="65">
                  <c:v>418</c:v>
                </c:pt>
                <c:pt idx="66">
                  <c:v>367</c:v>
                </c:pt>
                <c:pt idx="67">
                  <c:v>311</c:v>
                </c:pt>
                <c:pt idx="68">
                  <c:v>418</c:v>
                </c:pt>
                <c:pt idx="69">
                  <c:v>440</c:v>
                </c:pt>
                <c:pt idx="72">
                  <c:v>469</c:v>
                </c:pt>
                <c:pt idx="73">
                  <c:v>489</c:v>
                </c:pt>
                <c:pt idx="74">
                  <c:v>489</c:v>
                </c:pt>
                <c:pt idx="75">
                  <c:v>469</c:v>
                </c:pt>
                <c:pt idx="76">
                  <c:v>416</c:v>
                </c:pt>
                <c:pt idx="81">
                  <c:v>621</c:v>
                </c:pt>
                <c:pt idx="82">
                  <c:v>665</c:v>
                </c:pt>
                <c:pt idx="83">
                  <c:v>648</c:v>
                </c:pt>
                <c:pt idx="84">
                  <c:v>631</c:v>
                </c:pt>
                <c:pt idx="85">
                  <c:v>621</c:v>
                </c:pt>
                <c:pt idx="86">
                  <c:v>704</c:v>
                </c:pt>
                <c:pt idx="87">
                  <c:v>677</c:v>
                </c:pt>
                <c:pt idx="88">
                  <c:v>635</c:v>
                </c:pt>
                <c:pt idx="93">
                  <c:v>689</c:v>
                </c:pt>
                <c:pt idx="96">
                  <c:v>604</c:v>
                </c:pt>
                <c:pt idx="97">
                  <c:v>640</c:v>
                </c:pt>
                <c:pt idx="98">
                  <c:v>655</c:v>
                </c:pt>
                <c:pt idx="99">
                  <c:v>645</c:v>
                </c:pt>
                <c:pt idx="100">
                  <c:v>667</c:v>
                </c:pt>
                <c:pt idx="101">
                  <c:v>413</c:v>
                </c:pt>
                <c:pt idx="106">
                  <c:v>543</c:v>
                </c:pt>
                <c:pt idx="109">
                  <c:v>670</c:v>
                </c:pt>
                <c:pt idx="110">
                  <c:v>589</c:v>
                </c:pt>
                <c:pt idx="111">
                  <c:v>25</c:v>
                </c:pt>
              </c:numCache>
            </c:numRef>
          </c:xVal>
          <c:yVal>
            <c:numRef>
              <c:f>'After instal'!$AJ$6:$AJ$117</c:f>
              <c:numCache>
                <c:formatCode>General</c:formatCode>
                <c:ptCount val="112"/>
                <c:pt idx="0">
                  <c:v>1775</c:v>
                </c:pt>
                <c:pt idx="1">
                  <c:v>1729</c:v>
                </c:pt>
                <c:pt idx="2">
                  <c:v>1375</c:v>
                </c:pt>
                <c:pt idx="3">
                  <c:v>1177</c:v>
                </c:pt>
                <c:pt idx="4">
                  <c:v>1187</c:v>
                </c:pt>
                <c:pt idx="5">
                  <c:v>1195</c:v>
                </c:pt>
                <c:pt idx="6">
                  <c:v>1652</c:v>
                </c:pt>
                <c:pt idx="7">
                  <c:v>1146</c:v>
                </c:pt>
                <c:pt idx="10">
                  <c:v>1321</c:v>
                </c:pt>
                <c:pt idx="11">
                  <c:v>903</c:v>
                </c:pt>
                <c:pt idx="12">
                  <c:v>1068</c:v>
                </c:pt>
                <c:pt idx="13">
                  <c:v>1558</c:v>
                </c:pt>
                <c:pt idx="14">
                  <c:v>1676</c:v>
                </c:pt>
                <c:pt idx="15">
                  <c:v>1427</c:v>
                </c:pt>
                <c:pt idx="16">
                  <c:v>917</c:v>
                </c:pt>
                <c:pt idx="17">
                  <c:v>1532</c:v>
                </c:pt>
                <c:pt idx="18">
                  <c:v>1593</c:v>
                </c:pt>
                <c:pt idx="19">
                  <c:v>1711</c:v>
                </c:pt>
                <c:pt idx="20">
                  <c:v>1635</c:v>
                </c:pt>
                <c:pt idx="21">
                  <c:v>1641</c:v>
                </c:pt>
                <c:pt idx="24">
                  <c:v>9</c:v>
                </c:pt>
                <c:pt idx="27">
                  <c:v>1355</c:v>
                </c:pt>
                <c:pt idx="28">
                  <c:v>1513</c:v>
                </c:pt>
                <c:pt idx="29">
                  <c:v>1748</c:v>
                </c:pt>
                <c:pt idx="32">
                  <c:v>967</c:v>
                </c:pt>
                <c:pt idx="33">
                  <c:v>1496</c:v>
                </c:pt>
                <c:pt idx="34">
                  <c:v>1185</c:v>
                </c:pt>
                <c:pt idx="35">
                  <c:v>1097</c:v>
                </c:pt>
                <c:pt idx="36">
                  <c:v>1386</c:v>
                </c:pt>
                <c:pt idx="37">
                  <c:v>942</c:v>
                </c:pt>
                <c:pt idx="40">
                  <c:v>1201</c:v>
                </c:pt>
                <c:pt idx="41">
                  <c:v>1540</c:v>
                </c:pt>
                <c:pt idx="42">
                  <c:v>2014</c:v>
                </c:pt>
                <c:pt idx="43">
                  <c:v>1622</c:v>
                </c:pt>
                <c:pt idx="44">
                  <c:v>1696</c:v>
                </c:pt>
                <c:pt idx="45">
                  <c:v>1644</c:v>
                </c:pt>
                <c:pt idx="48">
                  <c:v>1614</c:v>
                </c:pt>
                <c:pt idx="49">
                  <c:v>1382</c:v>
                </c:pt>
                <c:pt idx="50">
                  <c:v>1399</c:v>
                </c:pt>
                <c:pt idx="51">
                  <c:v>1679</c:v>
                </c:pt>
                <c:pt idx="52">
                  <c:v>1809</c:v>
                </c:pt>
                <c:pt idx="53">
                  <c:v>1454</c:v>
                </c:pt>
                <c:pt idx="58">
                  <c:v>631</c:v>
                </c:pt>
                <c:pt idx="59">
                  <c:v>12</c:v>
                </c:pt>
                <c:pt idx="60">
                  <c:v>407</c:v>
                </c:pt>
                <c:pt idx="61">
                  <c:v>245</c:v>
                </c:pt>
                <c:pt idx="62">
                  <c:v>435</c:v>
                </c:pt>
                <c:pt idx="65">
                  <c:v>1061</c:v>
                </c:pt>
                <c:pt idx="66">
                  <c:v>888</c:v>
                </c:pt>
                <c:pt idx="67">
                  <c:v>646</c:v>
                </c:pt>
                <c:pt idx="68">
                  <c:v>1149</c:v>
                </c:pt>
                <c:pt idx="69">
                  <c:v>1310</c:v>
                </c:pt>
                <c:pt idx="72">
                  <c:v>1467</c:v>
                </c:pt>
                <c:pt idx="73">
                  <c:v>1527</c:v>
                </c:pt>
                <c:pt idx="74">
                  <c:v>1519</c:v>
                </c:pt>
                <c:pt idx="75">
                  <c:v>1444</c:v>
                </c:pt>
                <c:pt idx="76">
                  <c:v>1112</c:v>
                </c:pt>
                <c:pt idx="81">
                  <c:v>3698</c:v>
                </c:pt>
                <c:pt idx="82">
                  <c:v>3878</c:v>
                </c:pt>
                <c:pt idx="83">
                  <c:v>3608</c:v>
                </c:pt>
                <c:pt idx="84">
                  <c:v>3130</c:v>
                </c:pt>
                <c:pt idx="85">
                  <c:v>2954</c:v>
                </c:pt>
                <c:pt idx="86">
                  <c:v>4325</c:v>
                </c:pt>
                <c:pt idx="87">
                  <c:v>4032</c:v>
                </c:pt>
                <c:pt idx="88">
                  <c:v>3096</c:v>
                </c:pt>
                <c:pt idx="93">
                  <c:v>4090</c:v>
                </c:pt>
                <c:pt idx="96">
                  <c:v>2672</c:v>
                </c:pt>
                <c:pt idx="97">
                  <c:v>2761</c:v>
                </c:pt>
                <c:pt idx="98">
                  <c:v>3662</c:v>
                </c:pt>
                <c:pt idx="99">
                  <c:v>3629</c:v>
                </c:pt>
                <c:pt idx="100">
                  <c:v>3554</c:v>
                </c:pt>
                <c:pt idx="101">
                  <c:v>982</c:v>
                </c:pt>
                <c:pt idx="106">
                  <c:v>1600</c:v>
                </c:pt>
                <c:pt idx="109">
                  <c:v>3209</c:v>
                </c:pt>
                <c:pt idx="110">
                  <c:v>2731</c:v>
                </c:pt>
                <c:pt idx="111">
                  <c:v>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565696"/>
        <c:axId val="122566272"/>
      </c:scatterChart>
      <c:valAx>
        <c:axId val="122565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566272"/>
        <c:crosses val="autoZero"/>
        <c:crossBetween val="midCat"/>
      </c:valAx>
      <c:valAx>
        <c:axId val="12256627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Initial intensity (mV)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5656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" l="0.70000000000000095" r="0.70000000000000095" t="0.750000000000001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mass x P </a:t>
            </a:r>
            <a:r>
              <a:rPr lang="en-US" sz="1200"/>
              <a:t>(3drops,</a:t>
            </a:r>
            <a:r>
              <a:rPr lang="en-US" sz="1200" baseline="0"/>
              <a:t> 600s)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281433956557901"/>
          <c:y val="3.8350672487182602E-2"/>
          <c:w val="0.81842195651469596"/>
          <c:h val="0.82398439133161405"/>
        </c:manualLayout>
      </c:layout>
      <c:scatterChart>
        <c:scatterStyle val="lineMarker"/>
        <c:varyColors val="0"/>
        <c:ser>
          <c:idx val="0"/>
          <c:order val="0"/>
          <c:tx>
            <c:v>mass x P</c:v>
          </c:tx>
          <c:spPr>
            <a:ln w="28575">
              <a:noFill/>
            </a:ln>
          </c:spPr>
          <c:xVal>
            <c:numRef>
              <c:f>('After instal'!$AM$6:$AM$13,'After instal'!$AM$30,'After instal'!$AM$33:$AM$35,'After instal'!$AM$64:$AM$82,'After instal'!$AM$112:$AM$117)</c:f>
              <c:numCache>
                <c:formatCode>General</c:formatCode>
                <c:ptCount val="37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18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36</c:v>
                </c:pt>
                <c:pt idx="34">
                  <c:v>54</c:v>
                </c:pt>
                <c:pt idx="35">
                  <c:v>54</c:v>
                </c:pt>
                <c:pt idx="36">
                  <c:v>54</c:v>
                </c:pt>
              </c:numCache>
            </c:numRef>
          </c:xVal>
          <c:yVal>
            <c:numRef>
              <c:f>('After instal'!$AG$6:$AG$13,'After instal'!$AG$30:$AG$35,'After instal'!$AG$64:$AG$82,'After instal'!$AG$112:$AG$117)</c:f>
              <c:numCache>
                <c:formatCode>General</c:formatCode>
                <c:ptCount val="39"/>
                <c:pt idx="0">
                  <c:v>533</c:v>
                </c:pt>
                <c:pt idx="1">
                  <c:v>538</c:v>
                </c:pt>
                <c:pt idx="2">
                  <c:v>494</c:v>
                </c:pt>
                <c:pt idx="3">
                  <c:v>455</c:v>
                </c:pt>
                <c:pt idx="4">
                  <c:v>467</c:v>
                </c:pt>
                <c:pt idx="5">
                  <c:v>477</c:v>
                </c:pt>
                <c:pt idx="6">
                  <c:v>525</c:v>
                </c:pt>
                <c:pt idx="7">
                  <c:v>445</c:v>
                </c:pt>
                <c:pt idx="8">
                  <c:v>40</c:v>
                </c:pt>
                <c:pt idx="11">
                  <c:v>462</c:v>
                </c:pt>
                <c:pt idx="12">
                  <c:v>486</c:v>
                </c:pt>
                <c:pt idx="13">
                  <c:v>508</c:v>
                </c:pt>
                <c:pt idx="14">
                  <c:v>311</c:v>
                </c:pt>
                <c:pt idx="15">
                  <c:v>30</c:v>
                </c:pt>
                <c:pt idx="16">
                  <c:v>232</c:v>
                </c:pt>
                <c:pt idx="17">
                  <c:v>262</c:v>
                </c:pt>
                <c:pt idx="18">
                  <c:v>250</c:v>
                </c:pt>
                <c:pt idx="21">
                  <c:v>418</c:v>
                </c:pt>
                <c:pt idx="22">
                  <c:v>367</c:v>
                </c:pt>
                <c:pt idx="23">
                  <c:v>311</c:v>
                </c:pt>
                <c:pt idx="24">
                  <c:v>418</c:v>
                </c:pt>
                <c:pt idx="25">
                  <c:v>440</c:v>
                </c:pt>
                <c:pt idx="28">
                  <c:v>469</c:v>
                </c:pt>
                <c:pt idx="29">
                  <c:v>489</c:v>
                </c:pt>
                <c:pt idx="30">
                  <c:v>489</c:v>
                </c:pt>
                <c:pt idx="31">
                  <c:v>469</c:v>
                </c:pt>
                <c:pt idx="32">
                  <c:v>416</c:v>
                </c:pt>
                <c:pt idx="33">
                  <c:v>543</c:v>
                </c:pt>
                <c:pt idx="36">
                  <c:v>670</c:v>
                </c:pt>
                <c:pt idx="37">
                  <c:v>589</c:v>
                </c:pt>
                <c:pt idx="38">
                  <c:v>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568000"/>
        <c:axId val="122773504"/>
      </c:scatterChart>
      <c:valAx>
        <c:axId val="122568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mass (ug)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773504"/>
        <c:crosses val="autoZero"/>
        <c:crossBetween val="midCat"/>
      </c:valAx>
      <c:valAx>
        <c:axId val="12277350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5680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" l="0.70000000000000095" r="0.70000000000000095" t="0.750000000000001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</a:t>
            </a:r>
            <a:r>
              <a:rPr lang="en-US" baseline="0"/>
              <a:t> x Intensity </a:t>
            </a:r>
            <a:r>
              <a:rPr lang="en-US" sz="1200" baseline="0"/>
              <a:t>(3drops, 600s)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4281433956557901"/>
          <c:y val="3.8350672487182602E-2"/>
          <c:w val="0.81842195651469696"/>
          <c:h val="0.8239843913316140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('After instal'!$AG$6:$AG$13,'After instal'!$AG$30:$AG$35,'After instal'!$AG$64:$AG$82,'After instal'!$AG$112:$AG$117)</c:f>
              <c:numCache>
                <c:formatCode>General</c:formatCode>
                <c:ptCount val="39"/>
                <c:pt idx="0">
                  <c:v>533</c:v>
                </c:pt>
                <c:pt idx="1">
                  <c:v>538</c:v>
                </c:pt>
                <c:pt idx="2">
                  <c:v>494</c:v>
                </c:pt>
                <c:pt idx="3">
                  <c:v>455</c:v>
                </c:pt>
                <c:pt idx="4">
                  <c:v>467</c:v>
                </c:pt>
                <c:pt idx="5">
                  <c:v>477</c:v>
                </c:pt>
                <c:pt idx="6">
                  <c:v>525</c:v>
                </c:pt>
                <c:pt idx="7">
                  <c:v>445</c:v>
                </c:pt>
                <c:pt idx="8">
                  <c:v>40</c:v>
                </c:pt>
                <c:pt idx="11">
                  <c:v>462</c:v>
                </c:pt>
                <c:pt idx="12">
                  <c:v>486</c:v>
                </c:pt>
                <c:pt idx="13">
                  <c:v>508</c:v>
                </c:pt>
                <c:pt idx="14">
                  <c:v>311</c:v>
                </c:pt>
                <c:pt idx="15">
                  <c:v>30</c:v>
                </c:pt>
                <c:pt idx="16">
                  <c:v>232</c:v>
                </c:pt>
                <c:pt idx="17">
                  <c:v>262</c:v>
                </c:pt>
                <c:pt idx="18">
                  <c:v>250</c:v>
                </c:pt>
                <c:pt idx="21">
                  <c:v>418</c:v>
                </c:pt>
                <c:pt idx="22">
                  <c:v>367</c:v>
                </c:pt>
                <c:pt idx="23">
                  <c:v>311</c:v>
                </c:pt>
                <c:pt idx="24">
                  <c:v>418</c:v>
                </c:pt>
                <c:pt idx="25">
                  <c:v>440</c:v>
                </c:pt>
                <c:pt idx="28">
                  <c:v>469</c:v>
                </c:pt>
                <c:pt idx="29">
                  <c:v>489</c:v>
                </c:pt>
                <c:pt idx="30">
                  <c:v>489</c:v>
                </c:pt>
                <c:pt idx="31">
                  <c:v>469</c:v>
                </c:pt>
                <c:pt idx="32">
                  <c:v>416</c:v>
                </c:pt>
                <c:pt idx="33">
                  <c:v>543</c:v>
                </c:pt>
                <c:pt idx="36">
                  <c:v>670</c:v>
                </c:pt>
                <c:pt idx="37">
                  <c:v>589</c:v>
                </c:pt>
                <c:pt idx="38">
                  <c:v>25</c:v>
                </c:pt>
              </c:numCache>
            </c:numRef>
          </c:xVal>
          <c:yVal>
            <c:numRef>
              <c:f>('After instal'!$AJ$6:$AJ$13,'After instal'!$AJ$30:$AJ$35,'After instal'!$AJ$64:$AJ$82,'After instal'!$AJ$112:$AJ$117)</c:f>
              <c:numCache>
                <c:formatCode>General</c:formatCode>
                <c:ptCount val="39"/>
                <c:pt idx="0">
                  <c:v>1775</c:v>
                </c:pt>
                <c:pt idx="1">
                  <c:v>1729</c:v>
                </c:pt>
                <c:pt idx="2">
                  <c:v>1375</c:v>
                </c:pt>
                <c:pt idx="3">
                  <c:v>1177</c:v>
                </c:pt>
                <c:pt idx="4">
                  <c:v>1187</c:v>
                </c:pt>
                <c:pt idx="5">
                  <c:v>1195</c:v>
                </c:pt>
                <c:pt idx="6">
                  <c:v>1652</c:v>
                </c:pt>
                <c:pt idx="7">
                  <c:v>1146</c:v>
                </c:pt>
                <c:pt idx="8">
                  <c:v>9</c:v>
                </c:pt>
                <c:pt idx="11">
                  <c:v>1355</c:v>
                </c:pt>
                <c:pt idx="12">
                  <c:v>1513</c:v>
                </c:pt>
                <c:pt idx="13">
                  <c:v>1748</c:v>
                </c:pt>
                <c:pt idx="14">
                  <c:v>631</c:v>
                </c:pt>
                <c:pt idx="15">
                  <c:v>12</c:v>
                </c:pt>
                <c:pt idx="16">
                  <c:v>407</c:v>
                </c:pt>
                <c:pt idx="17">
                  <c:v>245</c:v>
                </c:pt>
                <c:pt idx="18">
                  <c:v>435</c:v>
                </c:pt>
                <c:pt idx="21">
                  <c:v>1061</c:v>
                </c:pt>
                <c:pt idx="22">
                  <c:v>888</c:v>
                </c:pt>
                <c:pt idx="23">
                  <c:v>646</c:v>
                </c:pt>
                <c:pt idx="24">
                  <c:v>1149</c:v>
                </c:pt>
                <c:pt idx="25">
                  <c:v>1310</c:v>
                </c:pt>
                <c:pt idx="28">
                  <c:v>1467</c:v>
                </c:pt>
                <c:pt idx="29">
                  <c:v>1527</c:v>
                </c:pt>
                <c:pt idx="30">
                  <c:v>1519</c:v>
                </c:pt>
                <c:pt idx="31">
                  <c:v>1444</c:v>
                </c:pt>
                <c:pt idx="32">
                  <c:v>1112</c:v>
                </c:pt>
                <c:pt idx="33">
                  <c:v>1600</c:v>
                </c:pt>
                <c:pt idx="36">
                  <c:v>3209</c:v>
                </c:pt>
                <c:pt idx="37">
                  <c:v>2731</c:v>
                </c:pt>
                <c:pt idx="38">
                  <c:v>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75232"/>
        <c:axId val="122775808"/>
      </c:scatterChart>
      <c:valAx>
        <c:axId val="122775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775808"/>
        <c:crosses val="autoZero"/>
        <c:crossBetween val="midCat"/>
      </c:valAx>
      <c:valAx>
        <c:axId val="12277580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Initial intensity (mV)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7752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" l="0.70000000000000095" r="0.70000000000000095" t="0.750000000000001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Isotope ratios</a:t>
            </a:r>
          </a:p>
        </c:rich>
      </c:tx>
      <c:layout>
        <c:manualLayout>
          <c:xMode val="edge"/>
          <c:yMode val="edge"/>
          <c:x val="0.38406035665294902"/>
          <c:y val="0.81022615535889897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281433956557901"/>
          <c:y val="0.18112744756463001"/>
          <c:w val="0.81842195651469696"/>
          <c:h val="0.72172283774262702"/>
        </c:manualLayout>
      </c:layout>
      <c:scatterChart>
        <c:scatterStyle val="lineMarker"/>
        <c:varyColors val="0"/>
        <c:ser>
          <c:idx val="0"/>
          <c:order val="0"/>
          <c:tx>
            <c:strRef>
              <c:f>'After instal'!$D$1</c:f>
              <c:strCache>
                <c:ptCount val="1"/>
                <c:pt idx="0">
                  <c:v>d 13C/12C  Mean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4"/>
            <c:spPr>
              <a:noFill/>
            </c:spPr>
          </c:marker>
          <c:xVal>
            <c:numRef>
              <c:f>'After instal'!$AJ$6:$AJ$117</c:f>
              <c:numCache>
                <c:formatCode>General</c:formatCode>
                <c:ptCount val="112"/>
                <c:pt idx="0">
                  <c:v>1775</c:v>
                </c:pt>
                <c:pt idx="1">
                  <c:v>1729</c:v>
                </c:pt>
                <c:pt idx="2">
                  <c:v>1375</c:v>
                </c:pt>
                <c:pt idx="3">
                  <c:v>1177</c:v>
                </c:pt>
                <c:pt idx="4">
                  <c:v>1187</c:v>
                </c:pt>
                <c:pt idx="5">
                  <c:v>1195</c:v>
                </c:pt>
                <c:pt idx="6">
                  <c:v>1652</c:v>
                </c:pt>
                <c:pt idx="7">
                  <c:v>1146</c:v>
                </c:pt>
                <c:pt idx="10">
                  <c:v>1321</c:v>
                </c:pt>
                <c:pt idx="11">
                  <c:v>903</c:v>
                </c:pt>
                <c:pt idx="12">
                  <c:v>1068</c:v>
                </c:pt>
                <c:pt idx="13">
                  <c:v>1558</c:v>
                </c:pt>
                <c:pt idx="14">
                  <c:v>1676</c:v>
                </c:pt>
                <c:pt idx="15">
                  <c:v>1427</c:v>
                </c:pt>
                <c:pt idx="16">
                  <c:v>917</c:v>
                </c:pt>
                <c:pt idx="17">
                  <c:v>1532</c:v>
                </c:pt>
                <c:pt idx="18">
                  <c:v>1593</c:v>
                </c:pt>
                <c:pt idx="19">
                  <c:v>1711</c:v>
                </c:pt>
                <c:pt idx="20">
                  <c:v>1635</c:v>
                </c:pt>
                <c:pt idx="21">
                  <c:v>1641</c:v>
                </c:pt>
                <c:pt idx="24">
                  <c:v>9</c:v>
                </c:pt>
                <c:pt idx="27">
                  <c:v>1355</c:v>
                </c:pt>
                <c:pt idx="28">
                  <c:v>1513</c:v>
                </c:pt>
                <c:pt idx="29">
                  <c:v>1748</c:v>
                </c:pt>
                <c:pt idx="32">
                  <c:v>967</c:v>
                </c:pt>
                <c:pt idx="33">
                  <c:v>1496</c:v>
                </c:pt>
                <c:pt idx="34">
                  <c:v>1185</c:v>
                </c:pt>
                <c:pt idx="35">
                  <c:v>1097</c:v>
                </c:pt>
                <c:pt idx="36">
                  <c:v>1386</c:v>
                </c:pt>
                <c:pt idx="37">
                  <c:v>942</c:v>
                </c:pt>
                <c:pt idx="40">
                  <c:v>1201</c:v>
                </c:pt>
                <c:pt idx="41">
                  <c:v>1540</c:v>
                </c:pt>
                <c:pt idx="42">
                  <c:v>2014</c:v>
                </c:pt>
                <c:pt idx="43">
                  <c:v>1622</c:v>
                </c:pt>
                <c:pt idx="44">
                  <c:v>1696</c:v>
                </c:pt>
                <c:pt idx="45">
                  <c:v>1644</c:v>
                </c:pt>
                <c:pt idx="48">
                  <c:v>1614</c:v>
                </c:pt>
                <c:pt idx="49">
                  <c:v>1382</c:v>
                </c:pt>
                <c:pt idx="50">
                  <c:v>1399</c:v>
                </c:pt>
                <c:pt idx="51">
                  <c:v>1679</c:v>
                </c:pt>
                <c:pt idx="52">
                  <c:v>1809</c:v>
                </c:pt>
                <c:pt idx="53">
                  <c:v>1454</c:v>
                </c:pt>
                <c:pt idx="58">
                  <c:v>631</c:v>
                </c:pt>
                <c:pt idx="59">
                  <c:v>12</c:v>
                </c:pt>
                <c:pt idx="60">
                  <c:v>407</c:v>
                </c:pt>
                <c:pt idx="61">
                  <c:v>245</c:v>
                </c:pt>
                <c:pt idx="62">
                  <c:v>435</c:v>
                </c:pt>
                <c:pt idx="65">
                  <c:v>1061</c:v>
                </c:pt>
                <c:pt idx="66">
                  <c:v>888</c:v>
                </c:pt>
                <c:pt idx="67">
                  <c:v>646</c:v>
                </c:pt>
                <c:pt idx="68">
                  <c:v>1149</c:v>
                </c:pt>
                <c:pt idx="69">
                  <c:v>1310</c:v>
                </c:pt>
                <c:pt idx="72">
                  <c:v>1467</c:v>
                </c:pt>
                <c:pt idx="73">
                  <c:v>1527</c:v>
                </c:pt>
                <c:pt idx="74">
                  <c:v>1519</c:v>
                </c:pt>
                <c:pt idx="75">
                  <c:v>1444</c:v>
                </c:pt>
                <c:pt idx="76">
                  <c:v>1112</c:v>
                </c:pt>
                <c:pt idx="81">
                  <c:v>3698</c:v>
                </c:pt>
                <c:pt idx="82">
                  <c:v>3878</c:v>
                </c:pt>
                <c:pt idx="83">
                  <c:v>3608</c:v>
                </c:pt>
                <c:pt idx="84">
                  <c:v>3130</c:v>
                </c:pt>
                <c:pt idx="85">
                  <c:v>2954</c:v>
                </c:pt>
                <c:pt idx="86">
                  <c:v>4325</c:v>
                </c:pt>
                <c:pt idx="87">
                  <c:v>4032</c:v>
                </c:pt>
                <c:pt idx="88">
                  <c:v>3096</c:v>
                </c:pt>
                <c:pt idx="93">
                  <c:v>4090</c:v>
                </c:pt>
                <c:pt idx="96">
                  <c:v>2672</c:v>
                </c:pt>
                <c:pt idx="97">
                  <c:v>2761</c:v>
                </c:pt>
                <c:pt idx="98">
                  <c:v>3662</c:v>
                </c:pt>
                <c:pt idx="99">
                  <c:v>3629</c:v>
                </c:pt>
                <c:pt idx="100">
                  <c:v>3554</c:v>
                </c:pt>
                <c:pt idx="101">
                  <c:v>982</c:v>
                </c:pt>
                <c:pt idx="106">
                  <c:v>1600</c:v>
                </c:pt>
                <c:pt idx="109">
                  <c:v>3209</c:v>
                </c:pt>
                <c:pt idx="110">
                  <c:v>2731</c:v>
                </c:pt>
                <c:pt idx="111">
                  <c:v>8</c:v>
                </c:pt>
              </c:numCache>
            </c:numRef>
          </c:xVal>
          <c:yVal>
            <c:numRef>
              <c:f>'After instal'!$D$6:$D$117</c:f>
              <c:numCache>
                <c:formatCode>General</c:formatCode>
                <c:ptCount val="112"/>
                <c:pt idx="0">
                  <c:v>1.768</c:v>
                </c:pt>
                <c:pt idx="1">
                  <c:v>1.8859999999999999</c:v>
                </c:pt>
                <c:pt idx="2">
                  <c:v>1.8240000000000001</c:v>
                </c:pt>
                <c:pt idx="3">
                  <c:v>1.9370000000000001</c:v>
                </c:pt>
                <c:pt idx="4">
                  <c:v>1.869</c:v>
                </c:pt>
                <c:pt idx="5">
                  <c:v>1.917</c:v>
                </c:pt>
                <c:pt idx="6">
                  <c:v>1.859</c:v>
                </c:pt>
                <c:pt idx="7">
                  <c:v>1.988</c:v>
                </c:pt>
                <c:pt idx="10">
                  <c:v>1.841</c:v>
                </c:pt>
                <c:pt idx="11">
                  <c:v>1.756</c:v>
                </c:pt>
                <c:pt idx="12">
                  <c:v>1.8580000000000001</c:v>
                </c:pt>
                <c:pt idx="13">
                  <c:v>1.8420000000000001</c:v>
                </c:pt>
                <c:pt idx="14">
                  <c:v>1.87</c:v>
                </c:pt>
                <c:pt idx="15">
                  <c:v>1.8240000000000001</c:v>
                </c:pt>
                <c:pt idx="16">
                  <c:v>1.7470000000000001</c:v>
                </c:pt>
                <c:pt idx="17">
                  <c:v>1.8080000000000001</c:v>
                </c:pt>
                <c:pt idx="18">
                  <c:v>1.8660000000000001</c:v>
                </c:pt>
                <c:pt idx="19">
                  <c:v>1.8</c:v>
                </c:pt>
                <c:pt idx="20">
                  <c:v>1.8540000000000001</c:v>
                </c:pt>
                <c:pt idx="21">
                  <c:v>1.87</c:v>
                </c:pt>
                <c:pt idx="24">
                  <c:v>-12.292</c:v>
                </c:pt>
                <c:pt idx="27">
                  <c:v>1.7430000000000001</c:v>
                </c:pt>
                <c:pt idx="28">
                  <c:v>1.865</c:v>
                </c:pt>
                <c:pt idx="29">
                  <c:v>1.867</c:v>
                </c:pt>
                <c:pt idx="32">
                  <c:v>1.8420000000000001</c:v>
                </c:pt>
                <c:pt idx="33">
                  <c:v>1.86</c:v>
                </c:pt>
                <c:pt idx="34">
                  <c:v>1.87</c:v>
                </c:pt>
                <c:pt idx="35">
                  <c:v>1.9350000000000001</c:v>
                </c:pt>
                <c:pt idx="36">
                  <c:v>1.8360000000000001</c:v>
                </c:pt>
                <c:pt idx="37">
                  <c:v>1.8560000000000001</c:v>
                </c:pt>
                <c:pt idx="40">
                  <c:v>1.873</c:v>
                </c:pt>
                <c:pt idx="41">
                  <c:v>1.8759999999999999</c:v>
                </c:pt>
                <c:pt idx="42">
                  <c:v>1.847</c:v>
                </c:pt>
                <c:pt idx="43">
                  <c:v>1.8779999999999999</c:v>
                </c:pt>
                <c:pt idx="44">
                  <c:v>1.861</c:v>
                </c:pt>
                <c:pt idx="45">
                  <c:v>1.9350000000000001</c:v>
                </c:pt>
                <c:pt idx="48">
                  <c:v>1.7909999999999999</c:v>
                </c:pt>
                <c:pt idx="49">
                  <c:v>1.9379999999999999</c:v>
                </c:pt>
                <c:pt idx="50">
                  <c:v>1.9019999999999999</c:v>
                </c:pt>
                <c:pt idx="51">
                  <c:v>1.917</c:v>
                </c:pt>
                <c:pt idx="52">
                  <c:v>1.847</c:v>
                </c:pt>
                <c:pt idx="53">
                  <c:v>1.931</c:v>
                </c:pt>
                <c:pt idx="56">
                  <c:v>0</c:v>
                </c:pt>
                <c:pt idx="58">
                  <c:v>4.1189999999999998</c:v>
                </c:pt>
                <c:pt idx="59">
                  <c:v>-6.5049999999999999</c:v>
                </c:pt>
                <c:pt idx="60">
                  <c:v>0.78</c:v>
                </c:pt>
                <c:pt idx="61">
                  <c:v>0.42199999999999999</c:v>
                </c:pt>
                <c:pt idx="62">
                  <c:v>0.97699999999999998</c:v>
                </c:pt>
                <c:pt idx="65">
                  <c:v>1.859</c:v>
                </c:pt>
                <c:pt idx="66">
                  <c:v>1.764</c:v>
                </c:pt>
                <c:pt idx="67">
                  <c:v>1.4370000000000001</c:v>
                </c:pt>
                <c:pt idx="68">
                  <c:v>1.76</c:v>
                </c:pt>
                <c:pt idx="69">
                  <c:v>1.617</c:v>
                </c:pt>
                <c:pt idx="72">
                  <c:v>1.899</c:v>
                </c:pt>
                <c:pt idx="73">
                  <c:v>1.8049999999999999</c:v>
                </c:pt>
                <c:pt idx="74">
                  <c:v>1.8580000000000001</c:v>
                </c:pt>
                <c:pt idx="75">
                  <c:v>1.76</c:v>
                </c:pt>
                <c:pt idx="76">
                  <c:v>1.9059999999999999</c:v>
                </c:pt>
                <c:pt idx="79">
                  <c:v>0</c:v>
                </c:pt>
                <c:pt idx="81">
                  <c:v>1.84</c:v>
                </c:pt>
                <c:pt idx="82">
                  <c:v>1.792</c:v>
                </c:pt>
                <c:pt idx="83">
                  <c:v>1.847</c:v>
                </c:pt>
                <c:pt idx="84">
                  <c:v>1.7989999999999999</c:v>
                </c:pt>
                <c:pt idx="85">
                  <c:v>1.865</c:v>
                </c:pt>
                <c:pt idx="86">
                  <c:v>1.8340000000000001</c:v>
                </c:pt>
                <c:pt idx="87">
                  <c:v>1.8340000000000001</c:v>
                </c:pt>
                <c:pt idx="88">
                  <c:v>1.8069999999999999</c:v>
                </c:pt>
                <c:pt idx="91">
                  <c:v>0</c:v>
                </c:pt>
                <c:pt idx="93">
                  <c:v>1.8240000000000001</c:v>
                </c:pt>
                <c:pt idx="96">
                  <c:v>1.831</c:v>
                </c:pt>
                <c:pt idx="97">
                  <c:v>1.839</c:v>
                </c:pt>
                <c:pt idx="98">
                  <c:v>1.8140000000000001</c:v>
                </c:pt>
                <c:pt idx="99">
                  <c:v>1.8280000000000001</c:v>
                </c:pt>
                <c:pt idx="100">
                  <c:v>1.8049999999999999</c:v>
                </c:pt>
                <c:pt idx="101">
                  <c:v>1.915</c:v>
                </c:pt>
                <c:pt idx="104">
                  <c:v>0</c:v>
                </c:pt>
                <c:pt idx="106">
                  <c:v>4.0209999999999999</c:v>
                </c:pt>
                <c:pt idx="109">
                  <c:v>1.8480000000000001</c:v>
                </c:pt>
                <c:pt idx="110">
                  <c:v>1.833</c:v>
                </c:pt>
                <c:pt idx="111">
                  <c:v>-27.681999999999999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'After instal'!$F$1</c:f>
              <c:strCache>
                <c:ptCount val="1"/>
                <c:pt idx="0">
                  <c:v>d 18O/16O  Mean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3"/>
            <c:spPr>
              <a:noFill/>
            </c:spPr>
          </c:marker>
          <c:xVal>
            <c:numRef>
              <c:f>'After instal'!$AJ$6:$AJ$117</c:f>
              <c:numCache>
                <c:formatCode>General</c:formatCode>
                <c:ptCount val="112"/>
                <c:pt idx="0">
                  <c:v>1775</c:v>
                </c:pt>
                <c:pt idx="1">
                  <c:v>1729</c:v>
                </c:pt>
                <c:pt idx="2">
                  <c:v>1375</c:v>
                </c:pt>
                <c:pt idx="3">
                  <c:v>1177</c:v>
                </c:pt>
                <c:pt idx="4">
                  <c:v>1187</c:v>
                </c:pt>
                <c:pt idx="5">
                  <c:v>1195</c:v>
                </c:pt>
                <c:pt idx="6">
                  <c:v>1652</c:v>
                </c:pt>
                <c:pt idx="7">
                  <c:v>1146</c:v>
                </c:pt>
                <c:pt idx="10">
                  <c:v>1321</c:v>
                </c:pt>
                <c:pt idx="11">
                  <c:v>903</c:v>
                </c:pt>
                <c:pt idx="12">
                  <c:v>1068</c:v>
                </c:pt>
                <c:pt idx="13">
                  <c:v>1558</c:v>
                </c:pt>
                <c:pt idx="14">
                  <c:v>1676</c:v>
                </c:pt>
                <c:pt idx="15">
                  <c:v>1427</c:v>
                </c:pt>
                <c:pt idx="16">
                  <c:v>917</c:v>
                </c:pt>
                <c:pt idx="17">
                  <c:v>1532</c:v>
                </c:pt>
                <c:pt idx="18">
                  <c:v>1593</c:v>
                </c:pt>
                <c:pt idx="19">
                  <c:v>1711</c:v>
                </c:pt>
                <c:pt idx="20">
                  <c:v>1635</c:v>
                </c:pt>
                <c:pt idx="21">
                  <c:v>1641</c:v>
                </c:pt>
                <c:pt idx="24">
                  <c:v>9</c:v>
                </c:pt>
                <c:pt idx="27">
                  <c:v>1355</c:v>
                </c:pt>
                <c:pt idx="28">
                  <c:v>1513</c:v>
                </c:pt>
                <c:pt idx="29">
                  <c:v>1748</c:v>
                </c:pt>
                <c:pt idx="32">
                  <c:v>967</c:v>
                </c:pt>
                <c:pt idx="33">
                  <c:v>1496</c:v>
                </c:pt>
                <c:pt idx="34">
                  <c:v>1185</c:v>
                </c:pt>
                <c:pt idx="35">
                  <c:v>1097</c:v>
                </c:pt>
                <c:pt idx="36">
                  <c:v>1386</c:v>
                </c:pt>
                <c:pt idx="37">
                  <c:v>942</c:v>
                </c:pt>
                <c:pt idx="40">
                  <c:v>1201</c:v>
                </c:pt>
                <c:pt idx="41">
                  <c:v>1540</c:v>
                </c:pt>
                <c:pt idx="42">
                  <c:v>2014</c:v>
                </c:pt>
                <c:pt idx="43">
                  <c:v>1622</c:v>
                </c:pt>
                <c:pt idx="44">
                  <c:v>1696</c:v>
                </c:pt>
                <c:pt idx="45">
                  <c:v>1644</c:v>
                </c:pt>
                <c:pt idx="48">
                  <c:v>1614</c:v>
                </c:pt>
                <c:pt idx="49">
                  <c:v>1382</c:v>
                </c:pt>
                <c:pt idx="50">
                  <c:v>1399</c:v>
                </c:pt>
                <c:pt idx="51">
                  <c:v>1679</c:v>
                </c:pt>
                <c:pt idx="52">
                  <c:v>1809</c:v>
                </c:pt>
                <c:pt idx="53">
                  <c:v>1454</c:v>
                </c:pt>
                <c:pt idx="58">
                  <c:v>631</c:v>
                </c:pt>
                <c:pt idx="59">
                  <c:v>12</c:v>
                </c:pt>
                <c:pt idx="60">
                  <c:v>407</c:v>
                </c:pt>
                <c:pt idx="61">
                  <c:v>245</c:v>
                </c:pt>
                <c:pt idx="62">
                  <c:v>435</c:v>
                </c:pt>
                <c:pt idx="65">
                  <c:v>1061</c:v>
                </c:pt>
                <c:pt idx="66">
                  <c:v>888</c:v>
                </c:pt>
                <c:pt idx="67">
                  <c:v>646</c:v>
                </c:pt>
                <c:pt idx="68">
                  <c:v>1149</c:v>
                </c:pt>
                <c:pt idx="69">
                  <c:v>1310</c:v>
                </c:pt>
                <c:pt idx="72">
                  <c:v>1467</c:v>
                </c:pt>
                <c:pt idx="73">
                  <c:v>1527</c:v>
                </c:pt>
                <c:pt idx="74">
                  <c:v>1519</c:v>
                </c:pt>
                <c:pt idx="75">
                  <c:v>1444</c:v>
                </c:pt>
                <c:pt idx="76">
                  <c:v>1112</c:v>
                </c:pt>
                <c:pt idx="81">
                  <c:v>3698</c:v>
                </c:pt>
                <c:pt idx="82">
                  <c:v>3878</c:v>
                </c:pt>
                <c:pt idx="83">
                  <c:v>3608</c:v>
                </c:pt>
                <c:pt idx="84">
                  <c:v>3130</c:v>
                </c:pt>
                <c:pt idx="85">
                  <c:v>2954</c:v>
                </c:pt>
                <c:pt idx="86">
                  <c:v>4325</c:v>
                </c:pt>
                <c:pt idx="87">
                  <c:v>4032</c:v>
                </c:pt>
                <c:pt idx="88">
                  <c:v>3096</c:v>
                </c:pt>
                <c:pt idx="93">
                  <c:v>4090</c:v>
                </c:pt>
                <c:pt idx="96">
                  <c:v>2672</c:v>
                </c:pt>
                <c:pt idx="97">
                  <c:v>2761</c:v>
                </c:pt>
                <c:pt idx="98">
                  <c:v>3662</c:v>
                </c:pt>
                <c:pt idx="99">
                  <c:v>3629</c:v>
                </c:pt>
                <c:pt idx="100">
                  <c:v>3554</c:v>
                </c:pt>
                <c:pt idx="101">
                  <c:v>982</c:v>
                </c:pt>
                <c:pt idx="106">
                  <c:v>1600</c:v>
                </c:pt>
                <c:pt idx="109">
                  <c:v>3209</c:v>
                </c:pt>
                <c:pt idx="110">
                  <c:v>2731</c:v>
                </c:pt>
                <c:pt idx="111">
                  <c:v>8</c:v>
                </c:pt>
              </c:numCache>
            </c:numRef>
          </c:xVal>
          <c:yVal>
            <c:numRef>
              <c:f>'After instal'!$F$6:$F$117</c:f>
              <c:numCache>
                <c:formatCode>General</c:formatCode>
                <c:ptCount val="112"/>
                <c:pt idx="0">
                  <c:v>-2.4319999999999999</c:v>
                </c:pt>
                <c:pt idx="1">
                  <c:v>-2.1040000000000001</c:v>
                </c:pt>
                <c:pt idx="2">
                  <c:v>-2.339</c:v>
                </c:pt>
                <c:pt idx="3">
                  <c:v>-2.0630000000000002</c:v>
                </c:pt>
                <c:pt idx="4">
                  <c:v>-2.2970000000000002</c:v>
                </c:pt>
                <c:pt idx="5">
                  <c:v>-2.1259999999999999</c:v>
                </c:pt>
                <c:pt idx="6">
                  <c:v>-2.3029999999999999</c:v>
                </c:pt>
                <c:pt idx="7">
                  <c:v>-2.2480000000000002</c:v>
                </c:pt>
                <c:pt idx="10">
                  <c:v>-2.4569999999999999</c:v>
                </c:pt>
                <c:pt idx="11">
                  <c:v>-3.0129999999999999</c:v>
                </c:pt>
                <c:pt idx="12">
                  <c:v>-3.0680000000000001</c:v>
                </c:pt>
                <c:pt idx="13">
                  <c:v>-2.177</c:v>
                </c:pt>
                <c:pt idx="14">
                  <c:v>-2.3730000000000002</c:v>
                </c:pt>
                <c:pt idx="15">
                  <c:v>-2.1789999999999998</c:v>
                </c:pt>
                <c:pt idx="16">
                  <c:v>-3.3929999999999998</c:v>
                </c:pt>
                <c:pt idx="17">
                  <c:v>-2.17</c:v>
                </c:pt>
                <c:pt idx="18">
                  <c:v>-2.5099999999999998</c:v>
                </c:pt>
                <c:pt idx="19">
                  <c:v>-2.278</c:v>
                </c:pt>
                <c:pt idx="20">
                  <c:v>-2.4969999999999999</c:v>
                </c:pt>
                <c:pt idx="21">
                  <c:v>-2.2120000000000002</c:v>
                </c:pt>
                <c:pt idx="24">
                  <c:v>-18.856999999999999</c:v>
                </c:pt>
                <c:pt idx="27">
                  <c:v>-2.6890000000000001</c:v>
                </c:pt>
                <c:pt idx="28">
                  <c:v>-2.3610000000000002</c:v>
                </c:pt>
                <c:pt idx="29">
                  <c:v>-2.2730000000000001</c:v>
                </c:pt>
                <c:pt idx="32">
                  <c:v>-3.4609999999999999</c:v>
                </c:pt>
                <c:pt idx="33">
                  <c:v>-2.1840000000000002</c:v>
                </c:pt>
                <c:pt idx="34">
                  <c:v>-2.633</c:v>
                </c:pt>
                <c:pt idx="35">
                  <c:v>-2.4300000000000002</c:v>
                </c:pt>
                <c:pt idx="36">
                  <c:v>-2.5649999999999999</c:v>
                </c:pt>
                <c:pt idx="37">
                  <c:v>-2.7869999999999999</c:v>
                </c:pt>
                <c:pt idx="40">
                  <c:v>-2.6160000000000001</c:v>
                </c:pt>
                <c:pt idx="41">
                  <c:v>-2.2669999999999999</c:v>
                </c:pt>
                <c:pt idx="42">
                  <c:v>-2.5310000000000001</c:v>
                </c:pt>
                <c:pt idx="43">
                  <c:v>-2.234</c:v>
                </c:pt>
                <c:pt idx="44">
                  <c:v>-2.5430000000000001</c:v>
                </c:pt>
                <c:pt idx="45">
                  <c:v>-2.1859999999999999</c:v>
                </c:pt>
                <c:pt idx="48">
                  <c:v>-2.5230000000000001</c:v>
                </c:pt>
                <c:pt idx="49">
                  <c:v>-2.2040000000000002</c:v>
                </c:pt>
                <c:pt idx="50">
                  <c:v>-2.4950000000000001</c:v>
                </c:pt>
                <c:pt idx="51">
                  <c:v>-2.1560000000000001</c:v>
                </c:pt>
                <c:pt idx="52">
                  <c:v>-2.4500000000000002</c:v>
                </c:pt>
                <c:pt idx="53">
                  <c:v>-2.0950000000000002</c:v>
                </c:pt>
                <c:pt idx="56">
                  <c:v>0</c:v>
                </c:pt>
                <c:pt idx="58">
                  <c:v>-9.7859999999999996</c:v>
                </c:pt>
                <c:pt idx="59">
                  <c:v>-26.547999999999998</c:v>
                </c:pt>
                <c:pt idx="60">
                  <c:v>-8.968</c:v>
                </c:pt>
                <c:pt idx="61">
                  <c:v>-30.312000000000001</c:v>
                </c:pt>
                <c:pt idx="62">
                  <c:v>-9.1479999999999997</c:v>
                </c:pt>
                <c:pt idx="65">
                  <c:v>-3.6779999999999999</c:v>
                </c:pt>
                <c:pt idx="66">
                  <c:v>-2.9660000000000002</c:v>
                </c:pt>
                <c:pt idx="67">
                  <c:v>-4.5949999999999998</c:v>
                </c:pt>
                <c:pt idx="68">
                  <c:v>-2.7040000000000002</c:v>
                </c:pt>
                <c:pt idx="69">
                  <c:v>-3.3490000000000002</c:v>
                </c:pt>
                <c:pt idx="72">
                  <c:v>-2.3839999999999999</c:v>
                </c:pt>
                <c:pt idx="73">
                  <c:v>-2.1669999999999998</c:v>
                </c:pt>
                <c:pt idx="74">
                  <c:v>-2.3959999999999999</c:v>
                </c:pt>
                <c:pt idx="75">
                  <c:v>-2.157</c:v>
                </c:pt>
                <c:pt idx="76">
                  <c:v>-2.847</c:v>
                </c:pt>
                <c:pt idx="79">
                  <c:v>0</c:v>
                </c:pt>
                <c:pt idx="81">
                  <c:v>-2.0939999999999999</c:v>
                </c:pt>
                <c:pt idx="82">
                  <c:v>-2.258</c:v>
                </c:pt>
                <c:pt idx="83">
                  <c:v>-2.3119999999999998</c:v>
                </c:pt>
                <c:pt idx="84">
                  <c:v>-2.4209999999999998</c:v>
                </c:pt>
                <c:pt idx="85">
                  <c:v>-2.2679999999999998</c:v>
                </c:pt>
                <c:pt idx="86">
                  <c:v>-2.3879999999999999</c:v>
                </c:pt>
                <c:pt idx="87">
                  <c:v>-2.3090000000000002</c:v>
                </c:pt>
                <c:pt idx="88">
                  <c:v>-2.6080000000000001</c:v>
                </c:pt>
                <c:pt idx="91">
                  <c:v>0</c:v>
                </c:pt>
                <c:pt idx="93">
                  <c:v>-2.2930000000000001</c:v>
                </c:pt>
                <c:pt idx="96">
                  <c:v>-2.2879999999999998</c:v>
                </c:pt>
                <c:pt idx="97">
                  <c:v>-2.2949999999999999</c:v>
                </c:pt>
                <c:pt idx="98">
                  <c:v>-2.347</c:v>
                </c:pt>
                <c:pt idx="99">
                  <c:v>-2.2309999999999999</c:v>
                </c:pt>
                <c:pt idx="100">
                  <c:v>-2.35</c:v>
                </c:pt>
                <c:pt idx="101">
                  <c:v>-2.7120000000000002</c:v>
                </c:pt>
                <c:pt idx="104">
                  <c:v>0</c:v>
                </c:pt>
                <c:pt idx="106">
                  <c:v>1.123</c:v>
                </c:pt>
                <c:pt idx="109">
                  <c:v>-2.2789999999999999</c:v>
                </c:pt>
                <c:pt idx="110">
                  <c:v>-2.367</c:v>
                </c:pt>
                <c:pt idx="111">
                  <c:v>-14.964</c:v>
                </c:pt>
              </c:numCache>
            </c:numRef>
          </c:yVal>
          <c:smooth val="0"/>
        </c:ser>
        <c:ser>
          <c:idx val="2"/>
          <c:order val="2"/>
          <c:tx>
            <c:v>d13C</c:v>
          </c:tx>
          <c:spPr>
            <a:ln w="19050">
              <a:solidFill>
                <a:schemeClr val="accent1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5000</c:v>
              </c:pt>
            </c:numLit>
          </c:xVal>
          <c:yVal>
            <c:numRef>
              <c:f>'After instal'!$D$2:$D$3</c:f>
              <c:numCache>
                <c:formatCode>General</c:formatCode>
                <c:ptCount val="2"/>
                <c:pt idx="0">
                  <c:v>1.95</c:v>
                </c:pt>
                <c:pt idx="1">
                  <c:v>1.95</c:v>
                </c:pt>
              </c:numCache>
            </c:numRef>
          </c:yVal>
          <c:smooth val="0"/>
        </c:ser>
        <c:ser>
          <c:idx val="3"/>
          <c:order val="3"/>
          <c:tx>
            <c:v>d18O</c:v>
          </c:tx>
          <c:spPr>
            <a:ln w="19050">
              <a:solidFill>
                <a:schemeClr val="accent2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5000</c:v>
              </c:pt>
            </c:numLit>
          </c:xVal>
          <c:yVal>
            <c:numRef>
              <c:f>'After instal'!$F$2:$F$3</c:f>
              <c:numCache>
                <c:formatCode>General</c:formatCode>
                <c:ptCount val="2"/>
                <c:pt idx="0">
                  <c:v>-2.2000000000000002</c:v>
                </c:pt>
                <c:pt idx="1">
                  <c:v>-2.2000000000000002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77536"/>
        <c:axId val="122778112"/>
      </c:scatterChart>
      <c:valAx>
        <c:axId val="122777536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Initial intensity (mV)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778112"/>
        <c:crosses val="max"/>
        <c:crossBetween val="midCat"/>
      </c:valAx>
      <c:valAx>
        <c:axId val="12277811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Isotope ratio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7775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" l="0.70000000000000095" r="0.70000000000000095" t="0.750000000000001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mass x P </a:t>
            </a:r>
            <a:r>
              <a:rPr lang="en-US" sz="1200"/>
              <a:t>(3drops,</a:t>
            </a:r>
            <a:r>
              <a:rPr lang="en-US" sz="1200" baseline="0"/>
              <a:t> 600s)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9335120463197"/>
          <c:y val="3.8350672487182602E-2"/>
          <c:w val="0.84190119244699502"/>
          <c:h val="0.75731783527059116"/>
        </c:manualLayout>
      </c:layout>
      <c:scatterChart>
        <c:scatterStyle val="lineMarker"/>
        <c:varyColors val="0"/>
        <c:ser>
          <c:idx val="0"/>
          <c:order val="0"/>
          <c:tx>
            <c:v>Previous</c:v>
          </c:tx>
          <c:spPr>
            <a:ln w="28575">
              <a:noFill/>
            </a:ln>
          </c:spPr>
          <c:xVal>
            <c:numRef>
              <c:f>('After instal'!$AM$6:$AM$13,'After instal'!$AM$30,'After instal'!$AM$33:$AM$35,'After instal'!$AM$64:$AM$82,'After instal'!$AM$112:$AM$117)</c:f>
              <c:numCache>
                <c:formatCode>General</c:formatCode>
                <c:ptCount val="37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18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36</c:v>
                </c:pt>
                <c:pt idx="34">
                  <c:v>54</c:v>
                </c:pt>
                <c:pt idx="35">
                  <c:v>54</c:v>
                </c:pt>
                <c:pt idx="36">
                  <c:v>54</c:v>
                </c:pt>
              </c:numCache>
            </c:numRef>
          </c:xVal>
          <c:yVal>
            <c:numRef>
              <c:f>('After instal'!$AG$6:$AG$13,'After instal'!$AG$30:$AG$35,'After instal'!$AG$64:$AG$82,'After instal'!$AG$112:$AG$117)</c:f>
              <c:numCache>
                <c:formatCode>General</c:formatCode>
                <c:ptCount val="39"/>
                <c:pt idx="0">
                  <c:v>533</c:v>
                </c:pt>
                <c:pt idx="1">
                  <c:v>538</c:v>
                </c:pt>
                <c:pt idx="2">
                  <c:v>494</c:v>
                </c:pt>
                <c:pt idx="3">
                  <c:v>455</c:v>
                </c:pt>
                <c:pt idx="4">
                  <c:v>467</c:v>
                </c:pt>
                <c:pt idx="5">
                  <c:v>477</c:v>
                </c:pt>
                <c:pt idx="6">
                  <c:v>525</c:v>
                </c:pt>
                <c:pt idx="7">
                  <c:v>445</c:v>
                </c:pt>
                <c:pt idx="8">
                  <c:v>40</c:v>
                </c:pt>
                <c:pt idx="11">
                  <c:v>462</c:v>
                </c:pt>
                <c:pt idx="12">
                  <c:v>486</c:v>
                </c:pt>
                <c:pt idx="13">
                  <c:v>508</c:v>
                </c:pt>
                <c:pt idx="14">
                  <c:v>311</c:v>
                </c:pt>
                <c:pt idx="15">
                  <c:v>30</c:v>
                </c:pt>
                <c:pt idx="16">
                  <c:v>232</c:v>
                </c:pt>
                <c:pt idx="17">
                  <c:v>262</c:v>
                </c:pt>
                <c:pt idx="18">
                  <c:v>250</c:v>
                </c:pt>
                <c:pt idx="21">
                  <c:v>418</c:v>
                </c:pt>
                <c:pt idx="22">
                  <c:v>367</c:v>
                </c:pt>
                <c:pt idx="23">
                  <c:v>311</c:v>
                </c:pt>
                <c:pt idx="24">
                  <c:v>418</c:v>
                </c:pt>
                <c:pt idx="25">
                  <c:v>440</c:v>
                </c:pt>
                <c:pt idx="28">
                  <c:v>469</c:v>
                </c:pt>
                <c:pt idx="29">
                  <c:v>489</c:v>
                </c:pt>
                <c:pt idx="30">
                  <c:v>489</c:v>
                </c:pt>
                <c:pt idx="31">
                  <c:v>469</c:v>
                </c:pt>
                <c:pt idx="32">
                  <c:v>416</c:v>
                </c:pt>
                <c:pt idx="33">
                  <c:v>543</c:v>
                </c:pt>
                <c:pt idx="36">
                  <c:v>670</c:v>
                </c:pt>
                <c:pt idx="37">
                  <c:v>589</c:v>
                </c:pt>
                <c:pt idx="38">
                  <c:v>25</c:v>
                </c:pt>
              </c:numCache>
            </c:numRef>
          </c:yVal>
          <c:smooth val="0"/>
        </c:ser>
        <c:ser>
          <c:idx val="1"/>
          <c:order val="1"/>
          <c:tx>
            <c:v>19-May</c:v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'After software 19May'!$AM$21:$AM$23</c:f>
              <c:numCache>
                <c:formatCode>General</c:formatCode>
                <c:ptCount val="3"/>
                <c:pt idx="0">
                  <c:v>54</c:v>
                </c:pt>
                <c:pt idx="1">
                  <c:v>54</c:v>
                </c:pt>
                <c:pt idx="2">
                  <c:v>54</c:v>
                </c:pt>
              </c:numCache>
            </c:numRef>
          </c:xVal>
          <c:yVal>
            <c:numRef>
              <c:f>'After software 19May'!$AG$21:$AG$23</c:f>
              <c:numCache>
                <c:formatCode>General</c:formatCode>
                <c:ptCount val="3"/>
                <c:pt idx="0">
                  <c:v>335</c:v>
                </c:pt>
                <c:pt idx="1">
                  <c:v>845</c:v>
                </c:pt>
                <c:pt idx="2">
                  <c:v>884</c:v>
                </c:pt>
              </c:numCache>
            </c:numRef>
          </c:yVal>
          <c:smooth val="0"/>
        </c:ser>
        <c:ser>
          <c:idx val="2"/>
          <c:order val="2"/>
          <c:tx>
            <c:v>20-May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'After software 19May'!$AM$27:$AM$56</c:f>
              <c:numCache>
                <c:formatCode>General</c:formatCode>
                <c:ptCount val="30"/>
                <c:pt idx="0">
                  <c:v>9</c:v>
                </c:pt>
                <c:pt idx="1">
                  <c:v>9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9</c:v>
                </c:pt>
                <c:pt idx="11">
                  <c:v>9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18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54</c:v>
                </c:pt>
                <c:pt idx="24">
                  <c:v>54</c:v>
                </c:pt>
                <c:pt idx="25">
                  <c:v>63</c:v>
                </c:pt>
                <c:pt idx="26">
                  <c:v>45</c:v>
                </c:pt>
                <c:pt idx="27">
                  <c:v>54</c:v>
                </c:pt>
                <c:pt idx="28">
                  <c:v>63</c:v>
                </c:pt>
                <c:pt idx="29">
                  <c:v>63</c:v>
                </c:pt>
              </c:numCache>
            </c:numRef>
          </c:xVal>
          <c:yVal>
            <c:numRef>
              <c:f>'After software 19May'!$AG$27:$AG$56</c:f>
              <c:numCache>
                <c:formatCode>General</c:formatCode>
                <c:ptCount val="30"/>
                <c:pt idx="0">
                  <c:v>352</c:v>
                </c:pt>
                <c:pt idx="1">
                  <c:v>420</c:v>
                </c:pt>
                <c:pt idx="2">
                  <c:v>820</c:v>
                </c:pt>
                <c:pt idx="3">
                  <c:v>714</c:v>
                </c:pt>
                <c:pt idx="4">
                  <c:v>813</c:v>
                </c:pt>
                <c:pt idx="5">
                  <c:v>866</c:v>
                </c:pt>
                <c:pt idx="6">
                  <c:v>823</c:v>
                </c:pt>
                <c:pt idx="7">
                  <c:v>791</c:v>
                </c:pt>
                <c:pt idx="8">
                  <c:v>848</c:v>
                </c:pt>
                <c:pt idx="9">
                  <c:v>859</c:v>
                </c:pt>
                <c:pt idx="10">
                  <c:v>416</c:v>
                </c:pt>
                <c:pt idx="11">
                  <c:v>349</c:v>
                </c:pt>
                <c:pt idx="12">
                  <c:v>604</c:v>
                </c:pt>
                <c:pt idx="13">
                  <c:v>565</c:v>
                </c:pt>
                <c:pt idx="14">
                  <c:v>533</c:v>
                </c:pt>
                <c:pt idx="15">
                  <c:v>515</c:v>
                </c:pt>
                <c:pt idx="16">
                  <c:v>625</c:v>
                </c:pt>
                <c:pt idx="17">
                  <c:v>742</c:v>
                </c:pt>
                <c:pt idx="18">
                  <c:v>717</c:v>
                </c:pt>
                <c:pt idx="19">
                  <c:v>643</c:v>
                </c:pt>
                <c:pt idx="20">
                  <c:v>830</c:v>
                </c:pt>
                <c:pt idx="21">
                  <c:v>884</c:v>
                </c:pt>
                <c:pt idx="22">
                  <c:v>795</c:v>
                </c:pt>
                <c:pt idx="23">
                  <c:v>887</c:v>
                </c:pt>
                <c:pt idx="24">
                  <c:v>958</c:v>
                </c:pt>
                <c:pt idx="25">
                  <c:v>940</c:v>
                </c:pt>
                <c:pt idx="26">
                  <c:v>781</c:v>
                </c:pt>
                <c:pt idx="27">
                  <c:v>937</c:v>
                </c:pt>
                <c:pt idx="28">
                  <c:v>930</c:v>
                </c:pt>
                <c:pt idx="29">
                  <c:v>894</c:v>
                </c:pt>
              </c:numCache>
            </c:numRef>
          </c:yVal>
          <c:smooth val="0"/>
        </c:ser>
        <c:ser>
          <c:idx val="3"/>
          <c:order val="3"/>
          <c:tx>
            <c:v>Expected</c:v>
          </c:tx>
          <c:spPr>
            <a:ln w="28575">
              <a:solidFill>
                <a:srgbClr val="777777">
                  <a:alpha val="50000"/>
                </a:srgbClr>
              </a:solidFill>
            </a:ln>
          </c:spPr>
          <c:marker>
            <c:symbol val="none"/>
          </c:marker>
          <c:trendline>
            <c:spPr>
              <a:ln>
                <a:solidFill>
                  <a:srgbClr val="777777"/>
                </a:solidFill>
              </a:ln>
            </c:spPr>
            <c:trendlineType val="log"/>
            <c:dispRSqr val="0"/>
            <c:dispEq val="0"/>
          </c:trendline>
          <c:xVal>
            <c:numRef>
              <c:f>'After software 19May'!$A$8:$A$14</c:f>
              <c:numCache>
                <c:formatCode>General</c:formatCode>
                <c:ptCount val="7"/>
                <c:pt idx="0">
                  <c:v>2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'After software 19May'!$B$8:$B$14</c:f>
              <c:numCache>
                <c:formatCode>General</c:formatCode>
                <c:ptCount val="7"/>
                <c:pt idx="0">
                  <c:v>140</c:v>
                </c:pt>
                <c:pt idx="1">
                  <c:v>490</c:v>
                </c:pt>
                <c:pt idx="2">
                  <c:v>675</c:v>
                </c:pt>
                <c:pt idx="3">
                  <c:v>760</c:v>
                </c:pt>
                <c:pt idx="4">
                  <c:v>840</c:v>
                </c:pt>
                <c:pt idx="5">
                  <c:v>900</c:v>
                </c:pt>
                <c:pt idx="6">
                  <c:v>950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80416"/>
        <c:axId val="122780992"/>
      </c:scatterChart>
      <c:valAx>
        <c:axId val="122780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mass (ug)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780992"/>
        <c:crosses val="autoZero"/>
        <c:crossBetween val="midCat"/>
      </c:valAx>
      <c:valAx>
        <c:axId val="12278099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780416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1" l="0.70000000000000095" r="0.70000000000000095" t="0.750000000000001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</a:t>
            </a:r>
            <a:r>
              <a:rPr lang="en-US" baseline="0"/>
              <a:t> x Intensity </a:t>
            </a:r>
            <a:r>
              <a:rPr lang="en-US" sz="1200" baseline="0"/>
              <a:t>(3drops, 600s)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4281433956557901"/>
          <c:y val="3.8350672487182602E-2"/>
          <c:w val="0.81842195651469696"/>
          <c:h val="0.76390526283028848"/>
        </c:manualLayout>
      </c:layout>
      <c:scatterChart>
        <c:scatterStyle val="lineMarker"/>
        <c:varyColors val="0"/>
        <c:ser>
          <c:idx val="0"/>
          <c:order val="0"/>
          <c:tx>
            <c:v>Previous</c:v>
          </c:tx>
          <c:spPr>
            <a:ln w="28575">
              <a:noFill/>
            </a:ln>
          </c:spPr>
          <c:xVal>
            <c:numRef>
              <c:f>('After instal'!$AG$6:$AG$13,'After instal'!$AG$30:$AG$35,'After instal'!$AG$64:$AG$82,'After instal'!$AG$112:$AG$117)</c:f>
              <c:numCache>
                <c:formatCode>General</c:formatCode>
                <c:ptCount val="39"/>
                <c:pt idx="0">
                  <c:v>533</c:v>
                </c:pt>
                <c:pt idx="1">
                  <c:v>538</c:v>
                </c:pt>
                <c:pt idx="2">
                  <c:v>494</c:v>
                </c:pt>
                <c:pt idx="3">
                  <c:v>455</c:v>
                </c:pt>
                <c:pt idx="4">
                  <c:v>467</c:v>
                </c:pt>
                <c:pt idx="5">
                  <c:v>477</c:v>
                </c:pt>
                <c:pt idx="6">
                  <c:v>525</c:v>
                </c:pt>
                <c:pt idx="7">
                  <c:v>445</c:v>
                </c:pt>
                <c:pt idx="8">
                  <c:v>40</c:v>
                </c:pt>
                <c:pt idx="11">
                  <c:v>462</c:v>
                </c:pt>
                <c:pt idx="12">
                  <c:v>486</c:v>
                </c:pt>
                <c:pt idx="13">
                  <c:v>508</c:v>
                </c:pt>
                <c:pt idx="14">
                  <c:v>311</c:v>
                </c:pt>
                <c:pt idx="15">
                  <c:v>30</c:v>
                </c:pt>
                <c:pt idx="16">
                  <c:v>232</c:v>
                </c:pt>
                <c:pt idx="17">
                  <c:v>262</c:v>
                </c:pt>
                <c:pt idx="18">
                  <c:v>250</c:v>
                </c:pt>
                <c:pt idx="21">
                  <c:v>418</c:v>
                </c:pt>
                <c:pt idx="22">
                  <c:v>367</c:v>
                </c:pt>
                <c:pt idx="23">
                  <c:v>311</c:v>
                </c:pt>
                <c:pt idx="24">
                  <c:v>418</c:v>
                </c:pt>
                <c:pt idx="25">
                  <c:v>440</c:v>
                </c:pt>
                <c:pt idx="28">
                  <c:v>469</c:v>
                </c:pt>
                <c:pt idx="29">
                  <c:v>489</c:v>
                </c:pt>
                <c:pt idx="30">
                  <c:v>489</c:v>
                </c:pt>
                <c:pt idx="31">
                  <c:v>469</c:v>
                </c:pt>
                <c:pt idx="32">
                  <c:v>416</c:v>
                </c:pt>
                <c:pt idx="33">
                  <c:v>543</c:v>
                </c:pt>
                <c:pt idx="36">
                  <c:v>670</c:v>
                </c:pt>
                <c:pt idx="37">
                  <c:v>589</c:v>
                </c:pt>
                <c:pt idx="38">
                  <c:v>25</c:v>
                </c:pt>
              </c:numCache>
            </c:numRef>
          </c:xVal>
          <c:yVal>
            <c:numRef>
              <c:f>('After instal'!$AJ$6:$AJ$13,'After instal'!$AJ$30:$AJ$35,'After instal'!$AJ$64:$AJ$82,'After instal'!$AJ$112:$AJ$117)</c:f>
              <c:numCache>
                <c:formatCode>General</c:formatCode>
                <c:ptCount val="39"/>
                <c:pt idx="0">
                  <c:v>1775</c:v>
                </c:pt>
                <c:pt idx="1">
                  <c:v>1729</c:v>
                </c:pt>
                <c:pt idx="2">
                  <c:v>1375</c:v>
                </c:pt>
                <c:pt idx="3">
                  <c:v>1177</c:v>
                </c:pt>
                <c:pt idx="4">
                  <c:v>1187</c:v>
                </c:pt>
                <c:pt idx="5">
                  <c:v>1195</c:v>
                </c:pt>
                <c:pt idx="6">
                  <c:v>1652</c:v>
                </c:pt>
                <c:pt idx="7">
                  <c:v>1146</c:v>
                </c:pt>
                <c:pt idx="8">
                  <c:v>9</c:v>
                </c:pt>
                <c:pt idx="11">
                  <c:v>1355</c:v>
                </c:pt>
                <c:pt idx="12">
                  <c:v>1513</c:v>
                </c:pt>
                <c:pt idx="13">
                  <c:v>1748</c:v>
                </c:pt>
                <c:pt idx="14">
                  <c:v>631</c:v>
                </c:pt>
                <c:pt idx="15">
                  <c:v>12</c:v>
                </c:pt>
                <c:pt idx="16">
                  <c:v>407</c:v>
                </c:pt>
                <c:pt idx="17">
                  <c:v>245</c:v>
                </c:pt>
                <c:pt idx="18">
                  <c:v>435</c:v>
                </c:pt>
                <c:pt idx="21">
                  <c:v>1061</c:v>
                </c:pt>
                <c:pt idx="22">
                  <c:v>888</c:v>
                </c:pt>
                <c:pt idx="23">
                  <c:v>646</c:v>
                </c:pt>
                <c:pt idx="24">
                  <c:v>1149</c:v>
                </c:pt>
                <c:pt idx="25">
                  <c:v>1310</c:v>
                </c:pt>
                <c:pt idx="28">
                  <c:v>1467</c:v>
                </c:pt>
                <c:pt idx="29">
                  <c:v>1527</c:v>
                </c:pt>
                <c:pt idx="30">
                  <c:v>1519</c:v>
                </c:pt>
                <c:pt idx="31">
                  <c:v>1444</c:v>
                </c:pt>
                <c:pt idx="32">
                  <c:v>1112</c:v>
                </c:pt>
                <c:pt idx="33">
                  <c:v>1600</c:v>
                </c:pt>
                <c:pt idx="36">
                  <c:v>3209</c:v>
                </c:pt>
                <c:pt idx="37">
                  <c:v>2731</c:v>
                </c:pt>
                <c:pt idx="38">
                  <c:v>8</c:v>
                </c:pt>
              </c:numCache>
            </c:numRef>
          </c:yVal>
          <c:smooth val="0"/>
        </c:ser>
        <c:ser>
          <c:idx val="1"/>
          <c:order val="1"/>
          <c:tx>
            <c:v>19-May</c:v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'After software 19May'!$AG$21:$AG$23</c:f>
              <c:numCache>
                <c:formatCode>General</c:formatCode>
                <c:ptCount val="3"/>
                <c:pt idx="0">
                  <c:v>335</c:v>
                </c:pt>
                <c:pt idx="1">
                  <c:v>845</c:v>
                </c:pt>
                <c:pt idx="2">
                  <c:v>884</c:v>
                </c:pt>
              </c:numCache>
            </c:numRef>
          </c:xVal>
          <c:yVal>
            <c:numRef>
              <c:f>'After software 19May'!$AJ$21:$AJ$23</c:f>
              <c:numCache>
                <c:formatCode>General</c:formatCode>
                <c:ptCount val="3"/>
                <c:pt idx="0">
                  <c:v>5574</c:v>
                </c:pt>
                <c:pt idx="1">
                  <c:v>6131</c:v>
                </c:pt>
                <c:pt idx="2">
                  <c:v>6498</c:v>
                </c:pt>
              </c:numCache>
            </c:numRef>
          </c:yVal>
          <c:smooth val="0"/>
        </c:ser>
        <c:ser>
          <c:idx val="2"/>
          <c:order val="2"/>
          <c:tx>
            <c:v>20-May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'After software 19May'!$AG$27:$AG$56</c:f>
              <c:numCache>
                <c:formatCode>General</c:formatCode>
                <c:ptCount val="30"/>
                <c:pt idx="0">
                  <c:v>352</c:v>
                </c:pt>
                <c:pt idx="1">
                  <c:v>420</c:v>
                </c:pt>
                <c:pt idx="2">
                  <c:v>820</c:v>
                </c:pt>
                <c:pt idx="3">
                  <c:v>714</c:v>
                </c:pt>
                <c:pt idx="4">
                  <c:v>813</c:v>
                </c:pt>
                <c:pt idx="5">
                  <c:v>866</c:v>
                </c:pt>
                <c:pt idx="6">
                  <c:v>823</c:v>
                </c:pt>
                <c:pt idx="7">
                  <c:v>791</c:v>
                </c:pt>
                <c:pt idx="8">
                  <c:v>848</c:v>
                </c:pt>
                <c:pt idx="9">
                  <c:v>859</c:v>
                </c:pt>
                <c:pt idx="10">
                  <c:v>416</c:v>
                </c:pt>
                <c:pt idx="11">
                  <c:v>349</c:v>
                </c:pt>
                <c:pt idx="12">
                  <c:v>604</c:v>
                </c:pt>
                <c:pt idx="13">
                  <c:v>565</c:v>
                </c:pt>
                <c:pt idx="14">
                  <c:v>533</c:v>
                </c:pt>
                <c:pt idx="15">
                  <c:v>515</c:v>
                </c:pt>
                <c:pt idx="16">
                  <c:v>625</c:v>
                </c:pt>
                <c:pt idx="17">
                  <c:v>742</c:v>
                </c:pt>
                <c:pt idx="18">
                  <c:v>717</c:v>
                </c:pt>
                <c:pt idx="19">
                  <c:v>643</c:v>
                </c:pt>
                <c:pt idx="20">
                  <c:v>830</c:v>
                </c:pt>
                <c:pt idx="21">
                  <c:v>884</c:v>
                </c:pt>
                <c:pt idx="22">
                  <c:v>795</c:v>
                </c:pt>
                <c:pt idx="23">
                  <c:v>887</c:v>
                </c:pt>
                <c:pt idx="24">
                  <c:v>958</c:v>
                </c:pt>
                <c:pt idx="25">
                  <c:v>940</c:v>
                </c:pt>
                <c:pt idx="26">
                  <c:v>781</c:v>
                </c:pt>
                <c:pt idx="27">
                  <c:v>937</c:v>
                </c:pt>
                <c:pt idx="28">
                  <c:v>930</c:v>
                </c:pt>
                <c:pt idx="29">
                  <c:v>894</c:v>
                </c:pt>
              </c:numCache>
            </c:numRef>
          </c:xVal>
          <c:yVal>
            <c:numRef>
              <c:f>'After software 19May'!$AJ$27:$AJ$56</c:f>
              <c:numCache>
                <c:formatCode>General</c:formatCode>
                <c:ptCount val="30"/>
                <c:pt idx="0">
                  <c:v>911</c:v>
                </c:pt>
                <c:pt idx="1">
                  <c:v>1396</c:v>
                </c:pt>
                <c:pt idx="2">
                  <c:v>4528</c:v>
                </c:pt>
                <c:pt idx="3">
                  <c:v>3564</c:v>
                </c:pt>
                <c:pt idx="4">
                  <c:v>4926</c:v>
                </c:pt>
                <c:pt idx="5">
                  <c:v>5536</c:v>
                </c:pt>
                <c:pt idx="6">
                  <c:v>5235</c:v>
                </c:pt>
                <c:pt idx="7">
                  <c:v>4657</c:v>
                </c:pt>
                <c:pt idx="8">
                  <c:v>4947</c:v>
                </c:pt>
                <c:pt idx="9">
                  <c:v>5676</c:v>
                </c:pt>
                <c:pt idx="10">
                  <c:v>1154</c:v>
                </c:pt>
                <c:pt idx="11">
                  <c:v>898</c:v>
                </c:pt>
                <c:pt idx="12">
                  <c:v>2447</c:v>
                </c:pt>
                <c:pt idx="13">
                  <c:v>1987</c:v>
                </c:pt>
                <c:pt idx="14">
                  <c:v>1686</c:v>
                </c:pt>
                <c:pt idx="15">
                  <c:v>1728</c:v>
                </c:pt>
                <c:pt idx="16">
                  <c:v>2366</c:v>
                </c:pt>
                <c:pt idx="17">
                  <c:v>3404</c:v>
                </c:pt>
                <c:pt idx="18">
                  <c:v>3373</c:v>
                </c:pt>
                <c:pt idx="19">
                  <c:v>2600</c:v>
                </c:pt>
                <c:pt idx="20">
                  <c:v>4586</c:v>
                </c:pt>
                <c:pt idx="21">
                  <c:v>6009</c:v>
                </c:pt>
                <c:pt idx="22">
                  <c:v>4339</c:v>
                </c:pt>
                <c:pt idx="23">
                  <c:v>6357</c:v>
                </c:pt>
                <c:pt idx="24">
                  <c:v>7750</c:v>
                </c:pt>
                <c:pt idx="25">
                  <c:v>8073</c:v>
                </c:pt>
                <c:pt idx="26">
                  <c:v>5264</c:v>
                </c:pt>
                <c:pt idx="27">
                  <c:v>7602</c:v>
                </c:pt>
                <c:pt idx="28">
                  <c:v>7957</c:v>
                </c:pt>
                <c:pt idx="29">
                  <c:v>7509</c:v>
                </c:pt>
              </c:numCache>
            </c:numRef>
          </c:yVal>
          <c:smooth val="0"/>
        </c:ser>
        <c:ser>
          <c:idx val="3"/>
          <c:order val="3"/>
          <c:tx>
            <c:v>Expected</c:v>
          </c:tx>
          <c:spPr>
            <a:ln w="28575">
              <a:solidFill>
                <a:srgbClr val="777777">
                  <a:alpha val="50000"/>
                </a:srgbClr>
              </a:solidFill>
            </a:ln>
          </c:spPr>
          <c:marker>
            <c:symbol val="none"/>
          </c:marker>
          <c:trendline>
            <c:spPr>
              <a:ln>
                <a:solidFill>
                  <a:srgbClr val="777777"/>
                </a:solidFill>
              </a:ln>
            </c:spPr>
            <c:trendlineType val="poly"/>
            <c:order val="2"/>
            <c:dispRSqr val="0"/>
            <c:dispEq val="0"/>
          </c:trendline>
          <c:xVal>
            <c:numRef>
              <c:f>'After software 19May'!$D$8:$D$17</c:f>
              <c:numCache>
                <c:formatCode>General</c:formatCode>
                <c:ptCount val="10"/>
                <c:pt idx="0">
                  <c:v>100</c:v>
                </c:pt>
                <c:pt idx="1">
                  <c:v>300</c:v>
                </c:pt>
                <c:pt idx="2">
                  <c:v>200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950</c:v>
                </c:pt>
              </c:numCache>
            </c:numRef>
          </c:xVal>
          <c:yVal>
            <c:numRef>
              <c:f>'After software 19May'!$E$8:$E$17</c:f>
              <c:numCache>
                <c:formatCode>General</c:formatCode>
                <c:ptCount val="10"/>
                <c:pt idx="0">
                  <c:v>0</c:v>
                </c:pt>
                <c:pt idx="1">
                  <c:v>900</c:v>
                </c:pt>
                <c:pt idx="2">
                  <c:v>440</c:v>
                </c:pt>
                <c:pt idx="3">
                  <c:v>1600</c:v>
                </c:pt>
                <c:pt idx="4">
                  <c:v>2400</c:v>
                </c:pt>
                <c:pt idx="5">
                  <c:v>3400</c:v>
                </c:pt>
                <c:pt idx="6">
                  <c:v>4500</c:v>
                </c:pt>
                <c:pt idx="7">
                  <c:v>5800</c:v>
                </c:pt>
                <c:pt idx="8">
                  <c:v>7000</c:v>
                </c:pt>
                <c:pt idx="9">
                  <c:v>8000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2064"/>
        <c:axId val="123152640"/>
      </c:scatterChart>
      <c:valAx>
        <c:axId val="123152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152640"/>
        <c:crosses val="autoZero"/>
        <c:crossBetween val="midCat"/>
      </c:valAx>
      <c:valAx>
        <c:axId val="12315264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Initial intensity (mV)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152064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2" l="0.70000000000000095" r="0.70000000000000095" t="0.750000000000002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Isotope ratio means</a:t>
            </a:r>
          </a:p>
        </c:rich>
      </c:tx>
      <c:layout>
        <c:manualLayout>
          <c:xMode val="edge"/>
          <c:yMode val="edge"/>
          <c:x val="0.3862545514229811"/>
          <c:y val="0.78170008859827544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15323647112699"/>
          <c:y val="0.18112744756463001"/>
          <c:w val="0.85793892667917104"/>
          <c:h val="0.5759224827482935"/>
        </c:manualLayout>
      </c:layout>
      <c:scatterChart>
        <c:scatterStyle val="lineMarker"/>
        <c:varyColors val="0"/>
        <c:ser>
          <c:idx val="0"/>
          <c:order val="0"/>
          <c:tx>
            <c:v>Previous d13C</c:v>
          </c:tx>
          <c:spPr>
            <a:ln w="28575">
              <a:noFill/>
            </a:ln>
          </c:spPr>
          <c:marker>
            <c:symbol val="diamond"/>
            <c:size val="6"/>
            <c:spPr>
              <a:noFill/>
            </c:spPr>
          </c:marker>
          <c:xVal>
            <c:numRef>
              <c:f>'After instal'!$AJ$6:$AJ$117</c:f>
              <c:numCache>
                <c:formatCode>General</c:formatCode>
                <c:ptCount val="112"/>
                <c:pt idx="0">
                  <c:v>1775</c:v>
                </c:pt>
                <c:pt idx="1">
                  <c:v>1729</c:v>
                </c:pt>
                <c:pt idx="2">
                  <c:v>1375</c:v>
                </c:pt>
                <c:pt idx="3">
                  <c:v>1177</c:v>
                </c:pt>
                <c:pt idx="4">
                  <c:v>1187</c:v>
                </c:pt>
                <c:pt idx="5">
                  <c:v>1195</c:v>
                </c:pt>
                <c:pt idx="6">
                  <c:v>1652</c:v>
                </c:pt>
                <c:pt idx="7">
                  <c:v>1146</c:v>
                </c:pt>
                <c:pt idx="10">
                  <c:v>1321</c:v>
                </c:pt>
                <c:pt idx="11">
                  <c:v>903</c:v>
                </c:pt>
                <c:pt idx="12">
                  <c:v>1068</c:v>
                </c:pt>
                <c:pt idx="13">
                  <c:v>1558</c:v>
                </c:pt>
                <c:pt idx="14">
                  <c:v>1676</c:v>
                </c:pt>
                <c:pt idx="15">
                  <c:v>1427</c:v>
                </c:pt>
                <c:pt idx="16">
                  <c:v>917</c:v>
                </c:pt>
                <c:pt idx="17">
                  <c:v>1532</c:v>
                </c:pt>
                <c:pt idx="18">
                  <c:v>1593</c:v>
                </c:pt>
                <c:pt idx="19">
                  <c:v>1711</c:v>
                </c:pt>
                <c:pt idx="20">
                  <c:v>1635</c:v>
                </c:pt>
                <c:pt idx="21">
                  <c:v>1641</c:v>
                </c:pt>
                <c:pt idx="24">
                  <c:v>9</c:v>
                </c:pt>
                <c:pt idx="27">
                  <c:v>1355</c:v>
                </c:pt>
                <c:pt idx="28">
                  <c:v>1513</c:v>
                </c:pt>
                <c:pt idx="29">
                  <c:v>1748</c:v>
                </c:pt>
                <c:pt idx="32">
                  <c:v>967</c:v>
                </c:pt>
                <c:pt idx="33">
                  <c:v>1496</c:v>
                </c:pt>
                <c:pt idx="34">
                  <c:v>1185</c:v>
                </c:pt>
                <c:pt idx="35">
                  <c:v>1097</c:v>
                </c:pt>
                <c:pt idx="36">
                  <c:v>1386</c:v>
                </c:pt>
                <c:pt idx="37">
                  <c:v>942</c:v>
                </c:pt>
                <c:pt idx="40">
                  <c:v>1201</c:v>
                </c:pt>
                <c:pt idx="41">
                  <c:v>1540</c:v>
                </c:pt>
                <c:pt idx="42">
                  <c:v>2014</c:v>
                </c:pt>
                <c:pt idx="43">
                  <c:v>1622</c:v>
                </c:pt>
                <c:pt idx="44">
                  <c:v>1696</c:v>
                </c:pt>
                <c:pt idx="45">
                  <c:v>1644</c:v>
                </c:pt>
                <c:pt idx="48">
                  <c:v>1614</c:v>
                </c:pt>
                <c:pt idx="49">
                  <c:v>1382</c:v>
                </c:pt>
                <c:pt idx="50">
                  <c:v>1399</c:v>
                </c:pt>
                <c:pt idx="51">
                  <c:v>1679</c:v>
                </c:pt>
                <c:pt idx="52">
                  <c:v>1809</c:v>
                </c:pt>
                <c:pt idx="53">
                  <c:v>1454</c:v>
                </c:pt>
                <c:pt idx="58">
                  <c:v>631</c:v>
                </c:pt>
                <c:pt idx="59">
                  <c:v>12</c:v>
                </c:pt>
                <c:pt idx="60">
                  <c:v>407</c:v>
                </c:pt>
                <c:pt idx="61">
                  <c:v>245</c:v>
                </c:pt>
                <c:pt idx="62">
                  <c:v>435</c:v>
                </c:pt>
                <c:pt idx="65">
                  <c:v>1061</c:v>
                </c:pt>
                <c:pt idx="66">
                  <c:v>888</c:v>
                </c:pt>
                <c:pt idx="67">
                  <c:v>646</c:v>
                </c:pt>
                <c:pt idx="68">
                  <c:v>1149</c:v>
                </c:pt>
                <c:pt idx="69">
                  <c:v>1310</c:v>
                </c:pt>
                <c:pt idx="72">
                  <c:v>1467</c:v>
                </c:pt>
                <c:pt idx="73">
                  <c:v>1527</c:v>
                </c:pt>
                <c:pt idx="74">
                  <c:v>1519</c:v>
                </c:pt>
                <c:pt idx="75">
                  <c:v>1444</c:v>
                </c:pt>
                <c:pt idx="76">
                  <c:v>1112</c:v>
                </c:pt>
                <c:pt idx="81">
                  <c:v>3698</c:v>
                </c:pt>
                <c:pt idx="82">
                  <c:v>3878</c:v>
                </c:pt>
                <c:pt idx="83">
                  <c:v>3608</c:v>
                </c:pt>
                <c:pt idx="84">
                  <c:v>3130</c:v>
                </c:pt>
                <c:pt idx="85">
                  <c:v>2954</c:v>
                </c:pt>
                <c:pt idx="86">
                  <c:v>4325</c:v>
                </c:pt>
                <c:pt idx="87">
                  <c:v>4032</c:v>
                </c:pt>
                <c:pt idx="88">
                  <c:v>3096</c:v>
                </c:pt>
                <c:pt idx="93">
                  <c:v>4090</c:v>
                </c:pt>
                <c:pt idx="96">
                  <c:v>2672</c:v>
                </c:pt>
                <c:pt idx="97">
                  <c:v>2761</c:v>
                </c:pt>
                <c:pt idx="98">
                  <c:v>3662</c:v>
                </c:pt>
                <c:pt idx="99">
                  <c:v>3629</c:v>
                </c:pt>
                <c:pt idx="100">
                  <c:v>3554</c:v>
                </c:pt>
                <c:pt idx="101">
                  <c:v>982</c:v>
                </c:pt>
                <c:pt idx="106">
                  <c:v>1600</c:v>
                </c:pt>
                <c:pt idx="109">
                  <c:v>3209</c:v>
                </c:pt>
                <c:pt idx="110">
                  <c:v>2731</c:v>
                </c:pt>
                <c:pt idx="111">
                  <c:v>8</c:v>
                </c:pt>
              </c:numCache>
            </c:numRef>
          </c:xVal>
          <c:yVal>
            <c:numRef>
              <c:f>'After instal'!$D$6:$D$117</c:f>
              <c:numCache>
                <c:formatCode>General</c:formatCode>
                <c:ptCount val="112"/>
                <c:pt idx="0">
                  <c:v>1.768</c:v>
                </c:pt>
                <c:pt idx="1">
                  <c:v>1.8859999999999999</c:v>
                </c:pt>
                <c:pt idx="2">
                  <c:v>1.8240000000000001</c:v>
                </c:pt>
                <c:pt idx="3">
                  <c:v>1.9370000000000001</c:v>
                </c:pt>
                <c:pt idx="4">
                  <c:v>1.869</c:v>
                </c:pt>
                <c:pt idx="5">
                  <c:v>1.917</c:v>
                </c:pt>
                <c:pt idx="6">
                  <c:v>1.859</c:v>
                </c:pt>
                <c:pt idx="7">
                  <c:v>1.988</c:v>
                </c:pt>
                <c:pt idx="10">
                  <c:v>1.841</c:v>
                </c:pt>
                <c:pt idx="11">
                  <c:v>1.756</c:v>
                </c:pt>
                <c:pt idx="12">
                  <c:v>1.8580000000000001</c:v>
                </c:pt>
                <c:pt idx="13">
                  <c:v>1.8420000000000001</c:v>
                </c:pt>
                <c:pt idx="14">
                  <c:v>1.87</c:v>
                </c:pt>
                <c:pt idx="15">
                  <c:v>1.8240000000000001</c:v>
                </c:pt>
                <c:pt idx="16">
                  <c:v>1.7470000000000001</c:v>
                </c:pt>
                <c:pt idx="17">
                  <c:v>1.8080000000000001</c:v>
                </c:pt>
                <c:pt idx="18">
                  <c:v>1.8660000000000001</c:v>
                </c:pt>
                <c:pt idx="19">
                  <c:v>1.8</c:v>
                </c:pt>
                <c:pt idx="20">
                  <c:v>1.8540000000000001</c:v>
                </c:pt>
                <c:pt idx="21">
                  <c:v>1.87</c:v>
                </c:pt>
                <c:pt idx="24">
                  <c:v>-12.292</c:v>
                </c:pt>
                <c:pt idx="27">
                  <c:v>1.7430000000000001</c:v>
                </c:pt>
                <c:pt idx="28">
                  <c:v>1.865</c:v>
                </c:pt>
                <c:pt idx="29">
                  <c:v>1.867</c:v>
                </c:pt>
                <c:pt idx="32">
                  <c:v>1.8420000000000001</c:v>
                </c:pt>
                <c:pt idx="33">
                  <c:v>1.86</c:v>
                </c:pt>
                <c:pt idx="34">
                  <c:v>1.87</c:v>
                </c:pt>
                <c:pt idx="35">
                  <c:v>1.9350000000000001</c:v>
                </c:pt>
                <c:pt idx="36">
                  <c:v>1.8360000000000001</c:v>
                </c:pt>
                <c:pt idx="37">
                  <c:v>1.8560000000000001</c:v>
                </c:pt>
                <c:pt idx="40">
                  <c:v>1.873</c:v>
                </c:pt>
                <c:pt idx="41">
                  <c:v>1.8759999999999999</c:v>
                </c:pt>
                <c:pt idx="42">
                  <c:v>1.847</c:v>
                </c:pt>
                <c:pt idx="43">
                  <c:v>1.8779999999999999</c:v>
                </c:pt>
                <c:pt idx="44">
                  <c:v>1.861</c:v>
                </c:pt>
                <c:pt idx="45">
                  <c:v>1.9350000000000001</c:v>
                </c:pt>
                <c:pt idx="48">
                  <c:v>1.7909999999999999</c:v>
                </c:pt>
                <c:pt idx="49">
                  <c:v>1.9379999999999999</c:v>
                </c:pt>
                <c:pt idx="50">
                  <c:v>1.9019999999999999</c:v>
                </c:pt>
                <c:pt idx="51">
                  <c:v>1.917</c:v>
                </c:pt>
                <c:pt idx="52">
                  <c:v>1.847</c:v>
                </c:pt>
                <c:pt idx="53">
                  <c:v>1.931</c:v>
                </c:pt>
                <c:pt idx="56">
                  <c:v>0</c:v>
                </c:pt>
                <c:pt idx="58">
                  <c:v>4.1189999999999998</c:v>
                </c:pt>
                <c:pt idx="59">
                  <c:v>-6.5049999999999999</c:v>
                </c:pt>
                <c:pt idx="60">
                  <c:v>0.78</c:v>
                </c:pt>
                <c:pt idx="61">
                  <c:v>0.42199999999999999</c:v>
                </c:pt>
                <c:pt idx="62">
                  <c:v>0.97699999999999998</c:v>
                </c:pt>
                <c:pt idx="65">
                  <c:v>1.859</c:v>
                </c:pt>
                <c:pt idx="66">
                  <c:v>1.764</c:v>
                </c:pt>
                <c:pt idx="67">
                  <c:v>1.4370000000000001</c:v>
                </c:pt>
                <c:pt idx="68">
                  <c:v>1.76</c:v>
                </c:pt>
                <c:pt idx="69">
                  <c:v>1.617</c:v>
                </c:pt>
                <c:pt idx="72">
                  <c:v>1.899</c:v>
                </c:pt>
                <c:pt idx="73">
                  <c:v>1.8049999999999999</c:v>
                </c:pt>
                <c:pt idx="74">
                  <c:v>1.8580000000000001</c:v>
                </c:pt>
                <c:pt idx="75">
                  <c:v>1.76</c:v>
                </c:pt>
                <c:pt idx="76">
                  <c:v>1.9059999999999999</c:v>
                </c:pt>
                <c:pt idx="79">
                  <c:v>0</c:v>
                </c:pt>
                <c:pt idx="81">
                  <c:v>1.84</c:v>
                </c:pt>
                <c:pt idx="82">
                  <c:v>1.792</c:v>
                </c:pt>
                <c:pt idx="83">
                  <c:v>1.847</c:v>
                </c:pt>
                <c:pt idx="84">
                  <c:v>1.7989999999999999</c:v>
                </c:pt>
                <c:pt idx="85">
                  <c:v>1.865</c:v>
                </c:pt>
                <c:pt idx="86">
                  <c:v>1.8340000000000001</c:v>
                </c:pt>
                <c:pt idx="87">
                  <c:v>1.8340000000000001</c:v>
                </c:pt>
                <c:pt idx="88">
                  <c:v>1.8069999999999999</c:v>
                </c:pt>
                <c:pt idx="91">
                  <c:v>0</c:v>
                </c:pt>
                <c:pt idx="93">
                  <c:v>1.8240000000000001</c:v>
                </c:pt>
                <c:pt idx="96">
                  <c:v>1.831</c:v>
                </c:pt>
                <c:pt idx="97">
                  <c:v>1.839</c:v>
                </c:pt>
                <c:pt idx="98">
                  <c:v>1.8140000000000001</c:v>
                </c:pt>
                <c:pt idx="99">
                  <c:v>1.8280000000000001</c:v>
                </c:pt>
                <c:pt idx="100">
                  <c:v>1.8049999999999999</c:v>
                </c:pt>
                <c:pt idx="101">
                  <c:v>1.915</c:v>
                </c:pt>
                <c:pt idx="104">
                  <c:v>0</c:v>
                </c:pt>
                <c:pt idx="106">
                  <c:v>4.0209999999999999</c:v>
                </c:pt>
                <c:pt idx="109">
                  <c:v>1.8480000000000001</c:v>
                </c:pt>
                <c:pt idx="110">
                  <c:v>1.833</c:v>
                </c:pt>
                <c:pt idx="111">
                  <c:v>-27.681999999999999</c:v>
                </c:pt>
              </c:numCache>
            </c:numRef>
          </c:yVal>
          <c:smooth val="0"/>
        </c:ser>
        <c:ser>
          <c:idx val="1"/>
          <c:order val="1"/>
          <c:tx>
            <c:v>Previous d18O</c:v>
          </c:tx>
          <c:spPr>
            <a:ln w="28575">
              <a:noFill/>
            </a:ln>
          </c:spPr>
          <c:marker>
            <c:symbol val="square"/>
            <c:size val="5"/>
            <c:spPr>
              <a:noFill/>
            </c:spPr>
          </c:marker>
          <c:xVal>
            <c:numRef>
              <c:f>'After instal'!$AJ$6:$AJ$117</c:f>
              <c:numCache>
                <c:formatCode>General</c:formatCode>
                <c:ptCount val="112"/>
                <c:pt idx="0">
                  <c:v>1775</c:v>
                </c:pt>
                <c:pt idx="1">
                  <c:v>1729</c:v>
                </c:pt>
                <c:pt idx="2">
                  <c:v>1375</c:v>
                </c:pt>
                <c:pt idx="3">
                  <c:v>1177</c:v>
                </c:pt>
                <c:pt idx="4">
                  <c:v>1187</c:v>
                </c:pt>
                <c:pt idx="5">
                  <c:v>1195</c:v>
                </c:pt>
                <c:pt idx="6">
                  <c:v>1652</c:v>
                </c:pt>
                <c:pt idx="7">
                  <c:v>1146</c:v>
                </c:pt>
                <c:pt idx="10">
                  <c:v>1321</c:v>
                </c:pt>
                <c:pt idx="11">
                  <c:v>903</c:v>
                </c:pt>
                <c:pt idx="12">
                  <c:v>1068</c:v>
                </c:pt>
                <c:pt idx="13">
                  <c:v>1558</c:v>
                </c:pt>
                <c:pt idx="14">
                  <c:v>1676</c:v>
                </c:pt>
                <c:pt idx="15">
                  <c:v>1427</c:v>
                </c:pt>
                <c:pt idx="16">
                  <c:v>917</c:v>
                </c:pt>
                <c:pt idx="17">
                  <c:v>1532</c:v>
                </c:pt>
                <c:pt idx="18">
                  <c:v>1593</c:v>
                </c:pt>
                <c:pt idx="19">
                  <c:v>1711</c:v>
                </c:pt>
                <c:pt idx="20">
                  <c:v>1635</c:v>
                </c:pt>
                <c:pt idx="21">
                  <c:v>1641</c:v>
                </c:pt>
                <c:pt idx="24">
                  <c:v>9</c:v>
                </c:pt>
                <c:pt idx="27">
                  <c:v>1355</c:v>
                </c:pt>
                <c:pt idx="28">
                  <c:v>1513</c:v>
                </c:pt>
                <c:pt idx="29">
                  <c:v>1748</c:v>
                </c:pt>
                <c:pt idx="32">
                  <c:v>967</c:v>
                </c:pt>
                <c:pt idx="33">
                  <c:v>1496</c:v>
                </c:pt>
                <c:pt idx="34">
                  <c:v>1185</c:v>
                </c:pt>
                <c:pt idx="35">
                  <c:v>1097</c:v>
                </c:pt>
                <c:pt idx="36">
                  <c:v>1386</c:v>
                </c:pt>
                <c:pt idx="37">
                  <c:v>942</c:v>
                </c:pt>
                <c:pt idx="40">
                  <c:v>1201</c:v>
                </c:pt>
                <c:pt idx="41">
                  <c:v>1540</c:v>
                </c:pt>
                <c:pt idx="42">
                  <c:v>2014</c:v>
                </c:pt>
                <c:pt idx="43">
                  <c:v>1622</c:v>
                </c:pt>
                <c:pt idx="44">
                  <c:v>1696</c:v>
                </c:pt>
                <c:pt idx="45">
                  <c:v>1644</c:v>
                </c:pt>
                <c:pt idx="48">
                  <c:v>1614</c:v>
                </c:pt>
                <c:pt idx="49">
                  <c:v>1382</c:v>
                </c:pt>
                <c:pt idx="50">
                  <c:v>1399</c:v>
                </c:pt>
                <c:pt idx="51">
                  <c:v>1679</c:v>
                </c:pt>
                <c:pt idx="52">
                  <c:v>1809</c:v>
                </c:pt>
                <c:pt idx="53">
                  <c:v>1454</c:v>
                </c:pt>
                <c:pt idx="58">
                  <c:v>631</c:v>
                </c:pt>
                <c:pt idx="59">
                  <c:v>12</c:v>
                </c:pt>
                <c:pt idx="60">
                  <c:v>407</c:v>
                </c:pt>
                <c:pt idx="61">
                  <c:v>245</c:v>
                </c:pt>
                <c:pt idx="62">
                  <c:v>435</c:v>
                </c:pt>
                <c:pt idx="65">
                  <c:v>1061</c:v>
                </c:pt>
                <c:pt idx="66">
                  <c:v>888</c:v>
                </c:pt>
                <c:pt idx="67">
                  <c:v>646</c:v>
                </c:pt>
                <c:pt idx="68">
                  <c:v>1149</c:v>
                </c:pt>
                <c:pt idx="69">
                  <c:v>1310</c:v>
                </c:pt>
                <c:pt idx="72">
                  <c:v>1467</c:v>
                </c:pt>
                <c:pt idx="73">
                  <c:v>1527</c:v>
                </c:pt>
                <c:pt idx="74">
                  <c:v>1519</c:v>
                </c:pt>
                <c:pt idx="75">
                  <c:v>1444</c:v>
                </c:pt>
                <c:pt idx="76">
                  <c:v>1112</c:v>
                </c:pt>
                <c:pt idx="81">
                  <c:v>3698</c:v>
                </c:pt>
                <c:pt idx="82">
                  <c:v>3878</c:v>
                </c:pt>
                <c:pt idx="83">
                  <c:v>3608</c:v>
                </c:pt>
                <c:pt idx="84">
                  <c:v>3130</c:v>
                </c:pt>
                <c:pt idx="85">
                  <c:v>2954</c:v>
                </c:pt>
                <c:pt idx="86">
                  <c:v>4325</c:v>
                </c:pt>
                <c:pt idx="87">
                  <c:v>4032</c:v>
                </c:pt>
                <c:pt idx="88">
                  <c:v>3096</c:v>
                </c:pt>
                <c:pt idx="93">
                  <c:v>4090</c:v>
                </c:pt>
                <c:pt idx="96">
                  <c:v>2672</c:v>
                </c:pt>
                <c:pt idx="97">
                  <c:v>2761</c:v>
                </c:pt>
                <c:pt idx="98">
                  <c:v>3662</c:v>
                </c:pt>
                <c:pt idx="99">
                  <c:v>3629</c:v>
                </c:pt>
                <c:pt idx="100">
                  <c:v>3554</c:v>
                </c:pt>
                <c:pt idx="101">
                  <c:v>982</c:v>
                </c:pt>
                <c:pt idx="106">
                  <c:v>1600</c:v>
                </c:pt>
                <c:pt idx="109">
                  <c:v>3209</c:v>
                </c:pt>
                <c:pt idx="110">
                  <c:v>2731</c:v>
                </c:pt>
                <c:pt idx="111">
                  <c:v>8</c:v>
                </c:pt>
              </c:numCache>
            </c:numRef>
          </c:xVal>
          <c:yVal>
            <c:numRef>
              <c:f>'After instal'!$F$6:$F$117</c:f>
              <c:numCache>
                <c:formatCode>General</c:formatCode>
                <c:ptCount val="112"/>
                <c:pt idx="0">
                  <c:v>-2.4319999999999999</c:v>
                </c:pt>
                <c:pt idx="1">
                  <c:v>-2.1040000000000001</c:v>
                </c:pt>
                <c:pt idx="2">
                  <c:v>-2.339</c:v>
                </c:pt>
                <c:pt idx="3">
                  <c:v>-2.0630000000000002</c:v>
                </c:pt>
                <c:pt idx="4">
                  <c:v>-2.2970000000000002</c:v>
                </c:pt>
                <c:pt idx="5">
                  <c:v>-2.1259999999999999</c:v>
                </c:pt>
                <c:pt idx="6">
                  <c:v>-2.3029999999999999</c:v>
                </c:pt>
                <c:pt idx="7">
                  <c:v>-2.2480000000000002</c:v>
                </c:pt>
                <c:pt idx="10">
                  <c:v>-2.4569999999999999</c:v>
                </c:pt>
                <c:pt idx="11">
                  <c:v>-3.0129999999999999</c:v>
                </c:pt>
                <c:pt idx="12">
                  <c:v>-3.0680000000000001</c:v>
                </c:pt>
                <c:pt idx="13">
                  <c:v>-2.177</c:v>
                </c:pt>
                <c:pt idx="14">
                  <c:v>-2.3730000000000002</c:v>
                </c:pt>
                <c:pt idx="15">
                  <c:v>-2.1789999999999998</c:v>
                </c:pt>
                <c:pt idx="16">
                  <c:v>-3.3929999999999998</c:v>
                </c:pt>
                <c:pt idx="17">
                  <c:v>-2.17</c:v>
                </c:pt>
                <c:pt idx="18">
                  <c:v>-2.5099999999999998</c:v>
                </c:pt>
                <c:pt idx="19">
                  <c:v>-2.278</c:v>
                </c:pt>
                <c:pt idx="20">
                  <c:v>-2.4969999999999999</c:v>
                </c:pt>
                <c:pt idx="21">
                  <c:v>-2.2120000000000002</c:v>
                </c:pt>
                <c:pt idx="24">
                  <c:v>-18.856999999999999</c:v>
                </c:pt>
                <c:pt idx="27">
                  <c:v>-2.6890000000000001</c:v>
                </c:pt>
                <c:pt idx="28">
                  <c:v>-2.3610000000000002</c:v>
                </c:pt>
                <c:pt idx="29">
                  <c:v>-2.2730000000000001</c:v>
                </c:pt>
                <c:pt idx="32">
                  <c:v>-3.4609999999999999</c:v>
                </c:pt>
                <c:pt idx="33">
                  <c:v>-2.1840000000000002</c:v>
                </c:pt>
                <c:pt idx="34">
                  <c:v>-2.633</c:v>
                </c:pt>
                <c:pt idx="35">
                  <c:v>-2.4300000000000002</c:v>
                </c:pt>
                <c:pt idx="36">
                  <c:v>-2.5649999999999999</c:v>
                </c:pt>
                <c:pt idx="37">
                  <c:v>-2.7869999999999999</c:v>
                </c:pt>
                <c:pt idx="40">
                  <c:v>-2.6160000000000001</c:v>
                </c:pt>
                <c:pt idx="41">
                  <c:v>-2.2669999999999999</c:v>
                </c:pt>
                <c:pt idx="42">
                  <c:v>-2.5310000000000001</c:v>
                </c:pt>
                <c:pt idx="43">
                  <c:v>-2.234</c:v>
                </c:pt>
                <c:pt idx="44">
                  <c:v>-2.5430000000000001</c:v>
                </c:pt>
                <c:pt idx="45">
                  <c:v>-2.1859999999999999</c:v>
                </c:pt>
                <c:pt idx="48">
                  <c:v>-2.5230000000000001</c:v>
                </c:pt>
                <c:pt idx="49">
                  <c:v>-2.2040000000000002</c:v>
                </c:pt>
                <c:pt idx="50">
                  <c:v>-2.4950000000000001</c:v>
                </c:pt>
                <c:pt idx="51">
                  <c:v>-2.1560000000000001</c:v>
                </c:pt>
                <c:pt idx="52">
                  <c:v>-2.4500000000000002</c:v>
                </c:pt>
                <c:pt idx="53">
                  <c:v>-2.0950000000000002</c:v>
                </c:pt>
                <c:pt idx="56">
                  <c:v>0</c:v>
                </c:pt>
                <c:pt idx="58">
                  <c:v>-9.7859999999999996</c:v>
                </c:pt>
                <c:pt idx="59">
                  <c:v>-26.547999999999998</c:v>
                </c:pt>
                <c:pt idx="60">
                  <c:v>-8.968</c:v>
                </c:pt>
                <c:pt idx="61">
                  <c:v>-30.312000000000001</c:v>
                </c:pt>
                <c:pt idx="62">
                  <c:v>-9.1479999999999997</c:v>
                </c:pt>
                <c:pt idx="65">
                  <c:v>-3.6779999999999999</c:v>
                </c:pt>
                <c:pt idx="66">
                  <c:v>-2.9660000000000002</c:v>
                </c:pt>
                <c:pt idx="67">
                  <c:v>-4.5949999999999998</c:v>
                </c:pt>
                <c:pt idx="68">
                  <c:v>-2.7040000000000002</c:v>
                </c:pt>
                <c:pt idx="69">
                  <c:v>-3.3490000000000002</c:v>
                </c:pt>
                <c:pt idx="72">
                  <c:v>-2.3839999999999999</c:v>
                </c:pt>
                <c:pt idx="73">
                  <c:v>-2.1669999999999998</c:v>
                </c:pt>
                <c:pt idx="74">
                  <c:v>-2.3959999999999999</c:v>
                </c:pt>
                <c:pt idx="75">
                  <c:v>-2.157</c:v>
                </c:pt>
                <c:pt idx="76">
                  <c:v>-2.847</c:v>
                </c:pt>
                <c:pt idx="79">
                  <c:v>0</c:v>
                </c:pt>
                <c:pt idx="81">
                  <c:v>-2.0939999999999999</c:v>
                </c:pt>
                <c:pt idx="82">
                  <c:v>-2.258</c:v>
                </c:pt>
                <c:pt idx="83">
                  <c:v>-2.3119999999999998</c:v>
                </c:pt>
                <c:pt idx="84">
                  <c:v>-2.4209999999999998</c:v>
                </c:pt>
                <c:pt idx="85">
                  <c:v>-2.2679999999999998</c:v>
                </c:pt>
                <c:pt idx="86">
                  <c:v>-2.3879999999999999</c:v>
                </c:pt>
                <c:pt idx="87">
                  <c:v>-2.3090000000000002</c:v>
                </c:pt>
                <c:pt idx="88">
                  <c:v>-2.6080000000000001</c:v>
                </c:pt>
                <c:pt idx="91">
                  <c:v>0</c:v>
                </c:pt>
                <c:pt idx="93">
                  <c:v>-2.2930000000000001</c:v>
                </c:pt>
                <c:pt idx="96">
                  <c:v>-2.2879999999999998</c:v>
                </c:pt>
                <c:pt idx="97">
                  <c:v>-2.2949999999999999</c:v>
                </c:pt>
                <c:pt idx="98">
                  <c:v>-2.347</c:v>
                </c:pt>
                <c:pt idx="99">
                  <c:v>-2.2309999999999999</c:v>
                </c:pt>
                <c:pt idx="100">
                  <c:v>-2.35</c:v>
                </c:pt>
                <c:pt idx="101">
                  <c:v>-2.7120000000000002</c:v>
                </c:pt>
                <c:pt idx="104">
                  <c:v>0</c:v>
                </c:pt>
                <c:pt idx="106">
                  <c:v>1.123</c:v>
                </c:pt>
                <c:pt idx="109">
                  <c:v>-2.2789999999999999</c:v>
                </c:pt>
                <c:pt idx="110">
                  <c:v>-2.367</c:v>
                </c:pt>
                <c:pt idx="111">
                  <c:v>-14.964</c:v>
                </c:pt>
              </c:numCache>
            </c:numRef>
          </c:yVal>
          <c:smooth val="0"/>
        </c:ser>
        <c:ser>
          <c:idx val="2"/>
          <c:order val="2"/>
          <c:tx>
            <c:v>d13C</c:v>
          </c:tx>
          <c:spPr>
            <a:ln w="19050">
              <a:solidFill>
                <a:schemeClr val="accent1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7000</c:v>
              </c:pt>
            </c:numLit>
          </c:xVal>
          <c:yVal>
            <c:numRef>
              <c:f>'After instal'!$D$2:$D$3</c:f>
              <c:numCache>
                <c:formatCode>General</c:formatCode>
                <c:ptCount val="2"/>
                <c:pt idx="0">
                  <c:v>1.95</c:v>
                </c:pt>
                <c:pt idx="1">
                  <c:v>1.95</c:v>
                </c:pt>
              </c:numCache>
            </c:numRef>
          </c:yVal>
          <c:smooth val="0"/>
        </c:ser>
        <c:ser>
          <c:idx val="3"/>
          <c:order val="3"/>
          <c:tx>
            <c:v>d18O</c:v>
          </c:tx>
          <c:spPr>
            <a:ln w="19050">
              <a:solidFill>
                <a:schemeClr val="accent2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7000</c:v>
              </c:pt>
            </c:numLit>
          </c:xVal>
          <c:yVal>
            <c:numRef>
              <c:f>'After instal'!$F$2:$F$3</c:f>
              <c:numCache>
                <c:formatCode>General</c:formatCode>
                <c:ptCount val="2"/>
                <c:pt idx="0">
                  <c:v>-2.2000000000000002</c:v>
                </c:pt>
                <c:pt idx="1">
                  <c:v>-2.2000000000000002</c:v>
                </c:pt>
              </c:numCache>
            </c:numRef>
          </c:yVal>
          <c:smooth val="0"/>
        </c:ser>
        <c:ser>
          <c:idx val="4"/>
          <c:order val="4"/>
          <c:tx>
            <c:v>19May d13C</c:v>
          </c:tx>
          <c:spPr>
            <a:ln w="28575">
              <a:noFill/>
            </a:ln>
          </c:spPr>
          <c:marker>
            <c:symbol val="diamond"/>
            <c:size val="6"/>
            <c:spPr>
              <a:solidFill>
                <a:schemeClr val="accent5"/>
              </a:solidFill>
              <a:ln>
                <a:solidFill>
                  <a:schemeClr val="accent5"/>
                </a:solidFill>
              </a:ln>
            </c:spPr>
          </c:marker>
          <c:xVal>
            <c:numRef>
              <c:f>'After software 19May'!$AJ$21:$AJ$23</c:f>
              <c:numCache>
                <c:formatCode>General</c:formatCode>
                <c:ptCount val="3"/>
                <c:pt idx="0">
                  <c:v>5574</c:v>
                </c:pt>
                <c:pt idx="1">
                  <c:v>6131</c:v>
                </c:pt>
                <c:pt idx="2">
                  <c:v>6498</c:v>
                </c:pt>
              </c:numCache>
            </c:numRef>
          </c:xVal>
          <c:yVal>
            <c:numRef>
              <c:f>'After software 19May'!$D$21:$D$23</c:f>
              <c:numCache>
                <c:formatCode>General</c:formatCode>
                <c:ptCount val="3"/>
                <c:pt idx="0">
                  <c:v>1.196</c:v>
                </c:pt>
                <c:pt idx="1">
                  <c:v>1.095</c:v>
                </c:pt>
                <c:pt idx="2">
                  <c:v>2.08</c:v>
                </c:pt>
              </c:numCache>
            </c:numRef>
          </c:yVal>
          <c:smooth val="0"/>
        </c:ser>
        <c:ser>
          <c:idx val="5"/>
          <c:order val="5"/>
          <c:tx>
            <c:v>19May d18O</c:v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accent2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'After software 19May'!$AJ$21:$AJ$23</c:f>
              <c:numCache>
                <c:formatCode>General</c:formatCode>
                <c:ptCount val="3"/>
                <c:pt idx="0">
                  <c:v>5574</c:v>
                </c:pt>
                <c:pt idx="1">
                  <c:v>6131</c:v>
                </c:pt>
                <c:pt idx="2">
                  <c:v>6498</c:v>
                </c:pt>
              </c:numCache>
            </c:numRef>
          </c:xVal>
          <c:yVal>
            <c:numRef>
              <c:f>'After software 19May'!$F$21:$F$23</c:f>
              <c:numCache>
                <c:formatCode>General</c:formatCode>
                <c:ptCount val="3"/>
                <c:pt idx="0">
                  <c:v>-1.212</c:v>
                </c:pt>
                <c:pt idx="1">
                  <c:v>-2.4660000000000002</c:v>
                </c:pt>
                <c:pt idx="2">
                  <c:v>-2.4009999999999998</c:v>
                </c:pt>
              </c:numCache>
            </c:numRef>
          </c:yVal>
          <c:smooth val="0"/>
        </c:ser>
        <c:ser>
          <c:idx val="6"/>
          <c:order val="6"/>
          <c:tx>
            <c:v>20May d13C</c:v>
          </c:tx>
          <c:spPr>
            <a:ln w="28575">
              <a:noFill/>
            </a:ln>
          </c:spPr>
          <c:marker>
            <c:symbol val="diamond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'After software 19May'!$AJ$27:$AJ$56</c:f>
              <c:numCache>
                <c:formatCode>General</c:formatCode>
                <c:ptCount val="30"/>
                <c:pt idx="0">
                  <c:v>911</c:v>
                </c:pt>
                <c:pt idx="1">
                  <c:v>1396</c:v>
                </c:pt>
                <c:pt idx="2">
                  <c:v>4528</c:v>
                </c:pt>
                <c:pt idx="3">
                  <c:v>3564</c:v>
                </c:pt>
                <c:pt idx="4">
                  <c:v>4926</c:v>
                </c:pt>
                <c:pt idx="5">
                  <c:v>5536</c:v>
                </c:pt>
                <c:pt idx="6">
                  <c:v>5235</c:v>
                </c:pt>
                <c:pt idx="7">
                  <c:v>4657</c:v>
                </c:pt>
                <c:pt idx="8">
                  <c:v>4947</c:v>
                </c:pt>
                <c:pt idx="9">
                  <c:v>5676</c:v>
                </c:pt>
                <c:pt idx="10">
                  <c:v>1154</c:v>
                </c:pt>
                <c:pt idx="11">
                  <c:v>898</c:v>
                </c:pt>
                <c:pt idx="12">
                  <c:v>2447</c:v>
                </c:pt>
                <c:pt idx="13">
                  <c:v>1987</c:v>
                </c:pt>
                <c:pt idx="14">
                  <c:v>1686</c:v>
                </c:pt>
                <c:pt idx="15">
                  <c:v>1728</c:v>
                </c:pt>
                <c:pt idx="16">
                  <c:v>2366</c:v>
                </c:pt>
                <c:pt idx="17">
                  <c:v>3404</c:v>
                </c:pt>
                <c:pt idx="18">
                  <c:v>3373</c:v>
                </c:pt>
                <c:pt idx="19">
                  <c:v>2600</c:v>
                </c:pt>
                <c:pt idx="20">
                  <c:v>4586</c:v>
                </c:pt>
                <c:pt idx="21">
                  <c:v>6009</c:v>
                </c:pt>
                <c:pt idx="22">
                  <c:v>4339</c:v>
                </c:pt>
                <c:pt idx="23">
                  <c:v>6357</c:v>
                </c:pt>
                <c:pt idx="24">
                  <c:v>7750</c:v>
                </c:pt>
                <c:pt idx="25">
                  <c:v>8073</c:v>
                </c:pt>
                <c:pt idx="26">
                  <c:v>5264</c:v>
                </c:pt>
                <c:pt idx="27">
                  <c:v>7602</c:v>
                </c:pt>
                <c:pt idx="28">
                  <c:v>7957</c:v>
                </c:pt>
                <c:pt idx="29">
                  <c:v>7509</c:v>
                </c:pt>
              </c:numCache>
            </c:numRef>
          </c:xVal>
          <c:yVal>
            <c:numRef>
              <c:f>'After software 19May'!$D$27:$D$56</c:f>
              <c:numCache>
                <c:formatCode>General</c:formatCode>
                <c:ptCount val="30"/>
                <c:pt idx="0">
                  <c:v>1.6919999999999999</c:v>
                </c:pt>
                <c:pt idx="1">
                  <c:v>2.5499999999999998</c:v>
                </c:pt>
                <c:pt idx="2">
                  <c:v>2.1659999999999999</c:v>
                </c:pt>
                <c:pt idx="3">
                  <c:v>2.073</c:v>
                </c:pt>
                <c:pt idx="4">
                  <c:v>2.1909999999999998</c:v>
                </c:pt>
                <c:pt idx="5">
                  <c:v>2.0529999999999999</c:v>
                </c:pt>
                <c:pt idx="6">
                  <c:v>2.11</c:v>
                </c:pt>
                <c:pt idx="7">
                  <c:v>2.359</c:v>
                </c:pt>
                <c:pt idx="8">
                  <c:v>2.0510000000000002</c:v>
                </c:pt>
                <c:pt idx="9">
                  <c:v>2.0739999999999998</c:v>
                </c:pt>
                <c:pt idx="10">
                  <c:v>2.1389999999999998</c:v>
                </c:pt>
                <c:pt idx="11">
                  <c:v>1.6619999999999999</c:v>
                </c:pt>
                <c:pt idx="12">
                  <c:v>2.1360000000000001</c:v>
                </c:pt>
                <c:pt idx="13">
                  <c:v>2.1560000000000001</c:v>
                </c:pt>
                <c:pt idx="14">
                  <c:v>2.0609999999999999</c:v>
                </c:pt>
                <c:pt idx="15">
                  <c:v>2.08</c:v>
                </c:pt>
                <c:pt idx="16">
                  <c:v>2.2930000000000001</c:v>
                </c:pt>
                <c:pt idx="17">
                  <c:v>2.036</c:v>
                </c:pt>
                <c:pt idx="18">
                  <c:v>2.0779999999999998</c:v>
                </c:pt>
                <c:pt idx="19">
                  <c:v>1.966</c:v>
                </c:pt>
                <c:pt idx="20">
                  <c:v>2.0270000000000001</c:v>
                </c:pt>
                <c:pt idx="21">
                  <c:v>2.2050000000000001</c:v>
                </c:pt>
                <c:pt idx="22">
                  <c:v>2.1520000000000001</c:v>
                </c:pt>
                <c:pt idx="23">
                  <c:v>2.0539999999999998</c:v>
                </c:pt>
                <c:pt idx="24">
                  <c:v>2.161</c:v>
                </c:pt>
                <c:pt idx="25">
                  <c:v>2.1389999999999998</c:v>
                </c:pt>
                <c:pt idx="26">
                  <c:v>2.1219999999999999</c:v>
                </c:pt>
                <c:pt idx="27">
                  <c:v>2.0219999999999998</c:v>
                </c:pt>
                <c:pt idx="28">
                  <c:v>2.0049999999999999</c:v>
                </c:pt>
                <c:pt idx="29">
                  <c:v>2.1240000000000001</c:v>
                </c:pt>
              </c:numCache>
            </c:numRef>
          </c:yVal>
          <c:smooth val="0"/>
        </c:ser>
        <c:ser>
          <c:idx val="7"/>
          <c:order val="7"/>
          <c:tx>
            <c:v>20May d18O</c:v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800000"/>
              </a:solidFill>
              <a:ln>
                <a:noFill/>
              </a:ln>
            </c:spPr>
          </c:marker>
          <c:xVal>
            <c:numRef>
              <c:f>'After software 19May'!$AJ$27:$AJ$56</c:f>
              <c:numCache>
                <c:formatCode>General</c:formatCode>
                <c:ptCount val="30"/>
                <c:pt idx="0">
                  <c:v>911</c:v>
                </c:pt>
                <c:pt idx="1">
                  <c:v>1396</c:v>
                </c:pt>
                <c:pt idx="2">
                  <c:v>4528</c:v>
                </c:pt>
                <c:pt idx="3">
                  <c:v>3564</c:v>
                </c:pt>
                <c:pt idx="4">
                  <c:v>4926</c:v>
                </c:pt>
                <c:pt idx="5">
                  <c:v>5536</c:v>
                </c:pt>
                <c:pt idx="6">
                  <c:v>5235</c:v>
                </c:pt>
                <c:pt idx="7">
                  <c:v>4657</c:v>
                </c:pt>
                <c:pt idx="8">
                  <c:v>4947</c:v>
                </c:pt>
                <c:pt idx="9">
                  <c:v>5676</c:v>
                </c:pt>
                <c:pt idx="10">
                  <c:v>1154</c:v>
                </c:pt>
                <c:pt idx="11">
                  <c:v>898</c:v>
                </c:pt>
                <c:pt idx="12">
                  <c:v>2447</c:v>
                </c:pt>
                <c:pt idx="13">
                  <c:v>1987</c:v>
                </c:pt>
                <c:pt idx="14">
                  <c:v>1686</c:v>
                </c:pt>
                <c:pt idx="15">
                  <c:v>1728</c:v>
                </c:pt>
                <c:pt idx="16">
                  <c:v>2366</c:v>
                </c:pt>
                <c:pt idx="17">
                  <c:v>3404</c:v>
                </c:pt>
                <c:pt idx="18">
                  <c:v>3373</c:v>
                </c:pt>
                <c:pt idx="19">
                  <c:v>2600</c:v>
                </c:pt>
                <c:pt idx="20">
                  <c:v>4586</c:v>
                </c:pt>
                <c:pt idx="21">
                  <c:v>6009</c:v>
                </c:pt>
                <c:pt idx="22">
                  <c:v>4339</c:v>
                </c:pt>
                <c:pt idx="23">
                  <c:v>6357</c:v>
                </c:pt>
                <c:pt idx="24">
                  <c:v>7750</c:v>
                </c:pt>
                <c:pt idx="25">
                  <c:v>8073</c:v>
                </c:pt>
                <c:pt idx="26">
                  <c:v>5264</c:v>
                </c:pt>
                <c:pt idx="27">
                  <c:v>7602</c:v>
                </c:pt>
                <c:pt idx="28">
                  <c:v>7957</c:v>
                </c:pt>
                <c:pt idx="29">
                  <c:v>7509</c:v>
                </c:pt>
              </c:numCache>
            </c:numRef>
          </c:xVal>
          <c:yVal>
            <c:numRef>
              <c:f>'After software 19May'!$F$27:$F$56</c:f>
              <c:numCache>
                <c:formatCode>General</c:formatCode>
                <c:ptCount val="30"/>
                <c:pt idx="0">
                  <c:v>-4.7610000000000001</c:v>
                </c:pt>
                <c:pt idx="1">
                  <c:v>-7.0430000000000001</c:v>
                </c:pt>
                <c:pt idx="2">
                  <c:v>-1.8440000000000001</c:v>
                </c:pt>
                <c:pt idx="3">
                  <c:v>-3.0950000000000002</c:v>
                </c:pt>
                <c:pt idx="4">
                  <c:v>-1.726</c:v>
                </c:pt>
                <c:pt idx="5">
                  <c:v>-2.331</c:v>
                </c:pt>
                <c:pt idx="6">
                  <c:v>-3.1789999999999998</c:v>
                </c:pt>
                <c:pt idx="7">
                  <c:v>-1.498</c:v>
                </c:pt>
                <c:pt idx="8">
                  <c:v>-2.347</c:v>
                </c:pt>
                <c:pt idx="9">
                  <c:v>-3.1480000000000001</c:v>
                </c:pt>
                <c:pt idx="10">
                  <c:v>-2.2530000000000001</c:v>
                </c:pt>
                <c:pt idx="11">
                  <c:v>-4.7140000000000004</c:v>
                </c:pt>
                <c:pt idx="12">
                  <c:v>-4.3849999999999998</c:v>
                </c:pt>
                <c:pt idx="13">
                  <c:v>-1.925</c:v>
                </c:pt>
                <c:pt idx="14">
                  <c:v>-2.9420000000000002</c:v>
                </c:pt>
                <c:pt idx="15">
                  <c:v>-4.8319999999999999</c:v>
                </c:pt>
                <c:pt idx="16">
                  <c:v>-1.675</c:v>
                </c:pt>
                <c:pt idx="17">
                  <c:v>-2.5289999999999999</c:v>
                </c:pt>
                <c:pt idx="18">
                  <c:v>-3.6579999999999999</c:v>
                </c:pt>
                <c:pt idx="19">
                  <c:v>-2.0510000000000002</c:v>
                </c:pt>
                <c:pt idx="20">
                  <c:v>-2.488</c:v>
                </c:pt>
                <c:pt idx="21">
                  <c:v>-2.85</c:v>
                </c:pt>
                <c:pt idx="22">
                  <c:v>-1.88</c:v>
                </c:pt>
                <c:pt idx="23">
                  <c:v>-2.8410000000000002</c:v>
                </c:pt>
                <c:pt idx="24">
                  <c:v>-2.0070000000000001</c:v>
                </c:pt>
                <c:pt idx="25">
                  <c:v>-1.998</c:v>
                </c:pt>
                <c:pt idx="26">
                  <c:v>-1.8620000000000001</c:v>
                </c:pt>
                <c:pt idx="27">
                  <c:v>-2.2799999999999998</c:v>
                </c:pt>
                <c:pt idx="28">
                  <c:v>-2.722</c:v>
                </c:pt>
                <c:pt idx="29">
                  <c:v>-1.9730000000000001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54944"/>
        <c:axId val="123155520"/>
      </c:scatterChart>
      <c:valAx>
        <c:axId val="123154944"/>
        <c:scaling>
          <c:orientation val="minMax"/>
          <c:max val="7000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Initial intensity (mV)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155520"/>
        <c:crosses val="max"/>
        <c:crossBetween val="midCat"/>
      </c:valAx>
      <c:valAx>
        <c:axId val="12315552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Isotope ratio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154944"/>
        <c:crosses val="autoZero"/>
        <c:crossBetween val="midCat"/>
      </c:valAx>
    </c:plotArea>
    <c:legend>
      <c:legendPos val="b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7.4393251584089562E-2"/>
          <c:y val="0.87110672972534531"/>
          <c:w val="0.89509703223465686"/>
          <c:h val="0.10987583762806194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" l="0.70000000000000095" r="0.70000000000000095" t="0.750000000000001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 (50%)</a:t>
            </a:r>
            <a:r>
              <a:rPr lang="en-US" baseline="0"/>
              <a:t> x corridas </a:t>
            </a:r>
            <a:r>
              <a:rPr lang="en-US" sz="1200" baseline="0"/>
              <a:t>(refill 30s)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4281433956557901"/>
          <c:y val="3.8350672487182602E-2"/>
          <c:w val="0.81842195651469696"/>
          <c:h val="0.76390526283028848"/>
        </c:manualLayout>
      </c:layout>
      <c:lineChart>
        <c:grouping val="standard"/>
        <c:varyColors val="0"/>
        <c:ser>
          <c:idx val="0"/>
          <c:order val="0"/>
          <c:tx>
            <c:v>2-5mV</c:v>
          </c:tx>
          <c:spPr>
            <a:ln w="19050"/>
          </c:spPr>
          <c:marker>
            <c:symbol val="square"/>
            <c:size val="5"/>
          </c:marker>
          <c:val>
            <c:numRef>
              <c:f>'After software 19May'!$AI$43:$AI$47</c:f>
              <c:numCache>
                <c:formatCode>General</c:formatCode>
                <c:ptCount val="5"/>
                <c:pt idx="0">
                  <c:v>14.5</c:v>
                </c:pt>
                <c:pt idx="1">
                  <c:v>14</c:v>
                </c:pt>
                <c:pt idx="2">
                  <c:v>13.4</c:v>
                </c:pt>
                <c:pt idx="3">
                  <c:v>13.1</c:v>
                </c:pt>
                <c:pt idx="4">
                  <c:v>13</c:v>
                </c:pt>
              </c:numCache>
            </c:numRef>
          </c:val>
          <c:smooth val="0"/>
        </c:ser>
        <c:ser>
          <c:idx val="1"/>
          <c:order val="1"/>
          <c:tx>
            <c:v>5-8mV</c:v>
          </c:tx>
          <c:spPr>
            <a:ln w="19050"/>
          </c:spPr>
          <c:val>
            <c:numRef>
              <c:f>'After software 19May'!$AI$51:$AI$56</c:f>
              <c:numCache>
                <c:formatCode>General</c:formatCode>
                <c:ptCount val="6"/>
                <c:pt idx="0">
                  <c:v>14.4</c:v>
                </c:pt>
                <c:pt idx="1">
                  <c:v>13.5</c:v>
                </c:pt>
                <c:pt idx="2">
                  <c:v>13.5</c:v>
                </c:pt>
                <c:pt idx="3">
                  <c:v>12.7</c:v>
                </c:pt>
                <c:pt idx="4">
                  <c:v>11.9</c:v>
                </c:pt>
                <c:pt idx="5">
                  <c:v>11.1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599488"/>
        <c:axId val="121683968"/>
      </c:lineChart>
      <c:catAx>
        <c:axId val="121599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Corrida</a:t>
                </a:r>
                <a:r>
                  <a:rPr lang="en-US" baseline="0"/>
                  <a:t> MAT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683968"/>
        <c:crosses val="autoZero"/>
        <c:auto val="1"/>
        <c:lblAlgn val="ctr"/>
        <c:lblOffset val="100"/>
        <c:noMultiLvlLbl val="0"/>
      </c:catAx>
      <c:valAx>
        <c:axId val="12168396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 50%  reference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59948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2" l="0.70000000000000095" r="0.70000000000000095" t="0.750000000000002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mass x P </a:t>
            </a:r>
            <a:r>
              <a:rPr lang="en-US" sz="1200"/>
              <a:t>(3drops,</a:t>
            </a:r>
            <a:r>
              <a:rPr lang="en-US" sz="1200" baseline="0"/>
              <a:t> 600s)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9335120463197"/>
          <c:y val="3.8350672487182602E-2"/>
          <c:w val="0.84190119244699502"/>
          <c:h val="0.75731783527059116"/>
        </c:manualLayout>
      </c:layout>
      <c:scatterChart>
        <c:scatterStyle val="lineMarker"/>
        <c:varyColors val="0"/>
        <c:ser>
          <c:idx val="0"/>
          <c:order val="0"/>
          <c:tx>
            <c:v>Previous</c:v>
          </c:tx>
          <c:spPr>
            <a:ln w="28575">
              <a:noFill/>
            </a:ln>
          </c:spPr>
          <c:xVal>
            <c:numRef>
              <c:f>('After instal'!$AM$6:$AM$13,'After instal'!$AM$30,'After instal'!$AM$33:$AM$35,'After instal'!$AM$64:$AM$82,'After instal'!$AM$112:$AM$117)</c:f>
              <c:numCache>
                <c:formatCode>General</c:formatCode>
                <c:ptCount val="37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18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36</c:v>
                </c:pt>
                <c:pt idx="34">
                  <c:v>54</c:v>
                </c:pt>
                <c:pt idx="35">
                  <c:v>54</c:v>
                </c:pt>
                <c:pt idx="36">
                  <c:v>54</c:v>
                </c:pt>
              </c:numCache>
            </c:numRef>
          </c:xVal>
          <c:yVal>
            <c:numRef>
              <c:f>('After instal'!$AG$6:$AG$13,'After instal'!$AG$30:$AG$35,'After instal'!$AG$64:$AG$82,'After instal'!$AG$112:$AG$117)</c:f>
              <c:numCache>
                <c:formatCode>General</c:formatCode>
                <c:ptCount val="39"/>
                <c:pt idx="0">
                  <c:v>533</c:v>
                </c:pt>
                <c:pt idx="1">
                  <c:v>538</c:v>
                </c:pt>
                <c:pt idx="2">
                  <c:v>494</c:v>
                </c:pt>
                <c:pt idx="3">
                  <c:v>455</c:v>
                </c:pt>
                <c:pt idx="4">
                  <c:v>467</c:v>
                </c:pt>
                <c:pt idx="5">
                  <c:v>477</c:v>
                </c:pt>
                <c:pt idx="6">
                  <c:v>525</c:v>
                </c:pt>
                <c:pt idx="7">
                  <c:v>445</c:v>
                </c:pt>
                <c:pt idx="8">
                  <c:v>40</c:v>
                </c:pt>
                <c:pt idx="11">
                  <c:v>462</c:v>
                </c:pt>
                <c:pt idx="12">
                  <c:v>486</c:v>
                </c:pt>
                <c:pt idx="13">
                  <c:v>508</c:v>
                </c:pt>
                <c:pt idx="14">
                  <c:v>311</c:v>
                </c:pt>
                <c:pt idx="15">
                  <c:v>30</c:v>
                </c:pt>
                <c:pt idx="16">
                  <c:v>232</c:v>
                </c:pt>
                <c:pt idx="17">
                  <c:v>262</c:v>
                </c:pt>
                <c:pt idx="18">
                  <c:v>250</c:v>
                </c:pt>
                <c:pt idx="21">
                  <c:v>418</c:v>
                </c:pt>
                <c:pt idx="22">
                  <c:v>367</c:v>
                </c:pt>
                <c:pt idx="23">
                  <c:v>311</c:v>
                </c:pt>
                <c:pt idx="24">
                  <c:v>418</c:v>
                </c:pt>
                <c:pt idx="25">
                  <c:v>440</c:v>
                </c:pt>
                <c:pt idx="28">
                  <c:v>469</c:v>
                </c:pt>
                <c:pt idx="29">
                  <c:v>489</c:v>
                </c:pt>
                <c:pt idx="30">
                  <c:v>489</c:v>
                </c:pt>
                <c:pt idx="31">
                  <c:v>469</c:v>
                </c:pt>
                <c:pt idx="32">
                  <c:v>416</c:v>
                </c:pt>
                <c:pt idx="33">
                  <c:v>543</c:v>
                </c:pt>
                <c:pt idx="36">
                  <c:v>670</c:v>
                </c:pt>
                <c:pt idx="37">
                  <c:v>589</c:v>
                </c:pt>
                <c:pt idx="38">
                  <c:v>25</c:v>
                </c:pt>
              </c:numCache>
            </c:numRef>
          </c:yVal>
          <c:smooth val="0"/>
        </c:ser>
        <c:ser>
          <c:idx val="3"/>
          <c:order val="1"/>
          <c:tx>
            <c:v>Expected</c:v>
          </c:tx>
          <c:spPr>
            <a:ln w="28575">
              <a:solidFill>
                <a:srgbClr val="777777">
                  <a:alpha val="50000"/>
                </a:srgbClr>
              </a:solidFill>
            </a:ln>
          </c:spPr>
          <c:marker>
            <c:symbol val="none"/>
          </c:marker>
          <c:trendline>
            <c:spPr>
              <a:ln>
                <a:solidFill>
                  <a:srgbClr val="777777"/>
                </a:solidFill>
              </a:ln>
            </c:spPr>
            <c:trendlineType val="log"/>
            <c:dispRSqr val="0"/>
            <c:dispEq val="0"/>
          </c:trendline>
          <c:xVal>
            <c:numRef>
              <c:f>'After software 19May'!$A$8:$A$14</c:f>
              <c:numCache>
                <c:formatCode>General</c:formatCode>
                <c:ptCount val="7"/>
                <c:pt idx="0">
                  <c:v>2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'After software 19May'!$B$8:$B$14</c:f>
              <c:numCache>
                <c:formatCode>General</c:formatCode>
                <c:ptCount val="7"/>
                <c:pt idx="0">
                  <c:v>140</c:v>
                </c:pt>
                <c:pt idx="1">
                  <c:v>490</c:v>
                </c:pt>
                <c:pt idx="2">
                  <c:v>675</c:v>
                </c:pt>
                <c:pt idx="3">
                  <c:v>760</c:v>
                </c:pt>
                <c:pt idx="4">
                  <c:v>840</c:v>
                </c:pt>
                <c:pt idx="5">
                  <c:v>900</c:v>
                </c:pt>
                <c:pt idx="6">
                  <c:v>950</c:v>
                </c:pt>
              </c:numCache>
            </c:numRef>
          </c:yVal>
          <c:smooth val="0"/>
        </c:ser>
        <c:ser>
          <c:idx val="2"/>
          <c:order val="2"/>
          <c:tx>
            <c:v>20/mai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'After software 19May'!$AM$27:$AM$56</c:f>
              <c:numCache>
                <c:formatCode>General</c:formatCode>
                <c:ptCount val="30"/>
                <c:pt idx="0">
                  <c:v>9</c:v>
                </c:pt>
                <c:pt idx="1">
                  <c:v>9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9</c:v>
                </c:pt>
                <c:pt idx="11">
                  <c:v>9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18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54</c:v>
                </c:pt>
                <c:pt idx="24">
                  <c:v>54</c:v>
                </c:pt>
                <c:pt idx="25">
                  <c:v>63</c:v>
                </c:pt>
                <c:pt idx="26">
                  <c:v>45</c:v>
                </c:pt>
                <c:pt idx="27">
                  <c:v>54</c:v>
                </c:pt>
                <c:pt idx="28">
                  <c:v>63</c:v>
                </c:pt>
                <c:pt idx="29">
                  <c:v>63</c:v>
                </c:pt>
              </c:numCache>
            </c:numRef>
          </c:xVal>
          <c:yVal>
            <c:numRef>
              <c:f>'After software 19May'!$AG$27:$AG$56</c:f>
              <c:numCache>
                <c:formatCode>General</c:formatCode>
                <c:ptCount val="30"/>
                <c:pt idx="0">
                  <c:v>352</c:v>
                </c:pt>
                <c:pt idx="1">
                  <c:v>420</c:v>
                </c:pt>
                <c:pt idx="2">
                  <c:v>820</c:v>
                </c:pt>
                <c:pt idx="3">
                  <c:v>714</c:v>
                </c:pt>
                <c:pt idx="4">
                  <c:v>813</c:v>
                </c:pt>
                <c:pt idx="5">
                  <c:v>866</c:v>
                </c:pt>
                <c:pt idx="6">
                  <c:v>823</c:v>
                </c:pt>
                <c:pt idx="7">
                  <c:v>791</c:v>
                </c:pt>
                <c:pt idx="8">
                  <c:v>848</c:v>
                </c:pt>
                <c:pt idx="9">
                  <c:v>859</c:v>
                </c:pt>
                <c:pt idx="10">
                  <c:v>416</c:v>
                </c:pt>
                <c:pt idx="11">
                  <c:v>349</c:v>
                </c:pt>
                <c:pt idx="12">
                  <c:v>604</c:v>
                </c:pt>
                <c:pt idx="13">
                  <c:v>565</c:v>
                </c:pt>
                <c:pt idx="14">
                  <c:v>533</c:v>
                </c:pt>
                <c:pt idx="15">
                  <c:v>515</c:v>
                </c:pt>
                <c:pt idx="16">
                  <c:v>625</c:v>
                </c:pt>
                <c:pt idx="17">
                  <c:v>742</c:v>
                </c:pt>
                <c:pt idx="18">
                  <c:v>717</c:v>
                </c:pt>
                <c:pt idx="19">
                  <c:v>643</c:v>
                </c:pt>
                <c:pt idx="20">
                  <c:v>830</c:v>
                </c:pt>
                <c:pt idx="21">
                  <c:v>884</c:v>
                </c:pt>
                <c:pt idx="22">
                  <c:v>795</c:v>
                </c:pt>
                <c:pt idx="23">
                  <c:v>887</c:v>
                </c:pt>
                <c:pt idx="24">
                  <c:v>958</c:v>
                </c:pt>
                <c:pt idx="25">
                  <c:v>940</c:v>
                </c:pt>
                <c:pt idx="26">
                  <c:v>781</c:v>
                </c:pt>
                <c:pt idx="27">
                  <c:v>937</c:v>
                </c:pt>
                <c:pt idx="28">
                  <c:v>930</c:v>
                </c:pt>
                <c:pt idx="29">
                  <c:v>894</c:v>
                </c:pt>
              </c:numCache>
            </c:numRef>
          </c:yVal>
          <c:smooth val="0"/>
        </c:ser>
        <c:ser>
          <c:idx val="4"/>
          <c:order val="3"/>
          <c:tx>
            <c:v>01/jun</c:v>
          </c:tx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'After Oring 29May'!$AJ$4:$AJ$49</c:f>
              <c:numCache>
                <c:formatCode>General</c:formatCode>
                <c:ptCount val="46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36</c:v>
                </c:pt>
                <c:pt idx="11">
                  <c:v>36</c:v>
                </c:pt>
                <c:pt idx="12">
                  <c:v>36</c:v>
                </c:pt>
                <c:pt idx="13">
                  <c:v>36</c:v>
                </c:pt>
                <c:pt idx="14">
                  <c:v>36</c:v>
                </c:pt>
                <c:pt idx="15">
                  <c:v>36</c:v>
                </c:pt>
                <c:pt idx="16">
                  <c:v>36</c:v>
                </c:pt>
                <c:pt idx="17">
                  <c:v>36</c:v>
                </c:pt>
                <c:pt idx="18">
                  <c:v>36</c:v>
                </c:pt>
                <c:pt idx="19">
                  <c:v>36</c:v>
                </c:pt>
                <c:pt idx="20">
                  <c:v>36</c:v>
                </c:pt>
                <c:pt idx="21">
                  <c:v>36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36</c:v>
                </c:pt>
                <c:pt idx="28">
                  <c:v>36</c:v>
                </c:pt>
                <c:pt idx="29">
                  <c:v>36</c:v>
                </c:pt>
                <c:pt idx="30">
                  <c:v>36</c:v>
                </c:pt>
                <c:pt idx="31">
                  <c:v>36</c:v>
                </c:pt>
                <c:pt idx="32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</c:numCache>
            </c:numRef>
          </c:xVal>
          <c:yVal>
            <c:numRef>
              <c:f>'After Oring 29May'!$AF$4:$AF$49</c:f>
              <c:numCache>
                <c:formatCode>General</c:formatCode>
                <c:ptCount val="46"/>
                <c:pt idx="0">
                  <c:v>866</c:v>
                </c:pt>
                <c:pt idx="1">
                  <c:v>809</c:v>
                </c:pt>
                <c:pt idx="2">
                  <c:v>937</c:v>
                </c:pt>
                <c:pt idx="3">
                  <c:v>940</c:v>
                </c:pt>
                <c:pt idx="4">
                  <c:v>951</c:v>
                </c:pt>
                <c:pt idx="5">
                  <c:v>901</c:v>
                </c:pt>
                <c:pt idx="6">
                  <c:v>908</c:v>
                </c:pt>
                <c:pt idx="7">
                  <c:v>873</c:v>
                </c:pt>
                <c:pt idx="8">
                  <c:v>852</c:v>
                </c:pt>
                <c:pt idx="9">
                  <c:v>937</c:v>
                </c:pt>
                <c:pt idx="10">
                  <c:v>954</c:v>
                </c:pt>
                <c:pt idx="11">
                  <c:v>979</c:v>
                </c:pt>
                <c:pt idx="12">
                  <c:v>947</c:v>
                </c:pt>
                <c:pt idx="13">
                  <c:v>894</c:v>
                </c:pt>
                <c:pt idx="14">
                  <c:v>827</c:v>
                </c:pt>
                <c:pt idx="15">
                  <c:v>837</c:v>
                </c:pt>
                <c:pt idx="16">
                  <c:v>802</c:v>
                </c:pt>
                <c:pt idx="17">
                  <c:v>926</c:v>
                </c:pt>
                <c:pt idx="18">
                  <c:v>852</c:v>
                </c:pt>
                <c:pt idx="19">
                  <c:v>894</c:v>
                </c:pt>
                <c:pt idx="20">
                  <c:v>894</c:v>
                </c:pt>
                <c:pt idx="21">
                  <c:v>834</c:v>
                </c:pt>
                <c:pt idx="22">
                  <c:v>437</c:v>
                </c:pt>
                <c:pt idx="23">
                  <c:v>887</c:v>
                </c:pt>
                <c:pt idx="24">
                  <c:v>905</c:v>
                </c:pt>
                <c:pt idx="25">
                  <c:v>901</c:v>
                </c:pt>
                <c:pt idx="26">
                  <c:v>845</c:v>
                </c:pt>
                <c:pt idx="27">
                  <c:v>781</c:v>
                </c:pt>
                <c:pt idx="28">
                  <c:v>816</c:v>
                </c:pt>
                <c:pt idx="29">
                  <c:v>951</c:v>
                </c:pt>
                <c:pt idx="30">
                  <c:v>919</c:v>
                </c:pt>
                <c:pt idx="31">
                  <c:v>898</c:v>
                </c:pt>
                <c:pt idx="32">
                  <c:v>852</c:v>
                </c:pt>
                <c:pt idx="33">
                  <c:v>735</c:v>
                </c:pt>
                <c:pt idx="34">
                  <c:v>873</c:v>
                </c:pt>
                <c:pt idx="35">
                  <c:v>866</c:v>
                </c:pt>
                <c:pt idx="36">
                  <c:v>912</c:v>
                </c:pt>
                <c:pt idx="37">
                  <c:v>887</c:v>
                </c:pt>
                <c:pt idx="38">
                  <c:v>788</c:v>
                </c:pt>
                <c:pt idx="39">
                  <c:v>905</c:v>
                </c:pt>
                <c:pt idx="40">
                  <c:v>891</c:v>
                </c:pt>
                <c:pt idx="41">
                  <c:v>742</c:v>
                </c:pt>
                <c:pt idx="42">
                  <c:v>922</c:v>
                </c:pt>
                <c:pt idx="43">
                  <c:v>827</c:v>
                </c:pt>
                <c:pt idx="44">
                  <c:v>912</c:v>
                </c:pt>
                <c:pt idx="45">
                  <c:v>887</c:v>
                </c:pt>
              </c:numCache>
            </c:numRef>
          </c:yVal>
          <c:smooth val="0"/>
        </c:ser>
        <c:ser>
          <c:idx val="5"/>
          <c:order val="4"/>
          <c:tx>
            <c:v>03/jun</c:v>
          </c:tx>
          <c:spPr>
            <a:ln w="28575">
              <a:noFill/>
            </a:ln>
          </c:spPr>
          <c:marker>
            <c:symbol val="circle"/>
            <c:size val="5"/>
          </c:marker>
          <c:xVal>
            <c:numRef>
              <c:f>'After Oring 29May'!$AN$54:$AN$61</c:f>
              <c:numCache>
                <c:formatCode>General</c:formatCode>
                <c:ptCount val="8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</c:numCache>
            </c:numRef>
          </c:xVal>
          <c:yVal>
            <c:numRef>
              <c:f>'After Oring 29May'!$AJ$54:$AJ$61</c:f>
              <c:numCache>
                <c:formatCode>General</c:formatCode>
                <c:ptCount val="8"/>
                <c:pt idx="0">
                  <c:v>859</c:v>
                </c:pt>
                <c:pt idx="1">
                  <c:v>876</c:v>
                </c:pt>
                <c:pt idx="2">
                  <c:v>898</c:v>
                </c:pt>
                <c:pt idx="3">
                  <c:v>951</c:v>
                </c:pt>
                <c:pt idx="4">
                  <c:v>898</c:v>
                </c:pt>
                <c:pt idx="5">
                  <c:v>869</c:v>
                </c:pt>
                <c:pt idx="6">
                  <c:v>845</c:v>
                </c:pt>
                <c:pt idx="7">
                  <c:v>958</c:v>
                </c:pt>
              </c:numCache>
            </c:numRef>
          </c:yVal>
          <c:smooth val="0"/>
        </c:ser>
        <c:ser>
          <c:idx val="6"/>
          <c:order val="5"/>
          <c:tx>
            <c:v>08/jun</c:v>
          </c:tx>
          <c:spPr>
            <a:ln w="28575">
              <a:noFill/>
            </a:ln>
          </c:spPr>
          <c:marker>
            <c:symbol val="triangle"/>
            <c:size val="5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xVal>
            <c:numRef>
              <c:f>'After Oring 29May'!$AM$66:$AM$111</c:f>
              <c:numCache>
                <c:formatCode>General</c:formatCode>
                <c:ptCount val="46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36</c:v>
                </c:pt>
                <c:pt idx="11">
                  <c:v>36</c:v>
                </c:pt>
                <c:pt idx="12">
                  <c:v>36</c:v>
                </c:pt>
                <c:pt idx="13">
                  <c:v>36</c:v>
                </c:pt>
                <c:pt idx="14">
                  <c:v>36</c:v>
                </c:pt>
                <c:pt idx="15">
                  <c:v>36</c:v>
                </c:pt>
                <c:pt idx="16">
                  <c:v>36</c:v>
                </c:pt>
                <c:pt idx="17">
                  <c:v>36</c:v>
                </c:pt>
                <c:pt idx="18">
                  <c:v>36</c:v>
                </c:pt>
                <c:pt idx="19">
                  <c:v>36</c:v>
                </c:pt>
                <c:pt idx="20">
                  <c:v>36</c:v>
                </c:pt>
                <c:pt idx="21">
                  <c:v>36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36</c:v>
                </c:pt>
                <c:pt idx="28">
                  <c:v>36</c:v>
                </c:pt>
                <c:pt idx="29">
                  <c:v>36</c:v>
                </c:pt>
                <c:pt idx="30">
                  <c:v>36</c:v>
                </c:pt>
                <c:pt idx="31">
                  <c:v>36</c:v>
                </c:pt>
                <c:pt idx="32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</c:numCache>
            </c:numRef>
          </c:xVal>
          <c:yVal>
            <c:numRef>
              <c:f>'After Oring 29May'!$AI$66:$AI$111</c:f>
              <c:numCache>
                <c:formatCode>General</c:formatCode>
                <c:ptCount val="46"/>
                <c:pt idx="0">
                  <c:v>922</c:v>
                </c:pt>
                <c:pt idx="1">
                  <c:v>891</c:v>
                </c:pt>
                <c:pt idx="2">
                  <c:v>891</c:v>
                </c:pt>
                <c:pt idx="3">
                  <c:v>937</c:v>
                </c:pt>
                <c:pt idx="4">
                  <c:v>884</c:v>
                </c:pt>
                <c:pt idx="5">
                  <c:v>784</c:v>
                </c:pt>
                <c:pt idx="6">
                  <c:v>919</c:v>
                </c:pt>
                <c:pt idx="7">
                  <c:v>862</c:v>
                </c:pt>
                <c:pt idx="8">
                  <c:v>979</c:v>
                </c:pt>
                <c:pt idx="9">
                  <c:v>997</c:v>
                </c:pt>
                <c:pt idx="10">
                  <c:v>944</c:v>
                </c:pt>
                <c:pt idx="11">
                  <c:v>915</c:v>
                </c:pt>
                <c:pt idx="12">
                  <c:v>820</c:v>
                </c:pt>
                <c:pt idx="13">
                  <c:v>983</c:v>
                </c:pt>
                <c:pt idx="14">
                  <c:v>837</c:v>
                </c:pt>
                <c:pt idx="15">
                  <c:v>919</c:v>
                </c:pt>
                <c:pt idx="16">
                  <c:v>912</c:v>
                </c:pt>
                <c:pt idx="17">
                  <c:v>848</c:v>
                </c:pt>
                <c:pt idx="18">
                  <c:v>837</c:v>
                </c:pt>
                <c:pt idx="19">
                  <c:v>873</c:v>
                </c:pt>
                <c:pt idx="20">
                  <c:v>908</c:v>
                </c:pt>
                <c:pt idx="21">
                  <c:v>884</c:v>
                </c:pt>
                <c:pt idx="22">
                  <c:v>841</c:v>
                </c:pt>
                <c:pt idx="23">
                  <c:v>905</c:v>
                </c:pt>
                <c:pt idx="24">
                  <c:v>859</c:v>
                </c:pt>
                <c:pt idx="25">
                  <c:v>891</c:v>
                </c:pt>
                <c:pt idx="26">
                  <c:v>926</c:v>
                </c:pt>
                <c:pt idx="27">
                  <c:v>845</c:v>
                </c:pt>
                <c:pt idx="28">
                  <c:v>876</c:v>
                </c:pt>
                <c:pt idx="29">
                  <c:v>908</c:v>
                </c:pt>
                <c:pt idx="30">
                  <c:v>784</c:v>
                </c:pt>
                <c:pt idx="31">
                  <c:v>884</c:v>
                </c:pt>
                <c:pt idx="32">
                  <c:v>901</c:v>
                </c:pt>
                <c:pt idx="33">
                  <c:v>845</c:v>
                </c:pt>
                <c:pt idx="34">
                  <c:v>873</c:v>
                </c:pt>
                <c:pt idx="35">
                  <c:v>806</c:v>
                </c:pt>
                <c:pt idx="36">
                  <c:v>940</c:v>
                </c:pt>
                <c:pt idx="37">
                  <c:v>908</c:v>
                </c:pt>
                <c:pt idx="38">
                  <c:v>841</c:v>
                </c:pt>
                <c:pt idx="39">
                  <c:v>898</c:v>
                </c:pt>
                <c:pt idx="40">
                  <c:v>905</c:v>
                </c:pt>
                <c:pt idx="41">
                  <c:v>876</c:v>
                </c:pt>
                <c:pt idx="42">
                  <c:v>933</c:v>
                </c:pt>
                <c:pt idx="43">
                  <c:v>884</c:v>
                </c:pt>
                <c:pt idx="44">
                  <c:v>930</c:v>
                </c:pt>
                <c:pt idx="45">
                  <c:v>859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85696"/>
        <c:axId val="121686272"/>
      </c:scatterChart>
      <c:valAx>
        <c:axId val="121685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mass (ug)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686272"/>
        <c:crosses val="autoZero"/>
        <c:crossBetween val="midCat"/>
      </c:valAx>
      <c:valAx>
        <c:axId val="12168627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685696"/>
        <c:crosses val="autoZero"/>
        <c:crossBetween val="midCat"/>
      </c:valAx>
    </c:plotArea>
    <c:legend>
      <c:legendPos val="b"/>
      <c:legendEntry>
        <c:idx val="6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1" l="0.70000000000000095" r="0.70000000000000095" t="0.750000000000001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</a:t>
            </a:r>
            <a:r>
              <a:rPr lang="en-US" baseline="0"/>
              <a:t> x Intensity </a:t>
            </a:r>
            <a:r>
              <a:rPr lang="en-US" sz="1200" baseline="0"/>
              <a:t>(3drops, 600s)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4281433956557901"/>
          <c:y val="3.8350672487182602E-2"/>
          <c:w val="0.81842195651469696"/>
          <c:h val="0.76390526283028848"/>
        </c:manualLayout>
      </c:layout>
      <c:scatterChart>
        <c:scatterStyle val="lineMarker"/>
        <c:varyColors val="0"/>
        <c:ser>
          <c:idx val="0"/>
          <c:order val="0"/>
          <c:tx>
            <c:v>Previous</c:v>
          </c:tx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('After instal'!$AG$6:$AG$13,'After instal'!$AG$30:$AG$35,'After instal'!$AG$64:$AG$82,'After instal'!$AG$112:$AG$117)</c:f>
              <c:numCache>
                <c:formatCode>General</c:formatCode>
                <c:ptCount val="39"/>
                <c:pt idx="0">
                  <c:v>533</c:v>
                </c:pt>
                <c:pt idx="1">
                  <c:v>538</c:v>
                </c:pt>
                <c:pt idx="2">
                  <c:v>494</c:v>
                </c:pt>
                <c:pt idx="3">
                  <c:v>455</c:v>
                </c:pt>
                <c:pt idx="4">
                  <c:v>467</c:v>
                </c:pt>
                <c:pt idx="5">
                  <c:v>477</c:v>
                </c:pt>
                <c:pt idx="6">
                  <c:v>525</c:v>
                </c:pt>
                <c:pt idx="7">
                  <c:v>445</c:v>
                </c:pt>
                <c:pt idx="8">
                  <c:v>40</c:v>
                </c:pt>
                <c:pt idx="11">
                  <c:v>462</c:v>
                </c:pt>
                <c:pt idx="12">
                  <c:v>486</c:v>
                </c:pt>
                <c:pt idx="13">
                  <c:v>508</c:v>
                </c:pt>
                <c:pt idx="14">
                  <c:v>311</c:v>
                </c:pt>
                <c:pt idx="15">
                  <c:v>30</c:v>
                </c:pt>
                <c:pt idx="16">
                  <c:v>232</c:v>
                </c:pt>
                <c:pt idx="17">
                  <c:v>262</c:v>
                </c:pt>
                <c:pt idx="18">
                  <c:v>250</c:v>
                </c:pt>
                <c:pt idx="21">
                  <c:v>418</c:v>
                </c:pt>
                <c:pt idx="22">
                  <c:v>367</c:v>
                </c:pt>
                <c:pt idx="23">
                  <c:v>311</c:v>
                </c:pt>
                <c:pt idx="24">
                  <c:v>418</c:v>
                </c:pt>
                <c:pt idx="25">
                  <c:v>440</c:v>
                </c:pt>
                <c:pt idx="28">
                  <c:v>469</c:v>
                </c:pt>
                <c:pt idx="29">
                  <c:v>489</c:v>
                </c:pt>
                <c:pt idx="30">
                  <c:v>489</c:v>
                </c:pt>
                <c:pt idx="31">
                  <c:v>469</c:v>
                </c:pt>
                <c:pt idx="32">
                  <c:v>416</c:v>
                </c:pt>
                <c:pt idx="33">
                  <c:v>543</c:v>
                </c:pt>
                <c:pt idx="36">
                  <c:v>670</c:v>
                </c:pt>
                <c:pt idx="37">
                  <c:v>589</c:v>
                </c:pt>
                <c:pt idx="38">
                  <c:v>25</c:v>
                </c:pt>
              </c:numCache>
            </c:numRef>
          </c:xVal>
          <c:yVal>
            <c:numRef>
              <c:f>('After instal'!$AJ$6:$AJ$13,'After instal'!$AJ$30:$AJ$35,'After instal'!$AJ$64:$AJ$82,'After instal'!$AJ$112:$AJ$117)</c:f>
              <c:numCache>
                <c:formatCode>General</c:formatCode>
                <c:ptCount val="39"/>
                <c:pt idx="0">
                  <c:v>1775</c:v>
                </c:pt>
                <c:pt idx="1">
                  <c:v>1729</c:v>
                </c:pt>
                <c:pt idx="2">
                  <c:v>1375</c:v>
                </c:pt>
                <c:pt idx="3">
                  <c:v>1177</c:v>
                </c:pt>
                <c:pt idx="4">
                  <c:v>1187</c:v>
                </c:pt>
                <c:pt idx="5">
                  <c:v>1195</c:v>
                </c:pt>
                <c:pt idx="6">
                  <c:v>1652</c:v>
                </c:pt>
                <c:pt idx="7">
                  <c:v>1146</c:v>
                </c:pt>
                <c:pt idx="8">
                  <c:v>9</c:v>
                </c:pt>
                <c:pt idx="11">
                  <c:v>1355</c:v>
                </c:pt>
                <c:pt idx="12">
                  <c:v>1513</c:v>
                </c:pt>
                <c:pt idx="13">
                  <c:v>1748</c:v>
                </c:pt>
                <c:pt idx="14">
                  <c:v>631</c:v>
                </c:pt>
                <c:pt idx="15">
                  <c:v>12</c:v>
                </c:pt>
                <c:pt idx="16">
                  <c:v>407</c:v>
                </c:pt>
                <c:pt idx="17">
                  <c:v>245</c:v>
                </c:pt>
                <c:pt idx="18">
                  <c:v>435</c:v>
                </c:pt>
                <c:pt idx="21">
                  <c:v>1061</c:v>
                </c:pt>
                <c:pt idx="22">
                  <c:v>888</c:v>
                </c:pt>
                <c:pt idx="23">
                  <c:v>646</c:v>
                </c:pt>
                <c:pt idx="24">
                  <c:v>1149</c:v>
                </c:pt>
                <c:pt idx="25">
                  <c:v>1310</c:v>
                </c:pt>
                <c:pt idx="28">
                  <c:v>1467</c:v>
                </c:pt>
                <c:pt idx="29">
                  <c:v>1527</c:v>
                </c:pt>
                <c:pt idx="30">
                  <c:v>1519</c:v>
                </c:pt>
                <c:pt idx="31">
                  <c:v>1444</c:v>
                </c:pt>
                <c:pt idx="32">
                  <c:v>1112</c:v>
                </c:pt>
                <c:pt idx="33">
                  <c:v>1600</c:v>
                </c:pt>
                <c:pt idx="36">
                  <c:v>3209</c:v>
                </c:pt>
                <c:pt idx="37">
                  <c:v>2731</c:v>
                </c:pt>
                <c:pt idx="38">
                  <c:v>8</c:v>
                </c:pt>
              </c:numCache>
            </c:numRef>
          </c:yVal>
          <c:smooth val="0"/>
        </c:ser>
        <c:ser>
          <c:idx val="3"/>
          <c:order val="1"/>
          <c:tx>
            <c:v>Expected</c:v>
          </c:tx>
          <c:spPr>
            <a:ln w="28575">
              <a:solidFill>
                <a:srgbClr val="777777">
                  <a:alpha val="50000"/>
                </a:srgbClr>
              </a:solidFill>
            </a:ln>
          </c:spPr>
          <c:marker>
            <c:symbol val="none"/>
          </c:marker>
          <c:trendline>
            <c:spPr>
              <a:ln>
                <a:solidFill>
                  <a:srgbClr val="777777"/>
                </a:solidFill>
              </a:ln>
            </c:spPr>
            <c:trendlineType val="poly"/>
            <c:order val="2"/>
            <c:dispRSqr val="0"/>
            <c:dispEq val="0"/>
          </c:trendline>
          <c:xVal>
            <c:numRef>
              <c:f>'After software 19May'!$D$8:$D$17</c:f>
              <c:numCache>
                <c:formatCode>General</c:formatCode>
                <c:ptCount val="10"/>
                <c:pt idx="0">
                  <c:v>100</c:v>
                </c:pt>
                <c:pt idx="1">
                  <c:v>300</c:v>
                </c:pt>
                <c:pt idx="2">
                  <c:v>200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950</c:v>
                </c:pt>
              </c:numCache>
            </c:numRef>
          </c:xVal>
          <c:yVal>
            <c:numRef>
              <c:f>'After software 19May'!$E$8:$E$17</c:f>
              <c:numCache>
                <c:formatCode>General</c:formatCode>
                <c:ptCount val="10"/>
                <c:pt idx="0">
                  <c:v>0</c:v>
                </c:pt>
                <c:pt idx="1">
                  <c:v>900</c:v>
                </c:pt>
                <c:pt idx="2">
                  <c:v>440</c:v>
                </c:pt>
                <c:pt idx="3">
                  <c:v>1600</c:v>
                </c:pt>
                <c:pt idx="4">
                  <c:v>2400</c:v>
                </c:pt>
                <c:pt idx="5">
                  <c:v>3400</c:v>
                </c:pt>
                <c:pt idx="6">
                  <c:v>4500</c:v>
                </c:pt>
                <c:pt idx="7">
                  <c:v>5800</c:v>
                </c:pt>
                <c:pt idx="8">
                  <c:v>7000</c:v>
                </c:pt>
                <c:pt idx="9">
                  <c:v>8000</c:v>
                </c:pt>
              </c:numCache>
            </c:numRef>
          </c:yVal>
          <c:smooth val="0"/>
        </c:ser>
        <c:ser>
          <c:idx val="2"/>
          <c:order val="2"/>
          <c:tx>
            <c:v>20/mai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'After software 19May'!$AG$27:$AG$56</c:f>
              <c:numCache>
                <c:formatCode>General</c:formatCode>
                <c:ptCount val="30"/>
                <c:pt idx="0">
                  <c:v>352</c:v>
                </c:pt>
                <c:pt idx="1">
                  <c:v>420</c:v>
                </c:pt>
                <c:pt idx="2">
                  <c:v>820</c:v>
                </c:pt>
                <c:pt idx="3">
                  <c:v>714</c:v>
                </c:pt>
                <c:pt idx="4">
                  <c:v>813</c:v>
                </c:pt>
                <c:pt idx="5">
                  <c:v>866</c:v>
                </c:pt>
                <c:pt idx="6">
                  <c:v>823</c:v>
                </c:pt>
                <c:pt idx="7">
                  <c:v>791</c:v>
                </c:pt>
                <c:pt idx="8">
                  <c:v>848</c:v>
                </c:pt>
                <c:pt idx="9">
                  <c:v>859</c:v>
                </c:pt>
                <c:pt idx="10">
                  <c:v>416</c:v>
                </c:pt>
                <c:pt idx="11">
                  <c:v>349</c:v>
                </c:pt>
                <c:pt idx="12">
                  <c:v>604</c:v>
                </c:pt>
                <c:pt idx="13">
                  <c:v>565</c:v>
                </c:pt>
                <c:pt idx="14">
                  <c:v>533</c:v>
                </c:pt>
                <c:pt idx="15">
                  <c:v>515</c:v>
                </c:pt>
                <c:pt idx="16">
                  <c:v>625</c:v>
                </c:pt>
                <c:pt idx="17">
                  <c:v>742</c:v>
                </c:pt>
                <c:pt idx="18">
                  <c:v>717</c:v>
                </c:pt>
                <c:pt idx="19">
                  <c:v>643</c:v>
                </c:pt>
                <c:pt idx="20">
                  <c:v>830</c:v>
                </c:pt>
                <c:pt idx="21">
                  <c:v>884</c:v>
                </c:pt>
                <c:pt idx="22">
                  <c:v>795</c:v>
                </c:pt>
                <c:pt idx="23">
                  <c:v>887</c:v>
                </c:pt>
                <c:pt idx="24">
                  <c:v>958</c:v>
                </c:pt>
                <c:pt idx="25">
                  <c:v>940</c:v>
                </c:pt>
                <c:pt idx="26">
                  <c:v>781</c:v>
                </c:pt>
                <c:pt idx="27">
                  <c:v>937</c:v>
                </c:pt>
                <c:pt idx="28">
                  <c:v>930</c:v>
                </c:pt>
                <c:pt idx="29">
                  <c:v>894</c:v>
                </c:pt>
              </c:numCache>
            </c:numRef>
          </c:xVal>
          <c:yVal>
            <c:numRef>
              <c:f>'After software 19May'!$AJ$27:$AJ$56</c:f>
              <c:numCache>
                <c:formatCode>General</c:formatCode>
                <c:ptCount val="30"/>
                <c:pt idx="0">
                  <c:v>911</c:v>
                </c:pt>
                <c:pt idx="1">
                  <c:v>1396</c:v>
                </c:pt>
                <c:pt idx="2">
                  <c:v>4528</c:v>
                </c:pt>
                <c:pt idx="3">
                  <c:v>3564</c:v>
                </c:pt>
                <c:pt idx="4">
                  <c:v>4926</c:v>
                </c:pt>
                <c:pt idx="5">
                  <c:v>5536</c:v>
                </c:pt>
                <c:pt idx="6">
                  <c:v>5235</c:v>
                </c:pt>
                <c:pt idx="7">
                  <c:v>4657</c:v>
                </c:pt>
                <c:pt idx="8">
                  <c:v>4947</c:v>
                </c:pt>
                <c:pt idx="9">
                  <c:v>5676</c:v>
                </c:pt>
                <c:pt idx="10">
                  <c:v>1154</c:v>
                </c:pt>
                <c:pt idx="11">
                  <c:v>898</c:v>
                </c:pt>
                <c:pt idx="12">
                  <c:v>2447</c:v>
                </c:pt>
                <c:pt idx="13">
                  <c:v>1987</c:v>
                </c:pt>
                <c:pt idx="14">
                  <c:v>1686</c:v>
                </c:pt>
                <c:pt idx="15">
                  <c:v>1728</c:v>
                </c:pt>
                <c:pt idx="16">
                  <c:v>2366</c:v>
                </c:pt>
                <c:pt idx="17">
                  <c:v>3404</c:v>
                </c:pt>
                <c:pt idx="18">
                  <c:v>3373</c:v>
                </c:pt>
                <c:pt idx="19">
                  <c:v>2600</c:v>
                </c:pt>
                <c:pt idx="20">
                  <c:v>4586</c:v>
                </c:pt>
                <c:pt idx="21">
                  <c:v>6009</c:v>
                </c:pt>
                <c:pt idx="22">
                  <c:v>4339</c:v>
                </c:pt>
                <c:pt idx="23">
                  <c:v>6357</c:v>
                </c:pt>
                <c:pt idx="24">
                  <c:v>7750</c:v>
                </c:pt>
                <c:pt idx="25">
                  <c:v>8073</c:v>
                </c:pt>
                <c:pt idx="26">
                  <c:v>5264</c:v>
                </c:pt>
                <c:pt idx="27">
                  <c:v>7602</c:v>
                </c:pt>
                <c:pt idx="28">
                  <c:v>7957</c:v>
                </c:pt>
                <c:pt idx="29">
                  <c:v>7509</c:v>
                </c:pt>
              </c:numCache>
            </c:numRef>
          </c:yVal>
          <c:smooth val="0"/>
        </c:ser>
        <c:ser>
          <c:idx val="4"/>
          <c:order val="3"/>
          <c:tx>
            <c:v>01/jun</c:v>
          </c:tx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'After Oring 29May'!$AF$4:$AF$49</c:f>
              <c:numCache>
                <c:formatCode>General</c:formatCode>
                <c:ptCount val="46"/>
                <c:pt idx="0">
                  <c:v>866</c:v>
                </c:pt>
                <c:pt idx="1">
                  <c:v>809</c:v>
                </c:pt>
                <c:pt idx="2">
                  <c:v>937</c:v>
                </c:pt>
                <c:pt idx="3">
                  <c:v>940</c:v>
                </c:pt>
                <c:pt idx="4">
                  <c:v>951</c:v>
                </c:pt>
                <c:pt idx="5">
                  <c:v>901</c:v>
                </c:pt>
                <c:pt idx="6">
                  <c:v>908</c:v>
                </c:pt>
                <c:pt idx="7">
                  <c:v>873</c:v>
                </c:pt>
                <c:pt idx="8">
                  <c:v>852</c:v>
                </c:pt>
                <c:pt idx="9">
                  <c:v>937</c:v>
                </c:pt>
                <c:pt idx="10">
                  <c:v>954</c:v>
                </c:pt>
                <c:pt idx="11">
                  <c:v>979</c:v>
                </c:pt>
                <c:pt idx="12">
                  <c:v>947</c:v>
                </c:pt>
                <c:pt idx="13">
                  <c:v>894</c:v>
                </c:pt>
                <c:pt idx="14">
                  <c:v>827</c:v>
                </c:pt>
                <c:pt idx="15">
                  <c:v>837</c:v>
                </c:pt>
                <c:pt idx="16">
                  <c:v>802</c:v>
                </c:pt>
                <c:pt idx="17">
                  <c:v>926</c:v>
                </c:pt>
                <c:pt idx="18">
                  <c:v>852</c:v>
                </c:pt>
                <c:pt idx="19">
                  <c:v>894</c:v>
                </c:pt>
                <c:pt idx="20">
                  <c:v>894</c:v>
                </c:pt>
                <c:pt idx="21">
                  <c:v>834</c:v>
                </c:pt>
                <c:pt idx="22">
                  <c:v>437</c:v>
                </c:pt>
                <c:pt idx="23">
                  <c:v>887</c:v>
                </c:pt>
                <c:pt idx="24">
                  <c:v>905</c:v>
                </c:pt>
                <c:pt idx="25">
                  <c:v>901</c:v>
                </c:pt>
                <c:pt idx="26">
                  <c:v>845</c:v>
                </c:pt>
                <c:pt idx="27">
                  <c:v>781</c:v>
                </c:pt>
                <c:pt idx="28">
                  <c:v>816</c:v>
                </c:pt>
                <c:pt idx="29">
                  <c:v>951</c:v>
                </c:pt>
                <c:pt idx="30">
                  <c:v>919</c:v>
                </c:pt>
                <c:pt idx="31">
                  <c:v>898</c:v>
                </c:pt>
                <c:pt idx="32">
                  <c:v>852</c:v>
                </c:pt>
                <c:pt idx="33">
                  <c:v>735</c:v>
                </c:pt>
                <c:pt idx="34">
                  <c:v>873</c:v>
                </c:pt>
                <c:pt idx="35">
                  <c:v>866</c:v>
                </c:pt>
                <c:pt idx="36">
                  <c:v>912</c:v>
                </c:pt>
                <c:pt idx="37">
                  <c:v>887</c:v>
                </c:pt>
                <c:pt idx="38">
                  <c:v>788</c:v>
                </c:pt>
                <c:pt idx="39">
                  <c:v>905</c:v>
                </c:pt>
                <c:pt idx="40">
                  <c:v>891</c:v>
                </c:pt>
                <c:pt idx="41">
                  <c:v>742</c:v>
                </c:pt>
                <c:pt idx="42">
                  <c:v>922</c:v>
                </c:pt>
                <c:pt idx="43">
                  <c:v>827</c:v>
                </c:pt>
                <c:pt idx="44">
                  <c:v>912</c:v>
                </c:pt>
                <c:pt idx="45">
                  <c:v>887</c:v>
                </c:pt>
              </c:numCache>
            </c:numRef>
          </c:xVal>
          <c:yVal>
            <c:numRef>
              <c:f>'After Oring 29May'!$AG$4:$AG$49</c:f>
              <c:numCache>
                <c:formatCode>General</c:formatCode>
                <c:ptCount val="46"/>
                <c:pt idx="0">
                  <c:v>3187</c:v>
                </c:pt>
                <c:pt idx="1">
                  <c:v>2276</c:v>
                </c:pt>
                <c:pt idx="2">
                  <c:v>3361</c:v>
                </c:pt>
                <c:pt idx="3">
                  <c:v>3756</c:v>
                </c:pt>
                <c:pt idx="4">
                  <c:v>4649</c:v>
                </c:pt>
                <c:pt idx="5">
                  <c:v>3734</c:v>
                </c:pt>
                <c:pt idx="6">
                  <c:v>3920</c:v>
                </c:pt>
                <c:pt idx="7">
                  <c:v>3279</c:v>
                </c:pt>
                <c:pt idx="8">
                  <c:v>2857</c:v>
                </c:pt>
                <c:pt idx="9">
                  <c:v>4190</c:v>
                </c:pt>
                <c:pt idx="10">
                  <c:v>4582</c:v>
                </c:pt>
                <c:pt idx="11">
                  <c:v>4602</c:v>
                </c:pt>
                <c:pt idx="12">
                  <c:v>4556</c:v>
                </c:pt>
                <c:pt idx="13">
                  <c:v>3870</c:v>
                </c:pt>
                <c:pt idx="14">
                  <c:v>2820</c:v>
                </c:pt>
                <c:pt idx="15">
                  <c:v>3237</c:v>
                </c:pt>
                <c:pt idx="16">
                  <c:v>2787</c:v>
                </c:pt>
                <c:pt idx="17">
                  <c:v>4010</c:v>
                </c:pt>
                <c:pt idx="18">
                  <c:v>3366</c:v>
                </c:pt>
                <c:pt idx="19">
                  <c:v>3748</c:v>
                </c:pt>
                <c:pt idx="20">
                  <c:v>3558</c:v>
                </c:pt>
                <c:pt idx="21">
                  <c:v>3089</c:v>
                </c:pt>
                <c:pt idx="22">
                  <c:v>3068</c:v>
                </c:pt>
                <c:pt idx="23">
                  <c:v>3506</c:v>
                </c:pt>
                <c:pt idx="24">
                  <c:v>3927</c:v>
                </c:pt>
                <c:pt idx="25">
                  <c:v>3865</c:v>
                </c:pt>
                <c:pt idx="26">
                  <c:v>3021</c:v>
                </c:pt>
                <c:pt idx="27">
                  <c:v>2555</c:v>
                </c:pt>
                <c:pt idx="28">
                  <c:v>2776</c:v>
                </c:pt>
                <c:pt idx="29">
                  <c:v>4017</c:v>
                </c:pt>
                <c:pt idx="30">
                  <c:v>3580</c:v>
                </c:pt>
                <c:pt idx="31">
                  <c:v>3514</c:v>
                </c:pt>
                <c:pt idx="32">
                  <c:v>3075</c:v>
                </c:pt>
                <c:pt idx="33">
                  <c:v>2042</c:v>
                </c:pt>
                <c:pt idx="34">
                  <c:v>3403</c:v>
                </c:pt>
                <c:pt idx="35">
                  <c:v>3284</c:v>
                </c:pt>
                <c:pt idx="36">
                  <c:v>3719</c:v>
                </c:pt>
                <c:pt idx="37">
                  <c:v>3622</c:v>
                </c:pt>
                <c:pt idx="38">
                  <c:v>2559</c:v>
                </c:pt>
                <c:pt idx="39">
                  <c:v>3535</c:v>
                </c:pt>
                <c:pt idx="40">
                  <c:v>3580</c:v>
                </c:pt>
                <c:pt idx="41">
                  <c:v>2058</c:v>
                </c:pt>
                <c:pt idx="42">
                  <c:v>3723</c:v>
                </c:pt>
                <c:pt idx="43">
                  <c:v>3219</c:v>
                </c:pt>
                <c:pt idx="44">
                  <c:v>3946</c:v>
                </c:pt>
                <c:pt idx="45">
                  <c:v>3720</c:v>
                </c:pt>
              </c:numCache>
            </c:numRef>
          </c:yVal>
          <c:smooth val="0"/>
        </c:ser>
        <c:ser>
          <c:idx val="5"/>
          <c:order val="4"/>
          <c:tx>
            <c:v>03/jun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numRef>
              <c:f>'After Oring 29May'!$AJ$54:$AJ$61</c:f>
              <c:numCache>
                <c:formatCode>General</c:formatCode>
                <c:ptCount val="8"/>
                <c:pt idx="0">
                  <c:v>859</c:v>
                </c:pt>
                <c:pt idx="1">
                  <c:v>876</c:v>
                </c:pt>
                <c:pt idx="2">
                  <c:v>898</c:v>
                </c:pt>
                <c:pt idx="3">
                  <c:v>951</c:v>
                </c:pt>
                <c:pt idx="4">
                  <c:v>898</c:v>
                </c:pt>
                <c:pt idx="5">
                  <c:v>869</c:v>
                </c:pt>
                <c:pt idx="6">
                  <c:v>845</c:v>
                </c:pt>
                <c:pt idx="7">
                  <c:v>958</c:v>
                </c:pt>
              </c:numCache>
            </c:numRef>
          </c:xVal>
          <c:yVal>
            <c:numRef>
              <c:f>'After Oring 29May'!$AK$54:$AK$61</c:f>
              <c:numCache>
                <c:formatCode>General</c:formatCode>
                <c:ptCount val="8"/>
                <c:pt idx="0">
                  <c:v>3283</c:v>
                </c:pt>
                <c:pt idx="1">
                  <c:v>2571</c:v>
                </c:pt>
                <c:pt idx="2">
                  <c:v>3743</c:v>
                </c:pt>
                <c:pt idx="3">
                  <c:v>4447</c:v>
                </c:pt>
                <c:pt idx="4">
                  <c:v>3055</c:v>
                </c:pt>
                <c:pt idx="5">
                  <c:v>3105</c:v>
                </c:pt>
                <c:pt idx="6">
                  <c:v>2912</c:v>
                </c:pt>
                <c:pt idx="7">
                  <c:v>3751</c:v>
                </c:pt>
              </c:numCache>
            </c:numRef>
          </c:yVal>
          <c:smooth val="0"/>
        </c:ser>
        <c:ser>
          <c:idx val="6"/>
          <c:order val="5"/>
          <c:tx>
            <c:v>08/jun</c:v>
          </c:tx>
          <c:spPr>
            <a:ln w="28575">
              <a:noFill/>
            </a:ln>
          </c:spPr>
          <c:marker>
            <c:symbol val="triangle"/>
            <c:size val="5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xVal>
            <c:numRef>
              <c:f>'After Oring 29May'!$AI$66:$AI$111</c:f>
              <c:numCache>
                <c:formatCode>General</c:formatCode>
                <c:ptCount val="46"/>
                <c:pt idx="0">
                  <c:v>922</c:v>
                </c:pt>
                <c:pt idx="1">
                  <c:v>891</c:v>
                </c:pt>
                <c:pt idx="2">
                  <c:v>891</c:v>
                </c:pt>
                <c:pt idx="3">
                  <c:v>937</c:v>
                </c:pt>
                <c:pt idx="4">
                  <c:v>884</c:v>
                </c:pt>
                <c:pt idx="5">
                  <c:v>784</c:v>
                </c:pt>
                <c:pt idx="6">
                  <c:v>919</c:v>
                </c:pt>
                <c:pt idx="7">
                  <c:v>862</c:v>
                </c:pt>
                <c:pt idx="8">
                  <c:v>979</c:v>
                </c:pt>
                <c:pt idx="9">
                  <c:v>997</c:v>
                </c:pt>
                <c:pt idx="10">
                  <c:v>944</c:v>
                </c:pt>
                <c:pt idx="11">
                  <c:v>915</c:v>
                </c:pt>
                <c:pt idx="12">
                  <c:v>820</c:v>
                </c:pt>
                <c:pt idx="13">
                  <c:v>983</c:v>
                </c:pt>
                <c:pt idx="14">
                  <c:v>837</c:v>
                </c:pt>
                <c:pt idx="15">
                  <c:v>919</c:v>
                </c:pt>
                <c:pt idx="16">
                  <c:v>912</c:v>
                </c:pt>
                <c:pt idx="17">
                  <c:v>848</c:v>
                </c:pt>
                <c:pt idx="18">
                  <c:v>837</c:v>
                </c:pt>
                <c:pt idx="19">
                  <c:v>873</c:v>
                </c:pt>
                <c:pt idx="20">
                  <c:v>908</c:v>
                </c:pt>
                <c:pt idx="21">
                  <c:v>884</c:v>
                </c:pt>
                <c:pt idx="22">
                  <c:v>841</c:v>
                </c:pt>
                <c:pt idx="23">
                  <c:v>905</c:v>
                </c:pt>
                <c:pt idx="24">
                  <c:v>859</c:v>
                </c:pt>
                <c:pt idx="25">
                  <c:v>891</c:v>
                </c:pt>
                <c:pt idx="26">
                  <c:v>926</c:v>
                </c:pt>
                <c:pt idx="27">
                  <c:v>845</c:v>
                </c:pt>
                <c:pt idx="28">
                  <c:v>876</c:v>
                </c:pt>
                <c:pt idx="29">
                  <c:v>908</c:v>
                </c:pt>
                <c:pt idx="30">
                  <c:v>784</c:v>
                </c:pt>
                <c:pt idx="31">
                  <c:v>884</c:v>
                </c:pt>
                <c:pt idx="32">
                  <c:v>901</c:v>
                </c:pt>
                <c:pt idx="33">
                  <c:v>845</c:v>
                </c:pt>
                <c:pt idx="34">
                  <c:v>873</c:v>
                </c:pt>
                <c:pt idx="35">
                  <c:v>806</c:v>
                </c:pt>
                <c:pt idx="36">
                  <c:v>940</c:v>
                </c:pt>
                <c:pt idx="37">
                  <c:v>908</c:v>
                </c:pt>
                <c:pt idx="38">
                  <c:v>841</c:v>
                </c:pt>
                <c:pt idx="39">
                  <c:v>898</c:v>
                </c:pt>
                <c:pt idx="40">
                  <c:v>905</c:v>
                </c:pt>
                <c:pt idx="41">
                  <c:v>876</c:v>
                </c:pt>
                <c:pt idx="42">
                  <c:v>933</c:v>
                </c:pt>
                <c:pt idx="43">
                  <c:v>884</c:v>
                </c:pt>
                <c:pt idx="44">
                  <c:v>930</c:v>
                </c:pt>
                <c:pt idx="45">
                  <c:v>859</c:v>
                </c:pt>
              </c:numCache>
            </c:numRef>
          </c:xVal>
          <c:yVal>
            <c:numRef>
              <c:f>'After Oring 29May'!$AJ$66:$AJ$111</c:f>
              <c:numCache>
                <c:formatCode>General</c:formatCode>
                <c:ptCount val="46"/>
                <c:pt idx="0">
                  <c:v>2938</c:v>
                </c:pt>
                <c:pt idx="1">
                  <c:v>3096</c:v>
                </c:pt>
                <c:pt idx="2">
                  <c:v>3024</c:v>
                </c:pt>
                <c:pt idx="3">
                  <c:v>3249</c:v>
                </c:pt>
                <c:pt idx="4">
                  <c:v>2774</c:v>
                </c:pt>
                <c:pt idx="5">
                  <c:v>2110</c:v>
                </c:pt>
                <c:pt idx="6">
                  <c:v>2785</c:v>
                </c:pt>
                <c:pt idx="7">
                  <c:v>2472</c:v>
                </c:pt>
                <c:pt idx="8">
                  <c:v>2662</c:v>
                </c:pt>
                <c:pt idx="9">
                  <c:v>2638</c:v>
                </c:pt>
                <c:pt idx="10">
                  <c:v>2398</c:v>
                </c:pt>
                <c:pt idx="11">
                  <c:v>2451</c:v>
                </c:pt>
                <c:pt idx="12">
                  <c:v>1778</c:v>
                </c:pt>
                <c:pt idx="13">
                  <c:v>3839</c:v>
                </c:pt>
                <c:pt idx="14">
                  <c:v>2154</c:v>
                </c:pt>
                <c:pt idx="15">
                  <c:v>3170</c:v>
                </c:pt>
                <c:pt idx="16">
                  <c:v>3174</c:v>
                </c:pt>
                <c:pt idx="17">
                  <c:v>2307</c:v>
                </c:pt>
                <c:pt idx="18">
                  <c:v>2333</c:v>
                </c:pt>
                <c:pt idx="19">
                  <c:v>2496</c:v>
                </c:pt>
                <c:pt idx="20">
                  <c:v>2646</c:v>
                </c:pt>
                <c:pt idx="21">
                  <c:v>2786</c:v>
                </c:pt>
                <c:pt idx="22">
                  <c:v>2526</c:v>
                </c:pt>
                <c:pt idx="23">
                  <c:v>2829</c:v>
                </c:pt>
                <c:pt idx="24">
                  <c:v>2731</c:v>
                </c:pt>
                <c:pt idx="25">
                  <c:v>2645</c:v>
                </c:pt>
                <c:pt idx="26">
                  <c:v>3003</c:v>
                </c:pt>
                <c:pt idx="27">
                  <c:v>2548</c:v>
                </c:pt>
                <c:pt idx="28">
                  <c:v>2726</c:v>
                </c:pt>
                <c:pt idx="29">
                  <c:v>2605</c:v>
                </c:pt>
                <c:pt idx="30">
                  <c:v>2046</c:v>
                </c:pt>
                <c:pt idx="31">
                  <c:v>3012</c:v>
                </c:pt>
                <c:pt idx="32">
                  <c:v>2629</c:v>
                </c:pt>
                <c:pt idx="33">
                  <c:v>2514</c:v>
                </c:pt>
                <c:pt idx="34">
                  <c:v>2761</c:v>
                </c:pt>
                <c:pt idx="35">
                  <c:v>2059</c:v>
                </c:pt>
                <c:pt idx="36">
                  <c:v>2984</c:v>
                </c:pt>
                <c:pt idx="37">
                  <c:v>2784</c:v>
                </c:pt>
                <c:pt idx="38">
                  <c:v>2229</c:v>
                </c:pt>
                <c:pt idx="39">
                  <c:v>2616</c:v>
                </c:pt>
                <c:pt idx="40">
                  <c:v>2879</c:v>
                </c:pt>
                <c:pt idx="41">
                  <c:v>2423</c:v>
                </c:pt>
                <c:pt idx="42">
                  <c:v>3068</c:v>
                </c:pt>
                <c:pt idx="43">
                  <c:v>2820</c:v>
                </c:pt>
                <c:pt idx="44">
                  <c:v>2997</c:v>
                </c:pt>
                <c:pt idx="45">
                  <c:v>2612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88576"/>
        <c:axId val="121689152"/>
      </c:scatterChart>
      <c:valAx>
        <c:axId val="121688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689152"/>
        <c:crosses val="autoZero"/>
        <c:crossBetween val="midCat"/>
      </c:valAx>
      <c:valAx>
        <c:axId val="12168915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Initial intensity (mV)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688576"/>
        <c:crosses val="autoZero"/>
        <c:crossBetween val="midCat"/>
      </c:valAx>
    </c:plotArea>
    <c:legend>
      <c:legendPos val="b"/>
      <c:legendEntry>
        <c:idx val="6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2" l="0.70000000000000095" r="0.70000000000000095" t="0.750000000000002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d18O</a:t>
            </a:r>
            <a:r>
              <a:rPr lang="en-US" baseline="0"/>
              <a:t> </a:t>
            </a:r>
            <a:r>
              <a:rPr lang="en-US"/>
              <a:t>means</a:t>
            </a:r>
          </a:p>
        </c:rich>
      </c:tx>
      <c:layout>
        <c:manualLayout>
          <c:xMode val="edge"/>
          <c:yMode val="edge"/>
          <c:x val="0.77321336436366084"/>
          <c:y val="0.72675521329064641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15323647112699"/>
          <c:y val="0.18112744756463001"/>
          <c:w val="0.85793892667917104"/>
          <c:h val="0.5759224827482935"/>
        </c:manualLayout>
      </c:layout>
      <c:scatterChart>
        <c:scatterStyle val="lineMarker"/>
        <c:varyColors val="0"/>
        <c:ser>
          <c:idx val="1"/>
          <c:order val="0"/>
          <c:tx>
            <c:v>Previous d18O</c:v>
          </c:tx>
          <c:spPr>
            <a:ln w="28575">
              <a:noFill/>
            </a:ln>
          </c:spPr>
          <c:marker>
            <c:symbol val="square"/>
            <c:size val="5"/>
            <c:spPr>
              <a:noFill/>
            </c:spPr>
          </c:marker>
          <c:xVal>
            <c:numRef>
              <c:f>'After instal'!$AJ$6:$AJ$117</c:f>
              <c:numCache>
                <c:formatCode>General</c:formatCode>
                <c:ptCount val="112"/>
                <c:pt idx="0">
                  <c:v>1775</c:v>
                </c:pt>
                <c:pt idx="1">
                  <c:v>1729</c:v>
                </c:pt>
                <c:pt idx="2">
                  <c:v>1375</c:v>
                </c:pt>
                <c:pt idx="3">
                  <c:v>1177</c:v>
                </c:pt>
                <c:pt idx="4">
                  <c:v>1187</c:v>
                </c:pt>
                <c:pt idx="5">
                  <c:v>1195</c:v>
                </c:pt>
                <c:pt idx="6">
                  <c:v>1652</c:v>
                </c:pt>
                <c:pt idx="7">
                  <c:v>1146</c:v>
                </c:pt>
                <c:pt idx="10">
                  <c:v>1321</c:v>
                </c:pt>
                <c:pt idx="11">
                  <c:v>903</c:v>
                </c:pt>
                <c:pt idx="12">
                  <c:v>1068</c:v>
                </c:pt>
                <c:pt idx="13">
                  <c:v>1558</c:v>
                </c:pt>
                <c:pt idx="14">
                  <c:v>1676</c:v>
                </c:pt>
                <c:pt idx="15">
                  <c:v>1427</c:v>
                </c:pt>
                <c:pt idx="16">
                  <c:v>917</c:v>
                </c:pt>
                <c:pt idx="17">
                  <c:v>1532</c:v>
                </c:pt>
                <c:pt idx="18">
                  <c:v>1593</c:v>
                </c:pt>
                <c:pt idx="19">
                  <c:v>1711</c:v>
                </c:pt>
                <c:pt idx="20">
                  <c:v>1635</c:v>
                </c:pt>
                <c:pt idx="21">
                  <c:v>1641</c:v>
                </c:pt>
                <c:pt idx="24">
                  <c:v>9</c:v>
                </c:pt>
                <c:pt idx="27">
                  <c:v>1355</c:v>
                </c:pt>
                <c:pt idx="28">
                  <c:v>1513</c:v>
                </c:pt>
                <c:pt idx="29">
                  <c:v>1748</c:v>
                </c:pt>
                <c:pt idx="32">
                  <c:v>967</c:v>
                </c:pt>
                <c:pt idx="33">
                  <c:v>1496</c:v>
                </c:pt>
                <c:pt idx="34">
                  <c:v>1185</c:v>
                </c:pt>
                <c:pt idx="35">
                  <c:v>1097</c:v>
                </c:pt>
                <c:pt idx="36">
                  <c:v>1386</c:v>
                </c:pt>
                <c:pt idx="37">
                  <c:v>942</c:v>
                </c:pt>
                <c:pt idx="40">
                  <c:v>1201</c:v>
                </c:pt>
                <c:pt idx="41">
                  <c:v>1540</c:v>
                </c:pt>
                <c:pt idx="42">
                  <c:v>2014</c:v>
                </c:pt>
                <c:pt idx="43">
                  <c:v>1622</c:v>
                </c:pt>
                <c:pt idx="44">
                  <c:v>1696</c:v>
                </c:pt>
                <c:pt idx="45">
                  <c:v>1644</c:v>
                </c:pt>
                <c:pt idx="48">
                  <c:v>1614</c:v>
                </c:pt>
                <c:pt idx="49">
                  <c:v>1382</c:v>
                </c:pt>
                <c:pt idx="50">
                  <c:v>1399</c:v>
                </c:pt>
                <c:pt idx="51">
                  <c:v>1679</c:v>
                </c:pt>
                <c:pt idx="52">
                  <c:v>1809</c:v>
                </c:pt>
                <c:pt idx="53">
                  <c:v>1454</c:v>
                </c:pt>
                <c:pt idx="58">
                  <c:v>631</c:v>
                </c:pt>
                <c:pt idx="59">
                  <c:v>12</c:v>
                </c:pt>
                <c:pt idx="60">
                  <c:v>407</c:v>
                </c:pt>
                <c:pt idx="61">
                  <c:v>245</c:v>
                </c:pt>
                <c:pt idx="62">
                  <c:v>435</c:v>
                </c:pt>
                <c:pt idx="65">
                  <c:v>1061</c:v>
                </c:pt>
                <c:pt idx="66">
                  <c:v>888</c:v>
                </c:pt>
                <c:pt idx="67">
                  <c:v>646</c:v>
                </c:pt>
                <c:pt idx="68">
                  <c:v>1149</c:v>
                </c:pt>
                <c:pt idx="69">
                  <c:v>1310</c:v>
                </c:pt>
                <c:pt idx="72">
                  <c:v>1467</c:v>
                </c:pt>
                <c:pt idx="73">
                  <c:v>1527</c:v>
                </c:pt>
                <c:pt idx="74">
                  <c:v>1519</c:v>
                </c:pt>
                <c:pt idx="75">
                  <c:v>1444</c:v>
                </c:pt>
                <c:pt idx="76">
                  <c:v>1112</c:v>
                </c:pt>
                <c:pt idx="81">
                  <c:v>3698</c:v>
                </c:pt>
                <c:pt idx="82">
                  <c:v>3878</c:v>
                </c:pt>
                <c:pt idx="83">
                  <c:v>3608</c:v>
                </c:pt>
                <c:pt idx="84">
                  <c:v>3130</c:v>
                </c:pt>
                <c:pt idx="85">
                  <c:v>2954</c:v>
                </c:pt>
                <c:pt idx="86">
                  <c:v>4325</c:v>
                </c:pt>
                <c:pt idx="87">
                  <c:v>4032</c:v>
                </c:pt>
                <c:pt idx="88">
                  <c:v>3096</c:v>
                </c:pt>
                <c:pt idx="93">
                  <c:v>4090</c:v>
                </c:pt>
                <c:pt idx="96">
                  <c:v>2672</c:v>
                </c:pt>
                <c:pt idx="97">
                  <c:v>2761</c:v>
                </c:pt>
                <c:pt idx="98">
                  <c:v>3662</c:v>
                </c:pt>
                <c:pt idx="99">
                  <c:v>3629</c:v>
                </c:pt>
                <c:pt idx="100">
                  <c:v>3554</c:v>
                </c:pt>
                <c:pt idx="101">
                  <c:v>982</c:v>
                </c:pt>
                <c:pt idx="106">
                  <c:v>1600</c:v>
                </c:pt>
                <c:pt idx="109">
                  <c:v>3209</c:v>
                </c:pt>
                <c:pt idx="110">
                  <c:v>2731</c:v>
                </c:pt>
                <c:pt idx="111">
                  <c:v>8</c:v>
                </c:pt>
              </c:numCache>
            </c:numRef>
          </c:xVal>
          <c:yVal>
            <c:numRef>
              <c:f>'After instal'!$F$6:$F$117</c:f>
              <c:numCache>
                <c:formatCode>General</c:formatCode>
                <c:ptCount val="112"/>
                <c:pt idx="0">
                  <c:v>-2.4319999999999999</c:v>
                </c:pt>
                <c:pt idx="1">
                  <c:v>-2.1040000000000001</c:v>
                </c:pt>
                <c:pt idx="2">
                  <c:v>-2.339</c:v>
                </c:pt>
                <c:pt idx="3">
                  <c:v>-2.0630000000000002</c:v>
                </c:pt>
                <c:pt idx="4">
                  <c:v>-2.2970000000000002</c:v>
                </c:pt>
                <c:pt idx="5">
                  <c:v>-2.1259999999999999</c:v>
                </c:pt>
                <c:pt idx="6">
                  <c:v>-2.3029999999999999</c:v>
                </c:pt>
                <c:pt idx="7">
                  <c:v>-2.2480000000000002</c:v>
                </c:pt>
                <c:pt idx="10">
                  <c:v>-2.4569999999999999</c:v>
                </c:pt>
                <c:pt idx="11">
                  <c:v>-3.0129999999999999</c:v>
                </c:pt>
                <c:pt idx="12">
                  <c:v>-3.0680000000000001</c:v>
                </c:pt>
                <c:pt idx="13">
                  <c:v>-2.177</c:v>
                </c:pt>
                <c:pt idx="14">
                  <c:v>-2.3730000000000002</c:v>
                </c:pt>
                <c:pt idx="15">
                  <c:v>-2.1789999999999998</c:v>
                </c:pt>
                <c:pt idx="16">
                  <c:v>-3.3929999999999998</c:v>
                </c:pt>
                <c:pt idx="17">
                  <c:v>-2.17</c:v>
                </c:pt>
                <c:pt idx="18">
                  <c:v>-2.5099999999999998</c:v>
                </c:pt>
                <c:pt idx="19">
                  <c:v>-2.278</c:v>
                </c:pt>
                <c:pt idx="20">
                  <c:v>-2.4969999999999999</c:v>
                </c:pt>
                <c:pt idx="21">
                  <c:v>-2.2120000000000002</c:v>
                </c:pt>
                <c:pt idx="24">
                  <c:v>-18.856999999999999</c:v>
                </c:pt>
                <c:pt idx="27">
                  <c:v>-2.6890000000000001</c:v>
                </c:pt>
                <c:pt idx="28">
                  <c:v>-2.3610000000000002</c:v>
                </c:pt>
                <c:pt idx="29">
                  <c:v>-2.2730000000000001</c:v>
                </c:pt>
                <c:pt idx="32">
                  <c:v>-3.4609999999999999</c:v>
                </c:pt>
                <c:pt idx="33">
                  <c:v>-2.1840000000000002</c:v>
                </c:pt>
                <c:pt idx="34">
                  <c:v>-2.633</c:v>
                </c:pt>
                <c:pt idx="35">
                  <c:v>-2.4300000000000002</c:v>
                </c:pt>
                <c:pt idx="36">
                  <c:v>-2.5649999999999999</c:v>
                </c:pt>
                <c:pt idx="37">
                  <c:v>-2.7869999999999999</c:v>
                </c:pt>
                <c:pt idx="40">
                  <c:v>-2.6160000000000001</c:v>
                </c:pt>
                <c:pt idx="41">
                  <c:v>-2.2669999999999999</c:v>
                </c:pt>
                <c:pt idx="42">
                  <c:v>-2.5310000000000001</c:v>
                </c:pt>
                <c:pt idx="43">
                  <c:v>-2.234</c:v>
                </c:pt>
                <c:pt idx="44">
                  <c:v>-2.5430000000000001</c:v>
                </c:pt>
                <c:pt idx="45">
                  <c:v>-2.1859999999999999</c:v>
                </c:pt>
                <c:pt idx="48">
                  <c:v>-2.5230000000000001</c:v>
                </c:pt>
                <c:pt idx="49">
                  <c:v>-2.2040000000000002</c:v>
                </c:pt>
                <c:pt idx="50">
                  <c:v>-2.4950000000000001</c:v>
                </c:pt>
                <c:pt idx="51">
                  <c:v>-2.1560000000000001</c:v>
                </c:pt>
                <c:pt idx="52">
                  <c:v>-2.4500000000000002</c:v>
                </c:pt>
                <c:pt idx="53">
                  <c:v>-2.0950000000000002</c:v>
                </c:pt>
                <c:pt idx="56">
                  <c:v>0</c:v>
                </c:pt>
                <c:pt idx="58">
                  <c:v>-9.7859999999999996</c:v>
                </c:pt>
                <c:pt idx="59">
                  <c:v>-26.547999999999998</c:v>
                </c:pt>
                <c:pt idx="60">
                  <c:v>-8.968</c:v>
                </c:pt>
                <c:pt idx="61">
                  <c:v>-30.312000000000001</c:v>
                </c:pt>
                <c:pt idx="62">
                  <c:v>-9.1479999999999997</c:v>
                </c:pt>
                <c:pt idx="65">
                  <c:v>-3.6779999999999999</c:v>
                </c:pt>
                <c:pt idx="66">
                  <c:v>-2.9660000000000002</c:v>
                </c:pt>
                <c:pt idx="67">
                  <c:v>-4.5949999999999998</c:v>
                </c:pt>
                <c:pt idx="68">
                  <c:v>-2.7040000000000002</c:v>
                </c:pt>
                <c:pt idx="69">
                  <c:v>-3.3490000000000002</c:v>
                </c:pt>
                <c:pt idx="72">
                  <c:v>-2.3839999999999999</c:v>
                </c:pt>
                <c:pt idx="73">
                  <c:v>-2.1669999999999998</c:v>
                </c:pt>
                <c:pt idx="74">
                  <c:v>-2.3959999999999999</c:v>
                </c:pt>
                <c:pt idx="75">
                  <c:v>-2.157</c:v>
                </c:pt>
                <c:pt idx="76">
                  <c:v>-2.847</c:v>
                </c:pt>
                <c:pt idx="79">
                  <c:v>0</c:v>
                </c:pt>
                <c:pt idx="81">
                  <c:v>-2.0939999999999999</c:v>
                </c:pt>
                <c:pt idx="82">
                  <c:v>-2.258</c:v>
                </c:pt>
                <c:pt idx="83">
                  <c:v>-2.3119999999999998</c:v>
                </c:pt>
                <c:pt idx="84">
                  <c:v>-2.4209999999999998</c:v>
                </c:pt>
                <c:pt idx="85">
                  <c:v>-2.2679999999999998</c:v>
                </c:pt>
                <c:pt idx="86">
                  <c:v>-2.3879999999999999</c:v>
                </c:pt>
                <c:pt idx="87">
                  <c:v>-2.3090000000000002</c:v>
                </c:pt>
                <c:pt idx="88">
                  <c:v>-2.6080000000000001</c:v>
                </c:pt>
                <c:pt idx="91">
                  <c:v>0</c:v>
                </c:pt>
                <c:pt idx="93">
                  <c:v>-2.2930000000000001</c:v>
                </c:pt>
                <c:pt idx="96">
                  <c:v>-2.2879999999999998</c:v>
                </c:pt>
                <c:pt idx="97">
                  <c:v>-2.2949999999999999</c:v>
                </c:pt>
                <c:pt idx="98">
                  <c:v>-2.347</c:v>
                </c:pt>
                <c:pt idx="99">
                  <c:v>-2.2309999999999999</c:v>
                </c:pt>
                <c:pt idx="100">
                  <c:v>-2.35</c:v>
                </c:pt>
                <c:pt idx="101">
                  <c:v>-2.7120000000000002</c:v>
                </c:pt>
                <c:pt idx="104">
                  <c:v>0</c:v>
                </c:pt>
                <c:pt idx="106">
                  <c:v>1.123</c:v>
                </c:pt>
                <c:pt idx="109">
                  <c:v>-2.2789999999999999</c:v>
                </c:pt>
                <c:pt idx="110">
                  <c:v>-2.367</c:v>
                </c:pt>
                <c:pt idx="111">
                  <c:v>-14.964</c:v>
                </c:pt>
              </c:numCache>
            </c:numRef>
          </c:yVal>
          <c:smooth val="0"/>
        </c:ser>
        <c:ser>
          <c:idx val="3"/>
          <c:order val="1"/>
          <c:tx>
            <c:v>d18O</c:v>
          </c:tx>
          <c:spPr>
            <a:ln w="19050">
              <a:solidFill>
                <a:schemeClr val="accent2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7000</c:v>
              </c:pt>
            </c:numLit>
          </c:xVal>
          <c:yVal>
            <c:numRef>
              <c:f>'After instal'!$F$2:$F$3</c:f>
              <c:numCache>
                <c:formatCode>General</c:formatCode>
                <c:ptCount val="2"/>
                <c:pt idx="0">
                  <c:v>-2.2000000000000002</c:v>
                </c:pt>
                <c:pt idx="1">
                  <c:v>-2.2000000000000002</c:v>
                </c:pt>
              </c:numCache>
            </c:numRef>
          </c:yVal>
          <c:smooth val="0"/>
        </c:ser>
        <c:ser>
          <c:idx val="5"/>
          <c:order val="2"/>
          <c:tx>
            <c:v>19/mai</c:v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accent2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'After software 19May'!$AJ$21:$AJ$23</c:f>
              <c:numCache>
                <c:formatCode>General</c:formatCode>
                <c:ptCount val="3"/>
                <c:pt idx="0">
                  <c:v>5574</c:v>
                </c:pt>
                <c:pt idx="1">
                  <c:v>6131</c:v>
                </c:pt>
                <c:pt idx="2">
                  <c:v>6498</c:v>
                </c:pt>
              </c:numCache>
            </c:numRef>
          </c:xVal>
          <c:yVal>
            <c:numRef>
              <c:f>'After software 19May'!$F$21:$F$23</c:f>
              <c:numCache>
                <c:formatCode>General</c:formatCode>
                <c:ptCount val="3"/>
                <c:pt idx="0">
                  <c:v>-1.212</c:v>
                </c:pt>
                <c:pt idx="1">
                  <c:v>-2.4660000000000002</c:v>
                </c:pt>
                <c:pt idx="2">
                  <c:v>-2.4009999999999998</c:v>
                </c:pt>
              </c:numCache>
            </c:numRef>
          </c:yVal>
          <c:smooth val="0"/>
        </c:ser>
        <c:ser>
          <c:idx val="7"/>
          <c:order val="3"/>
          <c:tx>
            <c:v>20/mai</c:v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800000"/>
              </a:solidFill>
              <a:ln>
                <a:noFill/>
              </a:ln>
            </c:spPr>
          </c:marker>
          <c:xVal>
            <c:numRef>
              <c:f>'After software 19May'!$AJ$27:$AJ$56</c:f>
              <c:numCache>
                <c:formatCode>General</c:formatCode>
                <c:ptCount val="30"/>
                <c:pt idx="0">
                  <c:v>911</c:v>
                </c:pt>
                <c:pt idx="1">
                  <c:v>1396</c:v>
                </c:pt>
                <c:pt idx="2">
                  <c:v>4528</c:v>
                </c:pt>
                <c:pt idx="3">
                  <c:v>3564</c:v>
                </c:pt>
                <c:pt idx="4">
                  <c:v>4926</c:v>
                </c:pt>
                <c:pt idx="5">
                  <c:v>5536</c:v>
                </c:pt>
                <c:pt idx="6">
                  <c:v>5235</c:v>
                </c:pt>
                <c:pt idx="7">
                  <c:v>4657</c:v>
                </c:pt>
                <c:pt idx="8">
                  <c:v>4947</c:v>
                </c:pt>
                <c:pt idx="9">
                  <c:v>5676</c:v>
                </c:pt>
                <c:pt idx="10">
                  <c:v>1154</c:v>
                </c:pt>
                <c:pt idx="11">
                  <c:v>898</c:v>
                </c:pt>
                <c:pt idx="12">
                  <c:v>2447</c:v>
                </c:pt>
                <c:pt idx="13">
                  <c:v>1987</c:v>
                </c:pt>
                <c:pt idx="14">
                  <c:v>1686</c:v>
                </c:pt>
                <c:pt idx="15">
                  <c:v>1728</c:v>
                </c:pt>
                <c:pt idx="16">
                  <c:v>2366</c:v>
                </c:pt>
                <c:pt idx="17">
                  <c:v>3404</c:v>
                </c:pt>
                <c:pt idx="18">
                  <c:v>3373</c:v>
                </c:pt>
                <c:pt idx="19">
                  <c:v>2600</c:v>
                </c:pt>
                <c:pt idx="20">
                  <c:v>4586</c:v>
                </c:pt>
                <c:pt idx="21">
                  <c:v>6009</c:v>
                </c:pt>
                <c:pt idx="22">
                  <c:v>4339</c:v>
                </c:pt>
                <c:pt idx="23">
                  <c:v>6357</c:v>
                </c:pt>
                <c:pt idx="24">
                  <c:v>7750</c:v>
                </c:pt>
                <c:pt idx="25">
                  <c:v>8073</c:v>
                </c:pt>
                <c:pt idx="26">
                  <c:v>5264</c:v>
                </c:pt>
                <c:pt idx="27">
                  <c:v>7602</c:v>
                </c:pt>
                <c:pt idx="28">
                  <c:v>7957</c:v>
                </c:pt>
                <c:pt idx="29">
                  <c:v>7509</c:v>
                </c:pt>
              </c:numCache>
            </c:numRef>
          </c:xVal>
          <c:yVal>
            <c:numRef>
              <c:f>'After software 19May'!$F$27:$F$56</c:f>
              <c:numCache>
                <c:formatCode>General</c:formatCode>
                <c:ptCount val="30"/>
                <c:pt idx="0">
                  <c:v>-4.7610000000000001</c:v>
                </c:pt>
                <c:pt idx="1">
                  <c:v>-7.0430000000000001</c:v>
                </c:pt>
                <c:pt idx="2">
                  <c:v>-1.8440000000000001</c:v>
                </c:pt>
                <c:pt idx="3">
                  <c:v>-3.0950000000000002</c:v>
                </c:pt>
                <c:pt idx="4">
                  <c:v>-1.726</c:v>
                </c:pt>
                <c:pt idx="5">
                  <c:v>-2.331</c:v>
                </c:pt>
                <c:pt idx="6">
                  <c:v>-3.1789999999999998</c:v>
                </c:pt>
                <c:pt idx="7">
                  <c:v>-1.498</c:v>
                </c:pt>
                <c:pt idx="8">
                  <c:v>-2.347</c:v>
                </c:pt>
                <c:pt idx="9">
                  <c:v>-3.1480000000000001</c:v>
                </c:pt>
                <c:pt idx="10">
                  <c:v>-2.2530000000000001</c:v>
                </c:pt>
                <c:pt idx="11">
                  <c:v>-4.7140000000000004</c:v>
                </c:pt>
                <c:pt idx="12">
                  <c:v>-4.3849999999999998</c:v>
                </c:pt>
                <c:pt idx="13">
                  <c:v>-1.925</c:v>
                </c:pt>
                <c:pt idx="14">
                  <c:v>-2.9420000000000002</c:v>
                </c:pt>
                <c:pt idx="15">
                  <c:v>-4.8319999999999999</c:v>
                </c:pt>
                <c:pt idx="16">
                  <c:v>-1.675</c:v>
                </c:pt>
                <c:pt idx="17">
                  <c:v>-2.5289999999999999</c:v>
                </c:pt>
                <c:pt idx="18">
                  <c:v>-3.6579999999999999</c:v>
                </c:pt>
                <c:pt idx="19">
                  <c:v>-2.0510000000000002</c:v>
                </c:pt>
                <c:pt idx="20">
                  <c:v>-2.488</c:v>
                </c:pt>
                <c:pt idx="21">
                  <c:v>-2.85</c:v>
                </c:pt>
                <c:pt idx="22">
                  <c:v>-1.88</c:v>
                </c:pt>
                <c:pt idx="23">
                  <c:v>-2.8410000000000002</c:v>
                </c:pt>
                <c:pt idx="24">
                  <c:v>-2.0070000000000001</c:v>
                </c:pt>
                <c:pt idx="25">
                  <c:v>-1.998</c:v>
                </c:pt>
                <c:pt idx="26">
                  <c:v>-1.8620000000000001</c:v>
                </c:pt>
                <c:pt idx="27">
                  <c:v>-2.2799999999999998</c:v>
                </c:pt>
                <c:pt idx="28">
                  <c:v>-2.722</c:v>
                </c:pt>
                <c:pt idx="29">
                  <c:v>-1.9730000000000001</c:v>
                </c:pt>
              </c:numCache>
            </c:numRef>
          </c:yVal>
          <c:smooth val="0"/>
        </c:ser>
        <c:ser>
          <c:idx val="0"/>
          <c:order val="4"/>
          <c:tx>
            <c:v>01/jun</c:v>
          </c:tx>
          <c:spPr>
            <a:ln w="28575">
              <a:noFill/>
            </a:ln>
          </c:spPr>
          <c:marker>
            <c:symbol val="star"/>
            <c:size val="7"/>
            <c:spPr>
              <a:ln>
                <a:solidFill>
                  <a:schemeClr val="accent6"/>
                </a:solidFill>
              </a:ln>
            </c:spPr>
          </c:marker>
          <c:xVal>
            <c:numRef>
              <c:f>'After Oring 29May'!$AG$4:$AG$49</c:f>
              <c:numCache>
                <c:formatCode>General</c:formatCode>
                <c:ptCount val="46"/>
                <c:pt idx="0">
                  <c:v>3187</c:v>
                </c:pt>
                <c:pt idx="1">
                  <c:v>2276</c:v>
                </c:pt>
                <c:pt idx="2">
                  <c:v>3361</c:v>
                </c:pt>
                <c:pt idx="3">
                  <c:v>3756</c:v>
                </c:pt>
                <c:pt idx="4">
                  <c:v>4649</c:v>
                </c:pt>
                <c:pt idx="5">
                  <c:v>3734</c:v>
                </c:pt>
                <c:pt idx="6">
                  <c:v>3920</c:v>
                </c:pt>
                <c:pt idx="7">
                  <c:v>3279</c:v>
                </c:pt>
                <c:pt idx="8">
                  <c:v>2857</c:v>
                </c:pt>
                <c:pt idx="9">
                  <c:v>4190</c:v>
                </c:pt>
                <c:pt idx="10">
                  <c:v>4582</c:v>
                </c:pt>
                <c:pt idx="11">
                  <c:v>4602</c:v>
                </c:pt>
                <c:pt idx="12">
                  <c:v>4556</c:v>
                </c:pt>
                <c:pt idx="13">
                  <c:v>3870</c:v>
                </c:pt>
                <c:pt idx="14">
                  <c:v>2820</c:v>
                </c:pt>
                <c:pt idx="15">
                  <c:v>3237</c:v>
                </c:pt>
                <c:pt idx="16">
                  <c:v>2787</c:v>
                </c:pt>
                <c:pt idx="17">
                  <c:v>4010</c:v>
                </c:pt>
                <c:pt idx="18">
                  <c:v>3366</c:v>
                </c:pt>
                <c:pt idx="19">
                  <c:v>3748</c:v>
                </c:pt>
                <c:pt idx="20">
                  <c:v>3558</c:v>
                </c:pt>
                <c:pt idx="21">
                  <c:v>3089</c:v>
                </c:pt>
                <c:pt idx="22">
                  <c:v>3068</c:v>
                </c:pt>
                <c:pt idx="23">
                  <c:v>3506</c:v>
                </c:pt>
                <c:pt idx="24">
                  <c:v>3927</c:v>
                </c:pt>
                <c:pt idx="25">
                  <c:v>3865</c:v>
                </c:pt>
                <c:pt idx="26">
                  <c:v>3021</c:v>
                </c:pt>
                <c:pt idx="27">
                  <c:v>2555</c:v>
                </c:pt>
                <c:pt idx="28">
                  <c:v>2776</c:v>
                </c:pt>
                <c:pt idx="29">
                  <c:v>4017</c:v>
                </c:pt>
                <c:pt idx="30">
                  <c:v>3580</c:v>
                </c:pt>
                <c:pt idx="31">
                  <c:v>3514</c:v>
                </c:pt>
                <c:pt idx="32">
                  <c:v>3075</c:v>
                </c:pt>
                <c:pt idx="33">
                  <c:v>2042</c:v>
                </c:pt>
                <c:pt idx="34">
                  <c:v>3403</c:v>
                </c:pt>
                <c:pt idx="35">
                  <c:v>3284</c:v>
                </c:pt>
                <c:pt idx="36">
                  <c:v>3719</c:v>
                </c:pt>
                <c:pt idx="37">
                  <c:v>3622</c:v>
                </c:pt>
                <c:pt idx="38">
                  <c:v>2559</c:v>
                </c:pt>
                <c:pt idx="39">
                  <c:v>3535</c:v>
                </c:pt>
                <c:pt idx="40">
                  <c:v>3580</c:v>
                </c:pt>
                <c:pt idx="41">
                  <c:v>2058</c:v>
                </c:pt>
                <c:pt idx="42">
                  <c:v>3723</c:v>
                </c:pt>
                <c:pt idx="43">
                  <c:v>3219</c:v>
                </c:pt>
                <c:pt idx="44">
                  <c:v>3946</c:v>
                </c:pt>
                <c:pt idx="45">
                  <c:v>3720</c:v>
                </c:pt>
              </c:numCache>
            </c:numRef>
          </c:xVal>
          <c:yVal>
            <c:numRef>
              <c:f>'After Oring 29May'!$F$4:$F$49</c:f>
              <c:numCache>
                <c:formatCode>General</c:formatCode>
                <c:ptCount val="46"/>
                <c:pt idx="0">
                  <c:v>-5.149</c:v>
                </c:pt>
                <c:pt idx="1">
                  <c:v>-1.3859999999999999</c:v>
                </c:pt>
                <c:pt idx="2">
                  <c:v>-3.16</c:v>
                </c:pt>
                <c:pt idx="3">
                  <c:v>-3.407</c:v>
                </c:pt>
                <c:pt idx="4">
                  <c:v>-2.625</c:v>
                </c:pt>
                <c:pt idx="5">
                  <c:v>-3.1749999999999998</c:v>
                </c:pt>
                <c:pt idx="6">
                  <c:v>-3.8620000000000001</c:v>
                </c:pt>
                <c:pt idx="7">
                  <c:v>-2.464</c:v>
                </c:pt>
                <c:pt idx="8">
                  <c:v>-3.2360000000000002</c:v>
                </c:pt>
                <c:pt idx="9">
                  <c:v>-3.4350000000000001</c:v>
                </c:pt>
                <c:pt idx="10">
                  <c:v>-2.4529999999999998</c:v>
                </c:pt>
                <c:pt idx="11">
                  <c:v>-2.7989999999999999</c:v>
                </c:pt>
                <c:pt idx="12">
                  <c:v>-3.5049999999999999</c:v>
                </c:pt>
                <c:pt idx="13">
                  <c:v>-2.5880000000000001</c:v>
                </c:pt>
                <c:pt idx="14">
                  <c:v>-3.0859999999999999</c:v>
                </c:pt>
                <c:pt idx="15">
                  <c:v>-3.8969999999999998</c:v>
                </c:pt>
                <c:pt idx="16">
                  <c:v>-2.8180000000000001</c:v>
                </c:pt>
                <c:pt idx="17">
                  <c:v>-2.9889999999999999</c:v>
                </c:pt>
                <c:pt idx="18">
                  <c:v>-4.0270000000000001</c:v>
                </c:pt>
                <c:pt idx="19">
                  <c:v>-2.548</c:v>
                </c:pt>
                <c:pt idx="20">
                  <c:v>-3.0009999999999999</c:v>
                </c:pt>
                <c:pt idx="21">
                  <c:v>-4.0049999999999999</c:v>
                </c:pt>
                <c:pt idx="22">
                  <c:v>-2.681</c:v>
                </c:pt>
                <c:pt idx="23">
                  <c:v>-2.9969999999999999</c:v>
                </c:pt>
                <c:pt idx="24">
                  <c:v>-3.508</c:v>
                </c:pt>
                <c:pt idx="25">
                  <c:v>-2.6520000000000001</c:v>
                </c:pt>
                <c:pt idx="26">
                  <c:v>-3.2839999999999998</c:v>
                </c:pt>
                <c:pt idx="27">
                  <c:v>-4.0019999999999998</c:v>
                </c:pt>
                <c:pt idx="28">
                  <c:v>-2.569</c:v>
                </c:pt>
                <c:pt idx="29">
                  <c:v>-2.8439999999999999</c:v>
                </c:pt>
                <c:pt idx="30">
                  <c:v>-2.8879999999999999</c:v>
                </c:pt>
                <c:pt idx="31">
                  <c:v>-3.7879999999999998</c:v>
                </c:pt>
                <c:pt idx="32">
                  <c:v>-2.6230000000000002</c:v>
                </c:pt>
                <c:pt idx="33">
                  <c:v>-3.4580000000000002</c:v>
                </c:pt>
                <c:pt idx="34">
                  <c:v>-3.4390000000000001</c:v>
                </c:pt>
                <c:pt idx="35">
                  <c:v>-2.4500000000000002</c:v>
                </c:pt>
                <c:pt idx="36">
                  <c:v>-2.996</c:v>
                </c:pt>
                <c:pt idx="37">
                  <c:v>-3.4460000000000002</c:v>
                </c:pt>
                <c:pt idx="38">
                  <c:v>-2.7090000000000001</c:v>
                </c:pt>
                <c:pt idx="39">
                  <c:v>-2.8769999999999998</c:v>
                </c:pt>
                <c:pt idx="40">
                  <c:v>-3.5150000000000001</c:v>
                </c:pt>
                <c:pt idx="41">
                  <c:v>-2.88</c:v>
                </c:pt>
                <c:pt idx="42">
                  <c:v>-2.7709999999999999</c:v>
                </c:pt>
                <c:pt idx="43">
                  <c:v>-3.827</c:v>
                </c:pt>
                <c:pt idx="44">
                  <c:v>-2.3610000000000002</c:v>
                </c:pt>
                <c:pt idx="45">
                  <c:v>-2.8359999999999999</c:v>
                </c:pt>
              </c:numCache>
            </c:numRef>
          </c:yVal>
          <c:smooth val="0"/>
        </c:ser>
        <c:ser>
          <c:idx val="2"/>
          <c:order val="5"/>
          <c:tx>
            <c:v>03/jun</c:v>
          </c:tx>
          <c:spPr>
            <a:ln w="28575">
              <a:noFill/>
            </a:ln>
          </c:spPr>
          <c:marker>
            <c:symbol val="x"/>
            <c:size val="7"/>
            <c:spPr>
              <a:ln w="25400">
                <a:solidFill>
                  <a:srgbClr val="F991B9"/>
                </a:solidFill>
              </a:ln>
            </c:spPr>
          </c:marker>
          <c:xVal>
            <c:numRef>
              <c:f>'After Oring 29May'!$AK$54:$AK$61</c:f>
              <c:numCache>
                <c:formatCode>General</c:formatCode>
                <c:ptCount val="8"/>
                <c:pt idx="0">
                  <c:v>3283</c:v>
                </c:pt>
                <c:pt idx="1">
                  <c:v>2571</c:v>
                </c:pt>
                <c:pt idx="2">
                  <c:v>3743</c:v>
                </c:pt>
                <c:pt idx="3">
                  <c:v>4447</c:v>
                </c:pt>
                <c:pt idx="4">
                  <c:v>3055</c:v>
                </c:pt>
                <c:pt idx="5">
                  <c:v>3105</c:v>
                </c:pt>
                <c:pt idx="6">
                  <c:v>2912</c:v>
                </c:pt>
                <c:pt idx="7">
                  <c:v>3751</c:v>
                </c:pt>
              </c:numCache>
            </c:numRef>
          </c:xVal>
          <c:yVal>
            <c:numRef>
              <c:f>'After Oring 29May'!$F$54:$F$61</c:f>
              <c:numCache>
                <c:formatCode>General</c:formatCode>
                <c:ptCount val="8"/>
                <c:pt idx="0">
                  <c:v>-2.5499999999999998</c:v>
                </c:pt>
                <c:pt idx="1">
                  <c:v>-2.677</c:v>
                </c:pt>
                <c:pt idx="2">
                  <c:v>-2.6070000000000002</c:v>
                </c:pt>
                <c:pt idx="3">
                  <c:v>-2.3069999999999999</c:v>
                </c:pt>
                <c:pt idx="4">
                  <c:v>-2.7290000000000001</c:v>
                </c:pt>
                <c:pt idx="5">
                  <c:v>-2.5950000000000002</c:v>
                </c:pt>
                <c:pt idx="6">
                  <c:v>-2.7770000000000001</c:v>
                </c:pt>
                <c:pt idx="7">
                  <c:v>-2.5129999999999999</c:v>
                </c:pt>
              </c:numCache>
            </c:numRef>
          </c:yVal>
          <c:smooth val="0"/>
        </c:ser>
        <c:ser>
          <c:idx val="4"/>
          <c:order val="6"/>
          <c:tx>
            <c:v>08/jun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B818AD"/>
              </a:solidFill>
              <a:ln>
                <a:solidFill>
                  <a:srgbClr val="B818AD"/>
                </a:solidFill>
              </a:ln>
            </c:spPr>
          </c:marker>
          <c:xVal>
            <c:numRef>
              <c:f>'After Oring 29May'!$AJ$66:$AJ$111</c:f>
              <c:numCache>
                <c:formatCode>General</c:formatCode>
                <c:ptCount val="46"/>
                <c:pt idx="0">
                  <c:v>2938</c:v>
                </c:pt>
                <c:pt idx="1">
                  <c:v>3096</c:v>
                </c:pt>
                <c:pt idx="2">
                  <c:v>3024</c:v>
                </c:pt>
                <c:pt idx="3">
                  <c:v>3249</c:v>
                </c:pt>
                <c:pt idx="4">
                  <c:v>2774</c:v>
                </c:pt>
                <c:pt idx="5">
                  <c:v>2110</c:v>
                </c:pt>
                <c:pt idx="6">
                  <c:v>2785</c:v>
                </c:pt>
                <c:pt idx="7">
                  <c:v>2472</c:v>
                </c:pt>
                <c:pt idx="8">
                  <c:v>2662</c:v>
                </c:pt>
                <c:pt idx="9">
                  <c:v>2638</c:v>
                </c:pt>
                <c:pt idx="10">
                  <c:v>2398</c:v>
                </c:pt>
                <c:pt idx="11">
                  <c:v>2451</c:v>
                </c:pt>
                <c:pt idx="12">
                  <c:v>1778</c:v>
                </c:pt>
                <c:pt idx="13">
                  <c:v>3839</c:v>
                </c:pt>
                <c:pt idx="14">
                  <c:v>2154</c:v>
                </c:pt>
                <c:pt idx="15">
                  <c:v>3170</c:v>
                </c:pt>
                <c:pt idx="16">
                  <c:v>3174</c:v>
                </c:pt>
                <c:pt idx="17">
                  <c:v>2307</c:v>
                </c:pt>
                <c:pt idx="18">
                  <c:v>2333</c:v>
                </c:pt>
                <c:pt idx="19">
                  <c:v>2496</c:v>
                </c:pt>
                <c:pt idx="20">
                  <c:v>2646</c:v>
                </c:pt>
                <c:pt idx="21">
                  <c:v>2786</c:v>
                </c:pt>
                <c:pt idx="22">
                  <c:v>2526</c:v>
                </c:pt>
                <c:pt idx="23">
                  <c:v>2829</c:v>
                </c:pt>
                <c:pt idx="24">
                  <c:v>2731</c:v>
                </c:pt>
                <c:pt idx="25">
                  <c:v>2645</c:v>
                </c:pt>
                <c:pt idx="26">
                  <c:v>3003</c:v>
                </c:pt>
                <c:pt idx="27">
                  <c:v>2548</c:v>
                </c:pt>
                <c:pt idx="28">
                  <c:v>2726</c:v>
                </c:pt>
                <c:pt idx="29">
                  <c:v>2605</c:v>
                </c:pt>
                <c:pt idx="30">
                  <c:v>2046</c:v>
                </c:pt>
                <c:pt idx="31">
                  <c:v>3012</c:v>
                </c:pt>
                <c:pt idx="32">
                  <c:v>2629</c:v>
                </c:pt>
                <c:pt idx="33">
                  <c:v>2514</c:v>
                </c:pt>
                <c:pt idx="34">
                  <c:v>2761</c:v>
                </c:pt>
                <c:pt idx="35">
                  <c:v>2059</c:v>
                </c:pt>
                <c:pt idx="36">
                  <c:v>2984</c:v>
                </c:pt>
                <c:pt idx="37">
                  <c:v>2784</c:v>
                </c:pt>
                <c:pt idx="38">
                  <c:v>2229</c:v>
                </c:pt>
                <c:pt idx="39">
                  <c:v>2616</c:v>
                </c:pt>
                <c:pt idx="40">
                  <c:v>2879</c:v>
                </c:pt>
                <c:pt idx="41">
                  <c:v>2423</c:v>
                </c:pt>
                <c:pt idx="42">
                  <c:v>3068</c:v>
                </c:pt>
                <c:pt idx="43">
                  <c:v>2820</c:v>
                </c:pt>
                <c:pt idx="44">
                  <c:v>2997</c:v>
                </c:pt>
                <c:pt idx="45">
                  <c:v>2612</c:v>
                </c:pt>
              </c:numCache>
            </c:numRef>
          </c:xVal>
          <c:yVal>
            <c:numRef>
              <c:f>'After Oring 29May'!$F$66:$F$111</c:f>
              <c:numCache>
                <c:formatCode>General</c:formatCode>
                <c:ptCount val="46"/>
                <c:pt idx="0">
                  <c:v>-2.444</c:v>
                </c:pt>
                <c:pt idx="1">
                  <c:v>-2.4580000000000002</c:v>
                </c:pt>
                <c:pt idx="2">
                  <c:v>-2.3929999999999998</c:v>
                </c:pt>
                <c:pt idx="3">
                  <c:v>-2.4239999999999999</c:v>
                </c:pt>
                <c:pt idx="4">
                  <c:v>-2.5270000000000001</c:v>
                </c:pt>
                <c:pt idx="5">
                  <c:v>-2.5209999999999999</c:v>
                </c:pt>
                <c:pt idx="6">
                  <c:v>-2.5790000000000002</c:v>
                </c:pt>
                <c:pt idx="7">
                  <c:v>-2.5070000000000001</c:v>
                </c:pt>
                <c:pt idx="8">
                  <c:v>-2.6320000000000001</c:v>
                </c:pt>
                <c:pt idx="9">
                  <c:v>-2.4689999999999999</c:v>
                </c:pt>
                <c:pt idx="10">
                  <c:v>-2.5150000000000001</c:v>
                </c:pt>
                <c:pt idx="11">
                  <c:v>-2.5449999999999999</c:v>
                </c:pt>
                <c:pt idx="12">
                  <c:v>-2.6509999999999998</c:v>
                </c:pt>
                <c:pt idx="13">
                  <c:v>-2.339</c:v>
                </c:pt>
                <c:pt idx="14">
                  <c:v>-2.5979999999999999</c:v>
                </c:pt>
                <c:pt idx="15">
                  <c:v>-2.5190000000000001</c:v>
                </c:pt>
                <c:pt idx="16">
                  <c:v>-2.5350000000000001</c:v>
                </c:pt>
                <c:pt idx="17">
                  <c:v>-2.5030000000000001</c:v>
                </c:pt>
                <c:pt idx="18">
                  <c:v>-2.5419999999999998</c:v>
                </c:pt>
                <c:pt idx="19">
                  <c:v>-2.4079999999999999</c:v>
                </c:pt>
                <c:pt idx="20">
                  <c:v>-2.625</c:v>
                </c:pt>
                <c:pt idx="21">
                  <c:v>-2.4630000000000001</c:v>
                </c:pt>
                <c:pt idx="22">
                  <c:v>-2.448</c:v>
                </c:pt>
                <c:pt idx="23">
                  <c:v>-2.4289999999999998</c:v>
                </c:pt>
                <c:pt idx="24">
                  <c:v>-2.5750000000000002</c:v>
                </c:pt>
                <c:pt idx="25">
                  <c:v>-2.339</c:v>
                </c:pt>
                <c:pt idx="26">
                  <c:v>-2.5350000000000001</c:v>
                </c:pt>
                <c:pt idx="27">
                  <c:v>-2.6230000000000002</c:v>
                </c:pt>
                <c:pt idx="28">
                  <c:v>-2.3889999999999998</c:v>
                </c:pt>
                <c:pt idx="29">
                  <c:v>-2.512</c:v>
                </c:pt>
                <c:pt idx="30">
                  <c:v>-2.6019999999999999</c:v>
                </c:pt>
                <c:pt idx="31">
                  <c:v>-2.4380000000000002</c:v>
                </c:pt>
                <c:pt idx="32">
                  <c:v>-2.5009999999999999</c:v>
                </c:pt>
                <c:pt idx="33">
                  <c:v>-2.6059999999999999</c:v>
                </c:pt>
                <c:pt idx="34">
                  <c:v>-2.3370000000000002</c:v>
                </c:pt>
                <c:pt idx="35">
                  <c:v>-2.67</c:v>
                </c:pt>
                <c:pt idx="36">
                  <c:v>-2.4239999999999999</c:v>
                </c:pt>
                <c:pt idx="37">
                  <c:v>-2.69</c:v>
                </c:pt>
                <c:pt idx="38">
                  <c:v>-2.444</c:v>
                </c:pt>
                <c:pt idx="39">
                  <c:v>-2.5339999999999998</c:v>
                </c:pt>
                <c:pt idx="40">
                  <c:v>-2.5859999999999999</c:v>
                </c:pt>
                <c:pt idx="41">
                  <c:v>-2.4860000000000002</c:v>
                </c:pt>
                <c:pt idx="42">
                  <c:v>-2.4969999999999999</c:v>
                </c:pt>
                <c:pt idx="43">
                  <c:v>-2.4079999999999999</c:v>
                </c:pt>
                <c:pt idx="44">
                  <c:v>-2.5150000000000001</c:v>
                </c:pt>
                <c:pt idx="45">
                  <c:v>-2.48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91456"/>
        <c:axId val="123617280"/>
      </c:scatterChart>
      <c:valAx>
        <c:axId val="121691456"/>
        <c:scaling>
          <c:orientation val="minMax"/>
          <c:max val="7000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Initial intensity (mV)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617280"/>
        <c:crosses val="max"/>
        <c:crossBetween val="midCat"/>
      </c:valAx>
      <c:valAx>
        <c:axId val="123617280"/>
        <c:scaling>
          <c:orientation val="minMax"/>
          <c:min val="-9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Isotope ratio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691456"/>
        <c:crosses val="autoZero"/>
        <c:crossBetween val="midCat"/>
      </c:valAx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7.4393251584089562E-2"/>
          <c:y val="0.87110672972534531"/>
          <c:w val="0.67708640375057327"/>
          <c:h val="9.9356666955092154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" l="0.70000000000000095" r="0.70000000000000095" t="0.750000000000001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d13C means</a:t>
            </a:r>
          </a:p>
        </c:rich>
      </c:tx>
      <c:layout>
        <c:manualLayout>
          <c:xMode val="edge"/>
          <c:yMode val="edge"/>
          <c:x val="0.756361326720281"/>
          <c:y val="0.73231716405819647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15323647112699"/>
          <c:y val="0.18112744756463001"/>
          <c:w val="0.85793892667917104"/>
          <c:h val="0.5759224827482935"/>
        </c:manualLayout>
      </c:layout>
      <c:scatterChart>
        <c:scatterStyle val="lineMarker"/>
        <c:varyColors val="0"/>
        <c:ser>
          <c:idx val="0"/>
          <c:order val="0"/>
          <c:tx>
            <c:v>Previous d13C</c:v>
          </c:tx>
          <c:spPr>
            <a:ln w="28575">
              <a:noFill/>
            </a:ln>
          </c:spPr>
          <c:marker>
            <c:symbol val="diamond"/>
            <c:size val="6"/>
            <c:spPr>
              <a:noFill/>
            </c:spPr>
          </c:marker>
          <c:xVal>
            <c:numRef>
              <c:f>'After instal'!$AJ$6:$AJ$117</c:f>
              <c:numCache>
                <c:formatCode>General</c:formatCode>
                <c:ptCount val="112"/>
                <c:pt idx="0">
                  <c:v>1775</c:v>
                </c:pt>
                <c:pt idx="1">
                  <c:v>1729</c:v>
                </c:pt>
                <c:pt idx="2">
                  <c:v>1375</c:v>
                </c:pt>
                <c:pt idx="3">
                  <c:v>1177</c:v>
                </c:pt>
                <c:pt idx="4">
                  <c:v>1187</c:v>
                </c:pt>
                <c:pt idx="5">
                  <c:v>1195</c:v>
                </c:pt>
                <c:pt idx="6">
                  <c:v>1652</c:v>
                </c:pt>
                <c:pt idx="7">
                  <c:v>1146</c:v>
                </c:pt>
                <c:pt idx="10">
                  <c:v>1321</c:v>
                </c:pt>
                <c:pt idx="11">
                  <c:v>903</c:v>
                </c:pt>
                <c:pt idx="12">
                  <c:v>1068</c:v>
                </c:pt>
                <c:pt idx="13">
                  <c:v>1558</c:v>
                </c:pt>
                <c:pt idx="14">
                  <c:v>1676</c:v>
                </c:pt>
                <c:pt idx="15">
                  <c:v>1427</c:v>
                </c:pt>
                <c:pt idx="16">
                  <c:v>917</c:v>
                </c:pt>
                <c:pt idx="17">
                  <c:v>1532</c:v>
                </c:pt>
                <c:pt idx="18">
                  <c:v>1593</c:v>
                </c:pt>
                <c:pt idx="19">
                  <c:v>1711</c:v>
                </c:pt>
                <c:pt idx="20">
                  <c:v>1635</c:v>
                </c:pt>
                <c:pt idx="21">
                  <c:v>1641</c:v>
                </c:pt>
                <c:pt idx="24">
                  <c:v>9</c:v>
                </c:pt>
                <c:pt idx="27">
                  <c:v>1355</c:v>
                </c:pt>
                <c:pt idx="28">
                  <c:v>1513</c:v>
                </c:pt>
                <c:pt idx="29">
                  <c:v>1748</c:v>
                </c:pt>
                <c:pt idx="32">
                  <c:v>967</c:v>
                </c:pt>
                <c:pt idx="33">
                  <c:v>1496</c:v>
                </c:pt>
                <c:pt idx="34">
                  <c:v>1185</c:v>
                </c:pt>
                <c:pt idx="35">
                  <c:v>1097</c:v>
                </c:pt>
                <c:pt idx="36">
                  <c:v>1386</c:v>
                </c:pt>
                <c:pt idx="37">
                  <c:v>942</c:v>
                </c:pt>
                <c:pt idx="40">
                  <c:v>1201</c:v>
                </c:pt>
                <c:pt idx="41">
                  <c:v>1540</c:v>
                </c:pt>
                <c:pt idx="42">
                  <c:v>2014</c:v>
                </c:pt>
                <c:pt idx="43">
                  <c:v>1622</c:v>
                </c:pt>
                <c:pt idx="44">
                  <c:v>1696</c:v>
                </c:pt>
                <c:pt idx="45">
                  <c:v>1644</c:v>
                </c:pt>
                <c:pt idx="48">
                  <c:v>1614</c:v>
                </c:pt>
                <c:pt idx="49">
                  <c:v>1382</c:v>
                </c:pt>
                <c:pt idx="50">
                  <c:v>1399</c:v>
                </c:pt>
                <c:pt idx="51">
                  <c:v>1679</c:v>
                </c:pt>
                <c:pt idx="52">
                  <c:v>1809</c:v>
                </c:pt>
                <c:pt idx="53">
                  <c:v>1454</c:v>
                </c:pt>
                <c:pt idx="58">
                  <c:v>631</c:v>
                </c:pt>
                <c:pt idx="59">
                  <c:v>12</c:v>
                </c:pt>
                <c:pt idx="60">
                  <c:v>407</c:v>
                </c:pt>
                <c:pt idx="61">
                  <c:v>245</c:v>
                </c:pt>
                <c:pt idx="62">
                  <c:v>435</c:v>
                </c:pt>
                <c:pt idx="65">
                  <c:v>1061</c:v>
                </c:pt>
                <c:pt idx="66">
                  <c:v>888</c:v>
                </c:pt>
                <c:pt idx="67">
                  <c:v>646</c:v>
                </c:pt>
                <c:pt idx="68">
                  <c:v>1149</c:v>
                </c:pt>
                <c:pt idx="69">
                  <c:v>1310</c:v>
                </c:pt>
                <c:pt idx="72">
                  <c:v>1467</c:v>
                </c:pt>
                <c:pt idx="73">
                  <c:v>1527</c:v>
                </c:pt>
                <c:pt idx="74">
                  <c:v>1519</c:v>
                </c:pt>
                <c:pt idx="75">
                  <c:v>1444</c:v>
                </c:pt>
                <c:pt idx="76">
                  <c:v>1112</c:v>
                </c:pt>
                <c:pt idx="81">
                  <c:v>3698</c:v>
                </c:pt>
                <c:pt idx="82">
                  <c:v>3878</c:v>
                </c:pt>
                <c:pt idx="83">
                  <c:v>3608</c:v>
                </c:pt>
                <c:pt idx="84">
                  <c:v>3130</c:v>
                </c:pt>
                <c:pt idx="85">
                  <c:v>2954</c:v>
                </c:pt>
                <c:pt idx="86">
                  <c:v>4325</c:v>
                </c:pt>
                <c:pt idx="87">
                  <c:v>4032</c:v>
                </c:pt>
                <c:pt idx="88">
                  <c:v>3096</c:v>
                </c:pt>
                <c:pt idx="93">
                  <c:v>4090</c:v>
                </c:pt>
                <c:pt idx="96">
                  <c:v>2672</c:v>
                </c:pt>
                <c:pt idx="97">
                  <c:v>2761</c:v>
                </c:pt>
                <c:pt idx="98">
                  <c:v>3662</c:v>
                </c:pt>
                <c:pt idx="99">
                  <c:v>3629</c:v>
                </c:pt>
                <c:pt idx="100">
                  <c:v>3554</c:v>
                </c:pt>
                <c:pt idx="101">
                  <c:v>982</c:v>
                </c:pt>
                <c:pt idx="106">
                  <c:v>1600</c:v>
                </c:pt>
                <c:pt idx="109">
                  <c:v>3209</c:v>
                </c:pt>
                <c:pt idx="110">
                  <c:v>2731</c:v>
                </c:pt>
                <c:pt idx="111">
                  <c:v>8</c:v>
                </c:pt>
              </c:numCache>
            </c:numRef>
          </c:xVal>
          <c:yVal>
            <c:numRef>
              <c:f>'After instal'!$D$6:$D$117</c:f>
              <c:numCache>
                <c:formatCode>General</c:formatCode>
                <c:ptCount val="112"/>
                <c:pt idx="0">
                  <c:v>1.768</c:v>
                </c:pt>
                <c:pt idx="1">
                  <c:v>1.8859999999999999</c:v>
                </c:pt>
                <c:pt idx="2">
                  <c:v>1.8240000000000001</c:v>
                </c:pt>
                <c:pt idx="3">
                  <c:v>1.9370000000000001</c:v>
                </c:pt>
                <c:pt idx="4">
                  <c:v>1.869</c:v>
                </c:pt>
                <c:pt idx="5">
                  <c:v>1.917</c:v>
                </c:pt>
                <c:pt idx="6">
                  <c:v>1.859</c:v>
                </c:pt>
                <c:pt idx="7">
                  <c:v>1.988</c:v>
                </c:pt>
                <c:pt idx="10">
                  <c:v>1.841</c:v>
                </c:pt>
                <c:pt idx="11">
                  <c:v>1.756</c:v>
                </c:pt>
                <c:pt idx="12">
                  <c:v>1.8580000000000001</c:v>
                </c:pt>
                <c:pt idx="13">
                  <c:v>1.8420000000000001</c:v>
                </c:pt>
                <c:pt idx="14">
                  <c:v>1.87</c:v>
                </c:pt>
                <c:pt idx="15">
                  <c:v>1.8240000000000001</c:v>
                </c:pt>
                <c:pt idx="16">
                  <c:v>1.7470000000000001</c:v>
                </c:pt>
                <c:pt idx="17">
                  <c:v>1.8080000000000001</c:v>
                </c:pt>
                <c:pt idx="18">
                  <c:v>1.8660000000000001</c:v>
                </c:pt>
                <c:pt idx="19">
                  <c:v>1.8</c:v>
                </c:pt>
                <c:pt idx="20">
                  <c:v>1.8540000000000001</c:v>
                </c:pt>
                <c:pt idx="21">
                  <c:v>1.87</c:v>
                </c:pt>
                <c:pt idx="24">
                  <c:v>-12.292</c:v>
                </c:pt>
                <c:pt idx="27">
                  <c:v>1.7430000000000001</c:v>
                </c:pt>
                <c:pt idx="28">
                  <c:v>1.865</c:v>
                </c:pt>
                <c:pt idx="29">
                  <c:v>1.867</c:v>
                </c:pt>
                <c:pt idx="32">
                  <c:v>1.8420000000000001</c:v>
                </c:pt>
                <c:pt idx="33">
                  <c:v>1.86</c:v>
                </c:pt>
                <c:pt idx="34">
                  <c:v>1.87</c:v>
                </c:pt>
                <c:pt idx="35">
                  <c:v>1.9350000000000001</c:v>
                </c:pt>
                <c:pt idx="36">
                  <c:v>1.8360000000000001</c:v>
                </c:pt>
                <c:pt idx="37">
                  <c:v>1.8560000000000001</c:v>
                </c:pt>
                <c:pt idx="40">
                  <c:v>1.873</c:v>
                </c:pt>
                <c:pt idx="41">
                  <c:v>1.8759999999999999</c:v>
                </c:pt>
                <c:pt idx="42">
                  <c:v>1.847</c:v>
                </c:pt>
                <c:pt idx="43">
                  <c:v>1.8779999999999999</c:v>
                </c:pt>
                <c:pt idx="44">
                  <c:v>1.861</c:v>
                </c:pt>
                <c:pt idx="45">
                  <c:v>1.9350000000000001</c:v>
                </c:pt>
                <c:pt idx="48">
                  <c:v>1.7909999999999999</c:v>
                </c:pt>
                <c:pt idx="49">
                  <c:v>1.9379999999999999</c:v>
                </c:pt>
                <c:pt idx="50">
                  <c:v>1.9019999999999999</c:v>
                </c:pt>
                <c:pt idx="51">
                  <c:v>1.917</c:v>
                </c:pt>
                <c:pt idx="52">
                  <c:v>1.847</c:v>
                </c:pt>
                <c:pt idx="53">
                  <c:v>1.931</c:v>
                </c:pt>
                <c:pt idx="56">
                  <c:v>0</c:v>
                </c:pt>
                <c:pt idx="58">
                  <c:v>4.1189999999999998</c:v>
                </c:pt>
                <c:pt idx="59">
                  <c:v>-6.5049999999999999</c:v>
                </c:pt>
                <c:pt idx="60">
                  <c:v>0.78</c:v>
                </c:pt>
                <c:pt idx="61">
                  <c:v>0.42199999999999999</c:v>
                </c:pt>
                <c:pt idx="62">
                  <c:v>0.97699999999999998</c:v>
                </c:pt>
                <c:pt idx="65">
                  <c:v>1.859</c:v>
                </c:pt>
                <c:pt idx="66">
                  <c:v>1.764</c:v>
                </c:pt>
                <c:pt idx="67">
                  <c:v>1.4370000000000001</c:v>
                </c:pt>
                <c:pt idx="68">
                  <c:v>1.76</c:v>
                </c:pt>
                <c:pt idx="69">
                  <c:v>1.617</c:v>
                </c:pt>
                <c:pt idx="72">
                  <c:v>1.899</c:v>
                </c:pt>
                <c:pt idx="73">
                  <c:v>1.8049999999999999</c:v>
                </c:pt>
                <c:pt idx="74">
                  <c:v>1.8580000000000001</c:v>
                </c:pt>
                <c:pt idx="75">
                  <c:v>1.76</c:v>
                </c:pt>
                <c:pt idx="76">
                  <c:v>1.9059999999999999</c:v>
                </c:pt>
                <c:pt idx="79">
                  <c:v>0</c:v>
                </c:pt>
                <c:pt idx="81">
                  <c:v>1.84</c:v>
                </c:pt>
                <c:pt idx="82">
                  <c:v>1.792</c:v>
                </c:pt>
                <c:pt idx="83">
                  <c:v>1.847</c:v>
                </c:pt>
                <c:pt idx="84">
                  <c:v>1.7989999999999999</c:v>
                </c:pt>
                <c:pt idx="85">
                  <c:v>1.865</c:v>
                </c:pt>
                <c:pt idx="86">
                  <c:v>1.8340000000000001</c:v>
                </c:pt>
                <c:pt idx="87">
                  <c:v>1.8340000000000001</c:v>
                </c:pt>
                <c:pt idx="88">
                  <c:v>1.8069999999999999</c:v>
                </c:pt>
                <c:pt idx="91">
                  <c:v>0</c:v>
                </c:pt>
                <c:pt idx="93">
                  <c:v>1.8240000000000001</c:v>
                </c:pt>
                <c:pt idx="96">
                  <c:v>1.831</c:v>
                </c:pt>
                <c:pt idx="97">
                  <c:v>1.839</c:v>
                </c:pt>
                <c:pt idx="98">
                  <c:v>1.8140000000000001</c:v>
                </c:pt>
                <c:pt idx="99">
                  <c:v>1.8280000000000001</c:v>
                </c:pt>
                <c:pt idx="100">
                  <c:v>1.8049999999999999</c:v>
                </c:pt>
                <c:pt idx="101">
                  <c:v>1.915</c:v>
                </c:pt>
                <c:pt idx="104">
                  <c:v>0</c:v>
                </c:pt>
                <c:pt idx="106">
                  <c:v>4.0209999999999999</c:v>
                </c:pt>
                <c:pt idx="109">
                  <c:v>1.8480000000000001</c:v>
                </c:pt>
                <c:pt idx="110">
                  <c:v>1.833</c:v>
                </c:pt>
                <c:pt idx="111">
                  <c:v>-27.681999999999999</c:v>
                </c:pt>
              </c:numCache>
            </c:numRef>
          </c:yVal>
          <c:smooth val="0"/>
        </c:ser>
        <c:ser>
          <c:idx val="2"/>
          <c:order val="1"/>
          <c:tx>
            <c:v>d13C</c:v>
          </c:tx>
          <c:spPr>
            <a:ln w="19050">
              <a:solidFill>
                <a:schemeClr val="accent1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7000</c:v>
              </c:pt>
            </c:numLit>
          </c:xVal>
          <c:yVal>
            <c:numRef>
              <c:f>'After instal'!$D$2:$D$3</c:f>
              <c:numCache>
                <c:formatCode>General</c:formatCode>
                <c:ptCount val="2"/>
                <c:pt idx="0">
                  <c:v>1.95</c:v>
                </c:pt>
                <c:pt idx="1">
                  <c:v>1.95</c:v>
                </c:pt>
              </c:numCache>
            </c:numRef>
          </c:yVal>
          <c:smooth val="0"/>
        </c:ser>
        <c:ser>
          <c:idx val="4"/>
          <c:order val="2"/>
          <c:tx>
            <c:v>19/mai</c:v>
          </c:tx>
          <c:spPr>
            <a:ln w="28575">
              <a:noFill/>
            </a:ln>
          </c:spPr>
          <c:marker>
            <c:symbol val="diamond"/>
            <c:size val="6"/>
            <c:spPr>
              <a:solidFill>
                <a:schemeClr val="accent5"/>
              </a:solidFill>
              <a:ln>
                <a:solidFill>
                  <a:schemeClr val="accent5"/>
                </a:solidFill>
              </a:ln>
            </c:spPr>
          </c:marker>
          <c:xVal>
            <c:numRef>
              <c:f>'After software 19May'!$AJ$21:$AJ$23</c:f>
              <c:numCache>
                <c:formatCode>General</c:formatCode>
                <c:ptCount val="3"/>
                <c:pt idx="0">
                  <c:v>5574</c:v>
                </c:pt>
                <c:pt idx="1">
                  <c:v>6131</c:v>
                </c:pt>
                <c:pt idx="2">
                  <c:v>6498</c:v>
                </c:pt>
              </c:numCache>
            </c:numRef>
          </c:xVal>
          <c:yVal>
            <c:numRef>
              <c:f>'After software 19May'!$D$21:$D$23</c:f>
              <c:numCache>
                <c:formatCode>General</c:formatCode>
                <c:ptCount val="3"/>
                <c:pt idx="0">
                  <c:v>1.196</c:v>
                </c:pt>
                <c:pt idx="1">
                  <c:v>1.095</c:v>
                </c:pt>
                <c:pt idx="2">
                  <c:v>2.08</c:v>
                </c:pt>
              </c:numCache>
            </c:numRef>
          </c:yVal>
          <c:smooth val="0"/>
        </c:ser>
        <c:ser>
          <c:idx val="6"/>
          <c:order val="3"/>
          <c:tx>
            <c:v>20/mai</c:v>
          </c:tx>
          <c:spPr>
            <a:ln w="28575">
              <a:noFill/>
            </a:ln>
          </c:spPr>
          <c:marker>
            <c:symbol val="diamond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'After software 19May'!$AJ$27:$AJ$56</c:f>
              <c:numCache>
                <c:formatCode>General</c:formatCode>
                <c:ptCount val="30"/>
                <c:pt idx="0">
                  <c:v>911</c:v>
                </c:pt>
                <c:pt idx="1">
                  <c:v>1396</c:v>
                </c:pt>
                <c:pt idx="2">
                  <c:v>4528</c:v>
                </c:pt>
                <c:pt idx="3">
                  <c:v>3564</c:v>
                </c:pt>
                <c:pt idx="4">
                  <c:v>4926</c:v>
                </c:pt>
                <c:pt idx="5">
                  <c:v>5536</c:v>
                </c:pt>
                <c:pt idx="6">
                  <c:v>5235</c:v>
                </c:pt>
                <c:pt idx="7">
                  <c:v>4657</c:v>
                </c:pt>
                <c:pt idx="8">
                  <c:v>4947</c:v>
                </c:pt>
                <c:pt idx="9">
                  <c:v>5676</c:v>
                </c:pt>
                <c:pt idx="10">
                  <c:v>1154</c:v>
                </c:pt>
                <c:pt idx="11">
                  <c:v>898</c:v>
                </c:pt>
                <c:pt idx="12">
                  <c:v>2447</c:v>
                </c:pt>
                <c:pt idx="13">
                  <c:v>1987</c:v>
                </c:pt>
                <c:pt idx="14">
                  <c:v>1686</c:v>
                </c:pt>
                <c:pt idx="15">
                  <c:v>1728</c:v>
                </c:pt>
                <c:pt idx="16">
                  <c:v>2366</c:v>
                </c:pt>
                <c:pt idx="17">
                  <c:v>3404</c:v>
                </c:pt>
                <c:pt idx="18">
                  <c:v>3373</c:v>
                </c:pt>
                <c:pt idx="19">
                  <c:v>2600</c:v>
                </c:pt>
                <c:pt idx="20">
                  <c:v>4586</c:v>
                </c:pt>
                <c:pt idx="21">
                  <c:v>6009</c:v>
                </c:pt>
                <c:pt idx="22">
                  <c:v>4339</c:v>
                </c:pt>
                <c:pt idx="23">
                  <c:v>6357</c:v>
                </c:pt>
                <c:pt idx="24">
                  <c:v>7750</c:v>
                </c:pt>
                <c:pt idx="25">
                  <c:v>8073</c:v>
                </c:pt>
                <c:pt idx="26">
                  <c:v>5264</c:v>
                </c:pt>
                <c:pt idx="27">
                  <c:v>7602</c:v>
                </c:pt>
                <c:pt idx="28">
                  <c:v>7957</c:v>
                </c:pt>
                <c:pt idx="29">
                  <c:v>7509</c:v>
                </c:pt>
              </c:numCache>
            </c:numRef>
          </c:xVal>
          <c:yVal>
            <c:numRef>
              <c:f>'After software 19May'!$D$27:$D$56</c:f>
              <c:numCache>
                <c:formatCode>General</c:formatCode>
                <c:ptCount val="30"/>
                <c:pt idx="0">
                  <c:v>1.6919999999999999</c:v>
                </c:pt>
                <c:pt idx="1">
                  <c:v>2.5499999999999998</c:v>
                </c:pt>
                <c:pt idx="2">
                  <c:v>2.1659999999999999</c:v>
                </c:pt>
                <c:pt idx="3">
                  <c:v>2.073</c:v>
                </c:pt>
                <c:pt idx="4">
                  <c:v>2.1909999999999998</c:v>
                </c:pt>
                <c:pt idx="5">
                  <c:v>2.0529999999999999</c:v>
                </c:pt>
                <c:pt idx="6">
                  <c:v>2.11</c:v>
                </c:pt>
                <c:pt idx="7">
                  <c:v>2.359</c:v>
                </c:pt>
                <c:pt idx="8">
                  <c:v>2.0510000000000002</c:v>
                </c:pt>
                <c:pt idx="9">
                  <c:v>2.0739999999999998</c:v>
                </c:pt>
                <c:pt idx="10">
                  <c:v>2.1389999999999998</c:v>
                </c:pt>
                <c:pt idx="11">
                  <c:v>1.6619999999999999</c:v>
                </c:pt>
                <c:pt idx="12">
                  <c:v>2.1360000000000001</c:v>
                </c:pt>
                <c:pt idx="13">
                  <c:v>2.1560000000000001</c:v>
                </c:pt>
                <c:pt idx="14">
                  <c:v>2.0609999999999999</c:v>
                </c:pt>
                <c:pt idx="15">
                  <c:v>2.08</c:v>
                </c:pt>
                <c:pt idx="16">
                  <c:v>2.2930000000000001</c:v>
                </c:pt>
                <c:pt idx="17">
                  <c:v>2.036</c:v>
                </c:pt>
                <c:pt idx="18">
                  <c:v>2.0779999999999998</c:v>
                </c:pt>
                <c:pt idx="19">
                  <c:v>1.966</c:v>
                </c:pt>
                <c:pt idx="20">
                  <c:v>2.0270000000000001</c:v>
                </c:pt>
                <c:pt idx="21">
                  <c:v>2.2050000000000001</c:v>
                </c:pt>
                <c:pt idx="22">
                  <c:v>2.1520000000000001</c:v>
                </c:pt>
                <c:pt idx="23">
                  <c:v>2.0539999999999998</c:v>
                </c:pt>
                <c:pt idx="24">
                  <c:v>2.161</c:v>
                </c:pt>
                <c:pt idx="25">
                  <c:v>2.1389999999999998</c:v>
                </c:pt>
                <c:pt idx="26">
                  <c:v>2.1219999999999999</c:v>
                </c:pt>
                <c:pt idx="27">
                  <c:v>2.0219999999999998</c:v>
                </c:pt>
                <c:pt idx="28">
                  <c:v>2.0049999999999999</c:v>
                </c:pt>
                <c:pt idx="29">
                  <c:v>2.1240000000000001</c:v>
                </c:pt>
              </c:numCache>
            </c:numRef>
          </c:yVal>
          <c:smooth val="0"/>
        </c:ser>
        <c:ser>
          <c:idx val="1"/>
          <c:order val="4"/>
          <c:tx>
            <c:v>01/jun</c:v>
          </c:tx>
          <c:spPr>
            <a:ln w="28575">
              <a:noFill/>
            </a:ln>
          </c:spPr>
          <c:marker>
            <c:symbol val="star"/>
            <c:size val="7"/>
            <c:spPr>
              <a:ln>
                <a:solidFill>
                  <a:srgbClr val="00B050"/>
                </a:solidFill>
              </a:ln>
            </c:spPr>
          </c:marker>
          <c:xVal>
            <c:numRef>
              <c:f>'After Oring 29May'!$AG$4:$AG$49</c:f>
              <c:numCache>
                <c:formatCode>General</c:formatCode>
                <c:ptCount val="46"/>
                <c:pt idx="0">
                  <c:v>3187</c:v>
                </c:pt>
                <c:pt idx="1">
                  <c:v>2276</c:v>
                </c:pt>
                <c:pt idx="2">
                  <c:v>3361</c:v>
                </c:pt>
                <c:pt idx="3">
                  <c:v>3756</c:v>
                </c:pt>
                <c:pt idx="4">
                  <c:v>4649</c:v>
                </c:pt>
                <c:pt idx="5">
                  <c:v>3734</c:v>
                </c:pt>
                <c:pt idx="6">
                  <c:v>3920</c:v>
                </c:pt>
                <c:pt idx="7">
                  <c:v>3279</c:v>
                </c:pt>
                <c:pt idx="8">
                  <c:v>2857</c:v>
                </c:pt>
                <c:pt idx="9">
                  <c:v>4190</c:v>
                </c:pt>
                <c:pt idx="10">
                  <c:v>4582</c:v>
                </c:pt>
                <c:pt idx="11">
                  <c:v>4602</c:v>
                </c:pt>
                <c:pt idx="12">
                  <c:v>4556</c:v>
                </c:pt>
                <c:pt idx="13">
                  <c:v>3870</c:v>
                </c:pt>
                <c:pt idx="14">
                  <c:v>2820</c:v>
                </c:pt>
                <c:pt idx="15">
                  <c:v>3237</c:v>
                </c:pt>
                <c:pt idx="16">
                  <c:v>2787</c:v>
                </c:pt>
                <c:pt idx="17">
                  <c:v>4010</c:v>
                </c:pt>
                <c:pt idx="18">
                  <c:v>3366</c:v>
                </c:pt>
                <c:pt idx="19">
                  <c:v>3748</c:v>
                </c:pt>
                <c:pt idx="20">
                  <c:v>3558</c:v>
                </c:pt>
                <c:pt idx="21">
                  <c:v>3089</c:v>
                </c:pt>
                <c:pt idx="22">
                  <c:v>3068</c:v>
                </c:pt>
                <c:pt idx="23">
                  <c:v>3506</c:v>
                </c:pt>
                <c:pt idx="24">
                  <c:v>3927</c:v>
                </c:pt>
                <c:pt idx="25">
                  <c:v>3865</c:v>
                </c:pt>
                <c:pt idx="26">
                  <c:v>3021</c:v>
                </c:pt>
                <c:pt idx="27">
                  <c:v>2555</c:v>
                </c:pt>
                <c:pt idx="28">
                  <c:v>2776</c:v>
                </c:pt>
                <c:pt idx="29">
                  <c:v>4017</c:v>
                </c:pt>
                <c:pt idx="30">
                  <c:v>3580</c:v>
                </c:pt>
                <c:pt idx="31">
                  <c:v>3514</c:v>
                </c:pt>
                <c:pt idx="32">
                  <c:v>3075</c:v>
                </c:pt>
                <c:pt idx="33">
                  <c:v>2042</c:v>
                </c:pt>
                <c:pt idx="34">
                  <c:v>3403</c:v>
                </c:pt>
                <c:pt idx="35">
                  <c:v>3284</c:v>
                </c:pt>
                <c:pt idx="36">
                  <c:v>3719</c:v>
                </c:pt>
                <c:pt idx="37">
                  <c:v>3622</c:v>
                </c:pt>
                <c:pt idx="38">
                  <c:v>2559</c:v>
                </c:pt>
                <c:pt idx="39">
                  <c:v>3535</c:v>
                </c:pt>
                <c:pt idx="40">
                  <c:v>3580</c:v>
                </c:pt>
                <c:pt idx="41">
                  <c:v>2058</c:v>
                </c:pt>
                <c:pt idx="42">
                  <c:v>3723</c:v>
                </c:pt>
                <c:pt idx="43">
                  <c:v>3219</c:v>
                </c:pt>
                <c:pt idx="44">
                  <c:v>3946</c:v>
                </c:pt>
                <c:pt idx="45">
                  <c:v>3720</c:v>
                </c:pt>
              </c:numCache>
            </c:numRef>
          </c:xVal>
          <c:yVal>
            <c:numRef>
              <c:f>'After Oring 29May'!$D$4:$D$49</c:f>
              <c:numCache>
                <c:formatCode>General</c:formatCode>
                <c:ptCount val="46"/>
                <c:pt idx="0">
                  <c:v>1.206</c:v>
                </c:pt>
                <c:pt idx="1">
                  <c:v>2.4929999999999999</c:v>
                </c:pt>
                <c:pt idx="2">
                  <c:v>1.671</c:v>
                </c:pt>
                <c:pt idx="3">
                  <c:v>1.75</c:v>
                </c:pt>
                <c:pt idx="4">
                  <c:v>1.8520000000000001</c:v>
                </c:pt>
                <c:pt idx="5">
                  <c:v>1.738</c:v>
                </c:pt>
                <c:pt idx="6">
                  <c:v>1.794</c:v>
                </c:pt>
                <c:pt idx="7">
                  <c:v>1.8919999999999999</c:v>
                </c:pt>
                <c:pt idx="8">
                  <c:v>1.69</c:v>
                </c:pt>
                <c:pt idx="9">
                  <c:v>1.7849999999999999</c:v>
                </c:pt>
                <c:pt idx="10">
                  <c:v>1.843</c:v>
                </c:pt>
                <c:pt idx="11">
                  <c:v>1.82</c:v>
                </c:pt>
                <c:pt idx="12">
                  <c:v>1.8220000000000001</c:v>
                </c:pt>
                <c:pt idx="13">
                  <c:v>1.845</c:v>
                </c:pt>
                <c:pt idx="14">
                  <c:v>1.7549999999999999</c:v>
                </c:pt>
                <c:pt idx="15">
                  <c:v>1.744</c:v>
                </c:pt>
                <c:pt idx="16">
                  <c:v>1.7749999999999999</c:v>
                </c:pt>
                <c:pt idx="17">
                  <c:v>1.7809999999999999</c:v>
                </c:pt>
                <c:pt idx="18">
                  <c:v>1.7310000000000001</c:v>
                </c:pt>
                <c:pt idx="19">
                  <c:v>1.845</c:v>
                </c:pt>
                <c:pt idx="20">
                  <c:v>1.756</c:v>
                </c:pt>
                <c:pt idx="21">
                  <c:v>1.7749999999999999</c:v>
                </c:pt>
                <c:pt idx="22">
                  <c:v>1.784</c:v>
                </c:pt>
                <c:pt idx="23">
                  <c:v>1.762</c:v>
                </c:pt>
                <c:pt idx="24">
                  <c:v>1.7949999999999999</c:v>
                </c:pt>
                <c:pt idx="25">
                  <c:v>1.8240000000000001</c:v>
                </c:pt>
                <c:pt idx="26">
                  <c:v>1.679</c:v>
                </c:pt>
                <c:pt idx="27">
                  <c:v>1.6619999999999999</c:v>
                </c:pt>
                <c:pt idx="28">
                  <c:v>1.851</c:v>
                </c:pt>
                <c:pt idx="29">
                  <c:v>1.7809999999999999</c:v>
                </c:pt>
                <c:pt idx="30">
                  <c:v>1.78</c:v>
                </c:pt>
                <c:pt idx="31">
                  <c:v>1.776</c:v>
                </c:pt>
                <c:pt idx="32">
                  <c:v>1.841</c:v>
                </c:pt>
                <c:pt idx="33">
                  <c:v>1.647</c:v>
                </c:pt>
                <c:pt idx="34">
                  <c:v>1.7410000000000001</c:v>
                </c:pt>
                <c:pt idx="35">
                  <c:v>1.8720000000000001</c:v>
                </c:pt>
                <c:pt idx="36">
                  <c:v>1.7569999999999999</c:v>
                </c:pt>
                <c:pt idx="37">
                  <c:v>1.7849999999999999</c:v>
                </c:pt>
                <c:pt idx="38">
                  <c:v>1.77</c:v>
                </c:pt>
                <c:pt idx="39">
                  <c:v>1.7769999999999999</c:v>
                </c:pt>
                <c:pt idx="40">
                  <c:v>1.72</c:v>
                </c:pt>
                <c:pt idx="41">
                  <c:v>1.6839999999999999</c:v>
                </c:pt>
                <c:pt idx="42">
                  <c:v>1.8839999999999999</c:v>
                </c:pt>
                <c:pt idx="43">
                  <c:v>1.776</c:v>
                </c:pt>
                <c:pt idx="44">
                  <c:v>1.9139999999999999</c:v>
                </c:pt>
                <c:pt idx="45">
                  <c:v>1.7909999999999999</c:v>
                </c:pt>
              </c:numCache>
            </c:numRef>
          </c:yVal>
          <c:smooth val="0"/>
        </c:ser>
        <c:ser>
          <c:idx val="3"/>
          <c:order val="5"/>
          <c:tx>
            <c:v>03/jun</c:v>
          </c:tx>
          <c:spPr>
            <a:ln w="28575">
              <a:noFill/>
            </a:ln>
          </c:spPr>
          <c:marker>
            <c:spPr>
              <a:noFill/>
              <a:ln w="25400">
                <a:solidFill>
                  <a:srgbClr val="92D050"/>
                </a:solidFill>
              </a:ln>
            </c:spPr>
          </c:marker>
          <c:xVal>
            <c:numRef>
              <c:f>'After Oring 29May'!$AK$54:$AK$61</c:f>
              <c:numCache>
                <c:formatCode>General</c:formatCode>
                <c:ptCount val="8"/>
                <c:pt idx="0">
                  <c:v>3283</c:v>
                </c:pt>
                <c:pt idx="1">
                  <c:v>2571</c:v>
                </c:pt>
                <c:pt idx="2">
                  <c:v>3743</c:v>
                </c:pt>
                <c:pt idx="3">
                  <c:v>4447</c:v>
                </c:pt>
                <c:pt idx="4">
                  <c:v>3055</c:v>
                </c:pt>
                <c:pt idx="5">
                  <c:v>3105</c:v>
                </c:pt>
                <c:pt idx="6">
                  <c:v>2912</c:v>
                </c:pt>
                <c:pt idx="7">
                  <c:v>3751</c:v>
                </c:pt>
              </c:numCache>
            </c:numRef>
          </c:xVal>
          <c:yVal>
            <c:numRef>
              <c:f>'After Oring 29May'!$D$54:$D$61</c:f>
              <c:numCache>
                <c:formatCode>General</c:formatCode>
                <c:ptCount val="8"/>
                <c:pt idx="0">
                  <c:v>1.7490000000000001</c:v>
                </c:pt>
                <c:pt idx="1">
                  <c:v>1.7969999999999999</c:v>
                </c:pt>
                <c:pt idx="2">
                  <c:v>1.7689999999999999</c:v>
                </c:pt>
                <c:pt idx="3">
                  <c:v>1.905</c:v>
                </c:pt>
                <c:pt idx="4">
                  <c:v>1.6819999999999999</c:v>
                </c:pt>
                <c:pt idx="5">
                  <c:v>1.7829999999999999</c:v>
                </c:pt>
                <c:pt idx="6">
                  <c:v>1.6850000000000001</c:v>
                </c:pt>
                <c:pt idx="7">
                  <c:v>1.8160000000000001</c:v>
                </c:pt>
              </c:numCache>
            </c:numRef>
          </c:yVal>
          <c:smooth val="0"/>
        </c:ser>
        <c:ser>
          <c:idx val="5"/>
          <c:order val="6"/>
          <c:tx>
            <c:v>08/jun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5C28A8"/>
              </a:solidFill>
              <a:ln>
                <a:solidFill>
                  <a:srgbClr val="5C28A8"/>
                </a:solidFill>
              </a:ln>
            </c:spPr>
          </c:marker>
          <c:xVal>
            <c:numRef>
              <c:f>'After Oring 29May'!$AJ$66:$AJ$111</c:f>
              <c:numCache>
                <c:formatCode>General</c:formatCode>
                <c:ptCount val="46"/>
                <c:pt idx="0">
                  <c:v>2938</c:v>
                </c:pt>
                <c:pt idx="1">
                  <c:v>3096</c:v>
                </c:pt>
                <c:pt idx="2">
                  <c:v>3024</c:v>
                </c:pt>
                <c:pt idx="3">
                  <c:v>3249</c:v>
                </c:pt>
                <c:pt idx="4">
                  <c:v>2774</c:v>
                </c:pt>
                <c:pt idx="5">
                  <c:v>2110</c:v>
                </c:pt>
                <c:pt idx="6">
                  <c:v>2785</c:v>
                </c:pt>
                <c:pt idx="7">
                  <c:v>2472</c:v>
                </c:pt>
                <c:pt idx="8">
                  <c:v>2662</c:v>
                </c:pt>
                <c:pt idx="9">
                  <c:v>2638</c:v>
                </c:pt>
                <c:pt idx="10">
                  <c:v>2398</c:v>
                </c:pt>
                <c:pt idx="11">
                  <c:v>2451</c:v>
                </c:pt>
                <c:pt idx="12">
                  <c:v>1778</c:v>
                </c:pt>
                <c:pt idx="13">
                  <c:v>3839</c:v>
                </c:pt>
                <c:pt idx="14">
                  <c:v>2154</c:v>
                </c:pt>
                <c:pt idx="15">
                  <c:v>3170</c:v>
                </c:pt>
                <c:pt idx="16">
                  <c:v>3174</c:v>
                </c:pt>
                <c:pt idx="17">
                  <c:v>2307</c:v>
                </c:pt>
                <c:pt idx="18">
                  <c:v>2333</c:v>
                </c:pt>
                <c:pt idx="19">
                  <c:v>2496</c:v>
                </c:pt>
                <c:pt idx="20">
                  <c:v>2646</c:v>
                </c:pt>
                <c:pt idx="21">
                  <c:v>2786</c:v>
                </c:pt>
                <c:pt idx="22">
                  <c:v>2526</c:v>
                </c:pt>
                <c:pt idx="23">
                  <c:v>2829</c:v>
                </c:pt>
                <c:pt idx="24">
                  <c:v>2731</c:v>
                </c:pt>
                <c:pt idx="25">
                  <c:v>2645</c:v>
                </c:pt>
                <c:pt idx="26">
                  <c:v>3003</c:v>
                </c:pt>
                <c:pt idx="27">
                  <c:v>2548</c:v>
                </c:pt>
                <c:pt idx="28">
                  <c:v>2726</c:v>
                </c:pt>
                <c:pt idx="29">
                  <c:v>2605</c:v>
                </c:pt>
                <c:pt idx="30">
                  <c:v>2046</c:v>
                </c:pt>
                <c:pt idx="31">
                  <c:v>3012</c:v>
                </c:pt>
                <c:pt idx="32">
                  <c:v>2629</c:v>
                </c:pt>
                <c:pt idx="33">
                  <c:v>2514</c:v>
                </c:pt>
                <c:pt idx="34">
                  <c:v>2761</c:v>
                </c:pt>
                <c:pt idx="35">
                  <c:v>2059</c:v>
                </c:pt>
                <c:pt idx="36">
                  <c:v>2984</c:v>
                </c:pt>
                <c:pt idx="37">
                  <c:v>2784</c:v>
                </c:pt>
                <c:pt idx="38">
                  <c:v>2229</c:v>
                </c:pt>
                <c:pt idx="39">
                  <c:v>2616</c:v>
                </c:pt>
                <c:pt idx="40">
                  <c:v>2879</c:v>
                </c:pt>
                <c:pt idx="41">
                  <c:v>2423</c:v>
                </c:pt>
                <c:pt idx="42">
                  <c:v>3068</c:v>
                </c:pt>
                <c:pt idx="43">
                  <c:v>2820</c:v>
                </c:pt>
                <c:pt idx="44">
                  <c:v>2997</c:v>
                </c:pt>
                <c:pt idx="45">
                  <c:v>2612</c:v>
                </c:pt>
              </c:numCache>
            </c:numRef>
          </c:xVal>
          <c:yVal>
            <c:numRef>
              <c:f>'After Oring 29May'!$D$66:$D$111</c:f>
              <c:numCache>
                <c:formatCode>General</c:formatCode>
                <c:ptCount val="46"/>
                <c:pt idx="0">
                  <c:v>1.8340000000000001</c:v>
                </c:pt>
                <c:pt idx="1">
                  <c:v>1.8340000000000001</c:v>
                </c:pt>
                <c:pt idx="2">
                  <c:v>1.847</c:v>
                </c:pt>
                <c:pt idx="3">
                  <c:v>1.8149999999999999</c:v>
                </c:pt>
                <c:pt idx="4">
                  <c:v>1.825</c:v>
                </c:pt>
                <c:pt idx="5">
                  <c:v>1.819</c:v>
                </c:pt>
                <c:pt idx="6">
                  <c:v>1.78</c:v>
                </c:pt>
                <c:pt idx="7">
                  <c:v>1.782</c:v>
                </c:pt>
                <c:pt idx="8">
                  <c:v>1.762</c:v>
                </c:pt>
                <c:pt idx="9">
                  <c:v>1.8169999999999999</c:v>
                </c:pt>
                <c:pt idx="10">
                  <c:v>1.786</c:v>
                </c:pt>
                <c:pt idx="11">
                  <c:v>1.802</c:v>
                </c:pt>
                <c:pt idx="12">
                  <c:v>1.8540000000000001</c:v>
                </c:pt>
                <c:pt idx="13">
                  <c:v>1.8580000000000001</c:v>
                </c:pt>
                <c:pt idx="14">
                  <c:v>1.8109999999999999</c:v>
                </c:pt>
                <c:pt idx="15">
                  <c:v>1.8240000000000001</c:v>
                </c:pt>
                <c:pt idx="16">
                  <c:v>1.8260000000000001</c:v>
                </c:pt>
                <c:pt idx="17">
                  <c:v>1.8069999999999999</c:v>
                </c:pt>
                <c:pt idx="18">
                  <c:v>1.835</c:v>
                </c:pt>
                <c:pt idx="19">
                  <c:v>1.788</c:v>
                </c:pt>
                <c:pt idx="20">
                  <c:v>1.7989999999999999</c:v>
                </c:pt>
                <c:pt idx="21">
                  <c:v>1.8149999999999999</c:v>
                </c:pt>
                <c:pt idx="22">
                  <c:v>1.8380000000000001</c:v>
                </c:pt>
                <c:pt idx="23">
                  <c:v>1.87</c:v>
                </c:pt>
                <c:pt idx="24">
                  <c:v>1.8480000000000001</c:v>
                </c:pt>
                <c:pt idx="25">
                  <c:v>1.8759999999999999</c:v>
                </c:pt>
                <c:pt idx="26">
                  <c:v>1.8120000000000001</c:v>
                </c:pt>
                <c:pt idx="27">
                  <c:v>1.7829999999999999</c:v>
                </c:pt>
                <c:pt idx="28">
                  <c:v>1.8560000000000001</c:v>
                </c:pt>
                <c:pt idx="29">
                  <c:v>1.792</c:v>
                </c:pt>
                <c:pt idx="30">
                  <c:v>1.8360000000000001</c:v>
                </c:pt>
                <c:pt idx="31">
                  <c:v>1.8680000000000001</c:v>
                </c:pt>
                <c:pt idx="32">
                  <c:v>1.794</c:v>
                </c:pt>
                <c:pt idx="33">
                  <c:v>1.7909999999999999</c:v>
                </c:pt>
                <c:pt idx="34">
                  <c:v>1.929</c:v>
                </c:pt>
                <c:pt idx="35">
                  <c:v>1.784</c:v>
                </c:pt>
                <c:pt idx="36">
                  <c:v>1.885</c:v>
                </c:pt>
                <c:pt idx="37">
                  <c:v>1.7569999999999999</c:v>
                </c:pt>
                <c:pt idx="38">
                  <c:v>1.853</c:v>
                </c:pt>
                <c:pt idx="39">
                  <c:v>1.7949999999999999</c:v>
                </c:pt>
                <c:pt idx="40">
                  <c:v>1.8779999999999999</c:v>
                </c:pt>
                <c:pt idx="41">
                  <c:v>1.8049999999999999</c:v>
                </c:pt>
                <c:pt idx="42">
                  <c:v>1.865</c:v>
                </c:pt>
                <c:pt idx="43">
                  <c:v>1.89</c:v>
                </c:pt>
                <c:pt idx="44">
                  <c:v>1.8340000000000001</c:v>
                </c:pt>
                <c:pt idx="45">
                  <c:v>1.83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19584"/>
        <c:axId val="123620160"/>
      </c:scatterChart>
      <c:valAx>
        <c:axId val="123619584"/>
        <c:scaling>
          <c:orientation val="minMax"/>
          <c:max val="7000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Initial intensity (mV)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620160"/>
        <c:crosses val="max"/>
        <c:crossBetween val="midCat"/>
      </c:valAx>
      <c:valAx>
        <c:axId val="123620160"/>
        <c:scaling>
          <c:orientation val="minMax"/>
          <c:min val="-1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Isotope ratio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619584"/>
        <c:crosses val="autoZero"/>
        <c:crossBetween val="midCat"/>
      </c:valAx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7.4393251584089562E-2"/>
          <c:y val="0.87110672972534531"/>
          <c:w val="0.73207714889297371"/>
          <c:h val="9.9220375230873917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" l="0.70000000000000095" r="0.70000000000000095" t="0.750000000000001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d18O</a:t>
            </a:r>
            <a:r>
              <a:rPr lang="en-US" baseline="0"/>
              <a:t> </a:t>
            </a:r>
            <a:r>
              <a:rPr lang="en-US"/>
              <a:t>means</a:t>
            </a:r>
          </a:p>
        </c:rich>
      </c:tx>
      <c:layout>
        <c:manualLayout>
          <c:xMode val="edge"/>
          <c:yMode val="edge"/>
          <c:x val="0.77748915271213759"/>
          <c:y val="0.76521675175218484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15323647112699"/>
          <c:y val="0.18112744756463001"/>
          <c:w val="0.85793892667917104"/>
          <c:h val="0.5759224827482935"/>
        </c:manualLayout>
      </c:layout>
      <c:scatterChart>
        <c:scatterStyle val="lineMarker"/>
        <c:varyColors val="0"/>
        <c:ser>
          <c:idx val="1"/>
          <c:order val="0"/>
          <c:tx>
            <c:v>Previous d18O</c:v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</c:spPr>
          </c:marker>
          <c:xVal>
            <c:numRef>
              <c:f>'After instal'!$AJ$6:$AJ$117</c:f>
              <c:numCache>
                <c:formatCode>General</c:formatCode>
                <c:ptCount val="112"/>
                <c:pt idx="0">
                  <c:v>1775</c:v>
                </c:pt>
                <c:pt idx="1">
                  <c:v>1729</c:v>
                </c:pt>
                <c:pt idx="2">
                  <c:v>1375</c:v>
                </c:pt>
                <c:pt idx="3">
                  <c:v>1177</c:v>
                </c:pt>
                <c:pt idx="4">
                  <c:v>1187</c:v>
                </c:pt>
                <c:pt idx="5">
                  <c:v>1195</c:v>
                </c:pt>
                <c:pt idx="6">
                  <c:v>1652</c:v>
                </c:pt>
                <c:pt idx="7">
                  <c:v>1146</c:v>
                </c:pt>
                <c:pt idx="10">
                  <c:v>1321</c:v>
                </c:pt>
                <c:pt idx="11">
                  <c:v>903</c:v>
                </c:pt>
                <c:pt idx="12">
                  <c:v>1068</c:v>
                </c:pt>
                <c:pt idx="13">
                  <c:v>1558</c:v>
                </c:pt>
                <c:pt idx="14">
                  <c:v>1676</c:v>
                </c:pt>
                <c:pt idx="15">
                  <c:v>1427</c:v>
                </c:pt>
                <c:pt idx="16">
                  <c:v>917</c:v>
                </c:pt>
                <c:pt idx="17">
                  <c:v>1532</c:v>
                </c:pt>
                <c:pt idx="18">
                  <c:v>1593</c:v>
                </c:pt>
                <c:pt idx="19">
                  <c:v>1711</c:v>
                </c:pt>
                <c:pt idx="20">
                  <c:v>1635</c:v>
                </c:pt>
                <c:pt idx="21">
                  <c:v>1641</c:v>
                </c:pt>
                <c:pt idx="24">
                  <c:v>9</c:v>
                </c:pt>
                <c:pt idx="27">
                  <c:v>1355</c:v>
                </c:pt>
                <c:pt idx="28">
                  <c:v>1513</c:v>
                </c:pt>
                <c:pt idx="29">
                  <c:v>1748</c:v>
                </c:pt>
                <c:pt idx="32">
                  <c:v>967</c:v>
                </c:pt>
                <c:pt idx="33">
                  <c:v>1496</c:v>
                </c:pt>
                <c:pt idx="34">
                  <c:v>1185</c:v>
                </c:pt>
                <c:pt idx="35">
                  <c:v>1097</c:v>
                </c:pt>
                <c:pt idx="36">
                  <c:v>1386</c:v>
                </c:pt>
                <c:pt idx="37">
                  <c:v>942</c:v>
                </c:pt>
                <c:pt idx="40">
                  <c:v>1201</c:v>
                </c:pt>
                <c:pt idx="41">
                  <c:v>1540</c:v>
                </c:pt>
                <c:pt idx="42">
                  <c:v>2014</c:v>
                </c:pt>
                <c:pt idx="43">
                  <c:v>1622</c:v>
                </c:pt>
                <c:pt idx="44">
                  <c:v>1696</c:v>
                </c:pt>
                <c:pt idx="45">
                  <c:v>1644</c:v>
                </c:pt>
                <c:pt idx="48">
                  <c:v>1614</c:v>
                </c:pt>
                <c:pt idx="49">
                  <c:v>1382</c:v>
                </c:pt>
                <c:pt idx="50">
                  <c:v>1399</c:v>
                </c:pt>
                <c:pt idx="51">
                  <c:v>1679</c:v>
                </c:pt>
                <c:pt idx="52">
                  <c:v>1809</c:v>
                </c:pt>
                <c:pt idx="53">
                  <c:v>1454</c:v>
                </c:pt>
                <c:pt idx="58">
                  <c:v>631</c:v>
                </c:pt>
                <c:pt idx="59">
                  <c:v>12</c:v>
                </c:pt>
                <c:pt idx="60">
                  <c:v>407</c:v>
                </c:pt>
                <c:pt idx="61">
                  <c:v>245</c:v>
                </c:pt>
                <c:pt idx="62">
                  <c:v>435</c:v>
                </c:pt>
                <c:pt idx="65">
                  <c:v>1061</c:v>
                </c:pt>
                <c:pt idx="66">
                  <c:v>888</c:v>
                </c:pt>
                <c:pt idx="67">
                  <c:v>646</c:v>
                </c:pt>
                <c:pt idx="68">
                  <c:v>1149</c:v>
                </c:pt>
                <c:pt idx="69">
                  <c:v>1310</c:v>
                </c:pt>
                <c:pt idx="72">
                  <c:v>1467</c:v>
                </c:pt>
                <c:pt idx="73">
                  <c:v>1527</c:v>
                </c:pt>
                <c:pt idx="74">
                  <c:v>1519</c:v>
                </c:pt>
                <c:pt idx="75">
                  <c:v>1444</c:v>
                </c:pt>
                <c:pt idx="76">
                  <c:v>1112</c:v>
                </c:pt>
                <c:pt idx="81">
                  <c:v>3698</c:v>
                </c:pt>
                <c:pt idx="82">
                  <c:v>3878</c:v>
                </c:pt>
                <c:pt idx="83">
                  <c:v>3608</c:v>
                </c:pt>
                <c:pt idx="84">
                  <c:v>3130</c:v>
                </c:pt>
                <c:pt idx="85">
                  <c:v>2954</c:v>
                </c:pt>
                <c:pt idx="86">
                  <c:v>4325</c:v>
                </c:pt>
                <c:pt idx="87">
                  <c:v>4032</c:v>
                </c:pt>
                <c:pt idx="88">
                  <c:v>3096</c:v>
                </c:pt>
                <c:pt idx="93">
                  <c:v>4090</c:v>
                </c:pt>
                <c:pt idx="96">
                  <c:v>2672</c:v>
                </c:pt>
                <c:pt idx="97">
                  <c:v>2761</c:v>
                </c:pt>
                <c:pt idx="98">
                  <c:v>3662</c:v>
                </c:pt>
                <c:pt idx="99">
                  <c:v>3629</c:v>
                </c:pt>
                <c:pt idx="100">
                  <c:v>3554</c:v>
                </c:pt>
                <c:pt idx="101">
                  <c:v>982</c:v>
                </c:pt>
                <c:pt idx="106">
                  <c:v>1600</c:v>
                </c:pt>
                <c:pt idx="109">
                  <c:v>3209</c:v>
                </c:pt>
                <c:pt idx="110">
                  <c:v>2731</c:v>
                </c:pt>
                <c:pt idx="111">
                  <c:v>8</c:v>
                </c:pt>
              </c:numCache>
            </c:numRef>
          </c:xVal>
          <c:yVal>
            <c:numRef>
              <c:f>'After instal'!$F$6:$F$117</c:f>
              <c:numCache>
                <c:formatCode>General</c:formatCode>
                <c:ptCount val="112"/>
                <c:pt idx="0">
                  <c:v>-2.4319999999999999</c:v>
                </c:pt>
                <c:pt idx="1">
                  <c:v>-2.1040000000000001</c:v>
                </c:pt>
                <c:pt idx="2">
                  <c:v>-2.339</c:v>
                </c:pt>
                <c:pt idx="3">
                  <c:v>-2.0630000000000002</c:v>
                </c:pt>
                <c:pt idx="4">
                  <c:v>-2.2970000000000002</c:v>
                </c:pt>
                <c:pt idx="5">
                  <c:v>-2.1259999999999999</c:v>
                </c:pt>
                <c:pt idx="6">
                  <c:v>-2.3029999999999999</c:v>
                </c:pt>
                <c:pt idx="7">
                  <c:v>-2.2480000000000002</c:v>
                </c:pt>
                <c:pt idx="10">
                  <c:v>-2.4569999999999999</c:v>
                </c:pt>
                <c:pt idx="11">
                  <c:v>-3.0129999999999999</c:v>
                </c:pt>
                <c:pt idx="12">
                  <c:v>-3.0680000000000001</c:v>
                </c:pt>
                <c:pt idx="13">
                  <c:v>-2.177</c:v>
                </c:pt>
                <c:pt idx="14">
                  <c:v>-2.3730000000000002</c:v>
                </c:pt>
                <c:pt idx="15">
                  <c:v>-2.1789999999999998</c:v>
                </c:pt>
                <c:pt idx="16">
                  <c:v>-3.3929999999999998</c:v>
                </c:pt>
                <c:pt idx="17">
                  <c:v>-2.17</c:v>
                </c:pt>
                <c:pt idx="18">
                  <c:v>-2.5099999999999998</c:v>
                </c:pt>
                <c:pt idx="19">
                  <c:v>-2.278</c:v>
                </c:pt>
                <c:pt idx="20">
                  <c:v>-2.4969999999999999</c:v>
                </c:pt>
                <c:pt idx="21">
                  <c:v>-2.2120000000000002</c:v>
                </c:pt>
                <c:pt idx="24">
                  <c:v>-18.856999999999999</c:v>
                </c:pt>
                <c:pt idx="27">
                  <c:v>-2.6890000000000001</c:v>
                </c:pt>
                <c:pt idx="28">
                  <c:v>-2.3610000000000002</c:v>
                </c:pt>
                <c:pt idx="29">
                  <c:v>-2.2730000000000001</c:v>
                </c:pt>
                <c:pt idx="32">
                  <c:v>-3.4609999999999999</c:v>
                </c:pt>
                <c:pt idx="33">
                  <c:v>-2.1840000000000002</c:v>
                </c:pt>
                <c:pt idx="34">
                  <c:v>-2.633</c:v>
                </c:pt>
                <c:pt idx="35">
                  <c:v>-2.4300000000000002</c:v>
                </c:pt>
                <c:pt idx="36">
                  <c:v>-2.5649999999999999</c:v>
                </c:pt>
                <c:pt idx="37">
                  <c:v>-2.7869999999999999</c:v>
                </c:pt>
                <c:pt idx="40">
                  <c:v>-2.6160000000000001</c:v>
                </c:pt>
                <c:pt idx="41">
                  <c:v>-2.2669999999999999</c:v>
                </c:pt>
                <c:pt idx="42">
                  <c:v>-2.5310000000000001</c:v>
                </c:pt>
                <c:pt idx="43">
                  <c:v>-2.234</c:v>
                </c:pt>
                <c:pt idx="44">
                  <c:v>-2.5430000000000001</c:v>
                </c:pt>
                <c:pt idx="45">
                  <c:v>-2.1859999999999999</c:v>
                </c:pt>
                <c:pt idx="48">
                  <c:v>-2.5230000000000001</c:v>
                </c:pt>
                <c:pt idx="49">
                  <c:v>-2.2040000000000002</c:v>
                </c:pt>
                <c:pt idx="50">
                  <c:v>-2.4950000000000001</c:v>
                </c:pt>
                <c:pt idx="51">
                  <c:v>-2.1560000000000001</c:v>
                </c:pt>
                <c:pt idx="52">
                  <c:v>-2.4500000000000002</c:v>
                </c:pt>
                <c:pt idx="53">
                  <c:v>-2.0950000000000002</c:v>
                </c:pt>
                <c:pt idx="56">
                  <c:v>0</c:v>
                </c:pt>
                <c:pt idx="58">
                  <c:v>-9.7859999999999996</c:v>
                </c:pt>
                <c:pt idx="59">
                  <c:v>-26.547999999999998</c:v>
                </c:pt>
                <c:pt idx="60">
                  <c:v>-8.968</c:v>
                </c:pt>
                <c:pt idx="61">
                  <c:v>-30.312000000000001</c:v>
                </c:pt>
                <c:pt idx="62">
                  <c:v>-9.1479999999999997</c:v>
                </c:pt>
                <c:pt idx="65">
                  <c:v>-3.6779999999999999</c:v>
                </c:pt>
                <c:pt idx="66">
                  <c:v>-2.9660000000000002</c:v>
                </c:pt>
                <c:pt idx="67">
                  <c:v>-4.5949999999999998</c:v>
                </c:pt>
                <c:pt idx="68">
                  <c:v>-2.7040000000000002</c:v>
                </c:pt>
                <c:pt idx="69">
                  <c:v>-3.3490000000000002</c:v>
                </c:pt>
                <c:pt idx="72">
                  <c:v>-2.3839999999999999</c:v>
                </c:pt>
                <c:pt idx="73">
                  <c:v>-2.1669999999999998</c:v>
                </c:pt>
                <c:pt idx="74">
                  <c:v>-2.3959999999999999</c:v>
                </c:pt>
                <c:pt idx="75">
                  <c:v>-2.157</c:v>
                </c:pt>
                <c:pt idx="76">
                  <c:v>-2.847</c:v>
                </c:pt>
                <c:pt idx="79">
                  <c:v>0</c:v>
                </c:pt>
                <c:pt idx="81">
                  <c:v>-2.0939999999999999</c:v>
                </c:pt>
                <c:pt idx="82">
                  <c:v>-2.258</c:v>
                </c:pt>
                <c:pt idx="83">
                  <c:v>-2.3119999999999998</c:v>
                </c:pt>
                <c:pt idx="84">
                  <c:v>-2.4209999999999998</c:v>
                </c:pt>
                <c:pt idx="85">
                  <c:v>-2.2679999999999998</c:v>
                </c:pt>
                <c:pt idx="86">
                  <c:v>-2.3879999999999999</c:v>
                </c:pt>
                <c:pt idx="87">
                  <c:v>-2.3090000000000002</c:v>
                </c:pt>
                <c:pt idx="88">
                  <c:v>-2.6080000000000001</c:v>
                </c:pt>
                <c:pt idx="91">
                  <c:v>0</c:v>
                </c:pt>
                <c:pt idx="93">
                  <c:v>-2.2930000000000001</c:v>
                </c:pt>
                <c:pt idx="96">
                  <c:v>-2.2879999999999998</c:v>
                </c:pt>
                <c:pt idx="97">
                  <c:v>-2.2949999999999999</c:v>
                </c:pt>
                <c:pt idx="98">
                  <c:v>-2.347</c:v>
                </c:pt>
                <c:pt idx="99">
                  <c:v>-2.2309999999999999</c:v>
                </c:pt>
                <c:pt idx="100">
                  <c:v>-2.35</c:v>
                </c:pt>
                <c:pt idx="101">
                  <c:v>-2.7120000000000002</c:v>
                </c:pt>
                <c:pt idx="104">
                  <c:v>0</c:v>
                </c:pt>
                <c:pt idx="106">
                  <c:v>1.123</c:v>
                </c:pt>
                <c:pt idx="109">
                  <c:v>-2.2789999999999999</c:v>
                </c:pt>
                <c:pt idx="110">
                  <c:v>-2.367</c:v>
                </c:pt>
                <c:pt idx="111">
                  <c:v>-14.964</c:v>
                </c:pt>
              </c:numCache>
            </c:numRef>
          </c:yVal>
          <c:smooth val="0"/>
        </c:ser>
        <c:ser>
          <c:idx val="3"/>
          <c:order val="1"/>
          <c:tx>
            <c:v>d18O</c:v>
          </c:tx>
          <c:spPr>
            <a:ln w="19050">
              <a:solidFill>
                <a:schemeClr val="accent2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7000</c:v>
              </c:pt>
            </c:numLit>
          </c:xVal>
          <c:yVal>
            <c:numRef>
              <c:f>'After instal'!$F$2:$F$3</c:f>
              <c:numCache>
                <c:formatCode>General</c:formatCode>
                <c:ptCount val="2"/>
                <c:pt idx="0">
                  <c:v>-2.2000000000000002</c:v>
                </c:pt>
                <c:pt idx="1">
                  <c:v>-2.2000000000000002</c:v>
                </c:pt>
              </c:numCache>
            </c:numRef>
          </c:yVal>
          <c:smooth val="0"/>
        </c:ser>
        <c:ser>
          <c:idx val="0"/>
          <c:order val="2"/>
          <c:tx>
            <c:v>01/jun</c:v>
          </c:tx>
          <c:spPr>
            <a:ln w="28575">
              <a:noFill/>
            </a:ln>
          </c:spPr>
          <c:marker>
            <c:symbol val="star"/>
            <c:size val="7"/>
            <c:spPr>
              <a:ln>
                <a:solidFill>
                  <a:schemeClr val="accent6"/>
                </a:solidFill>
              </a:ln>
            </c:spPr>
          </c:marker>
          <c:xVal>
            <c:numRef>
              <c:f>'After Oring 29May'!$AG$4:$AG$49</c:f>
              <c:numCache>
                <c:formatCode>General</c:formatCode>
                <c:ptCount val="46"/>
                <c:pt idx="0">
                  <c:v>3187</c:v>
                </c:pt>
                <c:pt idx="1">
                  <c:v>2276</c:v>
                </c:pt>
                <c:pt idx="2">
                  <c:v>3361</c:v>
                </c:pt>
                <c:pt idx="3">
                  <c:v>3756</c:v>
                </c:pt>
                <c:pt idx="4">
                  <c:v>4649</c:v>
                </c:pt>
                <c:pt idx="5">
                  <c:v>3734</c:v>
                </c:pt>
                <c:pt idx="6">
                  <c:v>3920</c:v>
                </c:pt>
                <c:pt idx="7">
                  <c:v>3279</c:v>
                </c:pt>
                <c:pt idx="8">
                  <c:v>2857</c:v>
                </c:pt>
                <c:pt idx="9">
                  <c:v>4190</c:v>
                </c:pt>
                <c:pt idx="10">
                  <c:v>4582</c:v>
                </c:pt>
                <c:pt idx="11">
                  <c:v>4602</c:v>
                </c:pt>
                <c:pt idx="12">
                  <c:v>4556</c:v>
                </c:pt>
                <c:pt idx="13">
                  <c:v>3870</c:v>
                </c:pt>
                <c:pt idx="14">
                  <c:v>2820</c:v>
                </c:pt>
                <c:pt idx="15">
                  <c:v>3237</c:v>
                </c:pt>
                <c:pt idx="16">
                  <c:v>2787</c:v>
                </c:pt>
                <c:pt idx="17">
                  <c:v>4010</c:v>
                </c:pt>
                <c:pt idx="18">
                  <c:v>3366</c:v>
                </c:pt>
                <c:pt idx="19">
                  <c:v>3748</c:v>
                </c:pt>
                <c:pt idx="20">
                  <c:v>3558</c:v>
                </c:pt>
                <c:pt idx="21">
                  <c:v>3089</c:v>
                </c:pt>
                <c:pt idx="22">
                  <c:v>3068</c:v>
                </c:pt>
                <c:pt idx="23">
                  <c:v>3506</c:v>
                </c:pt>
                <c:pt idx="24">
                  <c:v>3927</c:v>
                </c:pt>
                <c:pt idx="25">
                  <c:v>3865</c:v>
                </c:pt>
                <c:pt idx="26">
                  <c:v>3021</c:v>
                </c:pt>
                <c:pt idx="27">
                  <c:v>2555</c:v>
                </c:pt>
                <c:pt idx="28">
                  <c:v>2776</c:v>
                </c:pt>
                <c:pt idx="29">
                  <c:v>4017</c:v>
                </c:pt>
                <c:pt idx="30">
                  <c:v>3580</c:v>
                </c:pt>
                <c:pt idx="31">
                  <c:v>3514</c:v>
                </c:pt>
                <c:pt idx="32">
                  <c:v>3075</c:v>
                </c:pt>
                <c:pt idx="33">
                  <c:v>2042</c:v>
                </c:pt>
                <c:pt idx="34">
                  <c:v>3403</c:v>
                </c:pt>
                <c:pt idx="35">
                  <c:v>3284</c:v>
                </c:pt>
                <c:pt idx="36">
                  <c:v>3719</c:v>
                </c:pt>
                <c:pt idx="37">
                  <c:v>3622</c:v>
                </c:pt>
                <c:pt idx="38">
                  <c:v>2559</c:v>
                </c:pt>
                <c:pt idx="39">
                  <c:v>3535</c:v>
                </c:pt>
                <c:pt idx="40">
                  <c:v>3580</c:v>
                </c:pt>
                <c:pt idx="41">
                  <c:v>2058</c:v>
                </c:pt>
                <c:pt idx="42">
                  <c:v>3723</c:v>
                </c:pt>
                <c:pt idx="43">
                  <c:v>3219</c:v>
                </c:pt>
                <c:pt idx="44">
                  <c:v>3946</c:v>
                </c:pt>
                <c:pt idx="45">
                  <c:v>3720</c:v>
                </c:pt>
              </c:numCache>
            </c:numRef>
          </c:xVal>
          <c:yVal>
            <c:numRef>
              <c:f>'After Oring 29May'!$F$4:$F$49</c:f>
              <c:numCache>
                <c:formatCode>General</c:formatCode>
                <c:ptCount val="46"/>
                <c:pt idx="0">
                  <c:v>-5.149</c:v>
                </c:pt>
                <c:pt idx="1">
                  <c:v>-1.3859999999999999</c:v>
                </c:pt>
                <c:pt idx="2">
                  <c:v>-3.16</c:v>
                </c:pt>
                <c:pt idx="3">
                  <c:v>-3.407</c:v>
                </c:pt>
                <c:pt idx="4">
                  <c:v>-2.625</c:v>
                </c:pt>
                <c:pt idx="5">
                  <c:v>-3.1749999999999998</c:v>
                </c:pt>
                <c:pt idx="6">
                  <c:v>-3.8620000000000001</c:v>
                </c:pt>
                <c:pt idx="7">
                  <c:v>-2.464</c:v>
                </c:pt>
                <c:pt idx="8">
                  <c:v>-3.2360000000000002</c:v>
                </c:pt>
                <c:pt idx="9">
                  <c:v>-3.4350000000000001</c:v>
                </c:pt>
                <c:pt idx="10">
                  <c:v>-2.4529999999999998</c:v>
                </c:pt>
                <c:pt idx="11">
                  <c:v>-2.7989999999999999</c:v>
                </c:pt>
                <c:pt idx="12">
                  <c:v>-3.5049999999999999</c:v>
                </c:pt>
                <c:pt idx="13">
                  <c:v>-2.5880000000000001</c:v>
                </c:pt>
                <c:pt idx="14">
                  <c:v>-3.0859999999999999</c:v>
                </c:pt>
                <c:pt idx="15">
                  <c:v>-3.8969999999999998</c:v>
                </c:pt>
                <c:pt idx="16">
                  <c:v>-2.8180000000000001</c:v>
                </c:pt>
                <c:pt idx="17">
                  <c:v>-2.9889999999999999</c:v>
                </c:pt>
                <c:pt idx="18">
                  <c:v>-4.0270000000000001</c:v>
                </c:pt>
                <c:pt idx="19">
                  <c:v>-2.548</c:v>
                </c:pt>
                <c:pt idx="20">
                  <c:v>-3.0009999999999999</c:v>
                </c:pt>
                <c:pt idx="21">
                  <c:v>-4.0049999999999999</c:v>
                </c:pt>
                <c:pt idx="22">
                  <c:v>-2.681</c:v>
                </c:pt>
                <c:pt idx="23">
                  <c:v>-2.9969999999999999</c:v>
                </c:pt>
                <c:pt idx="24">
                  <c:v>-3.508</c:v>
                </c:pt>
                <c:pt idx="25">
                  <c:v>-2.6520000000000001</c:v>
                </c:pt>
                <c:pt idx="26">
                  <c:v>-3.2839999999999998</c:v>
                </c:pt>
                <c:pt idx="27">
                  <c:v>-4.0019999999999998</c:v>
                </c:pt>
                <c:pt idx="28">
                  <c:v>-2.569</c:v>
                </c:pt>
                <c:pt idx="29">
                  <c:v>-2.8439999999999999</c:v>
                </c:pt>
                <c:pt idx="30">
                  <c:v>-2.8879999999999999</c:v>
                </c:pt>
                <c:pt idx="31">
                  <c:v>-3.7879999999999998</c:v>
                </c:pt>
                <c:pt idx="32">
                  <c:v>-2.6230000000000002</c:v>
                </c:pt>
                <c:pt idx="33">
                  <c:v>-3.4580000000000002</c:v>
                </c:pt>
                <c:pt idx="34">
                  <c:v>-3.4390000000000001</c:v>
                </c:pt>
                <c:pt idx="35">
                  <c:v>-2.4500000000000002</c:v>
                </c:pt>
                <c:pt idx="36">
                  <c:v>-2.996</c:v>
                </c:pt>
                <c:pt idx="37">
                  <c:v>-3.4460000000000002</c:v>
                </c:pt>
                <c:pt idx="38">
                  <c:v>-2.7090000000000001</c:v>
                </c:pt>
                <c:pt idx="39">
                  <c:v>-2.8769999999999998</c:v>
                </c:pt>
                <c:pt idx="40">
                  <c:v>-3.5150000000000001</c:v>
                </c:pt>
                <c:pt idx="41">
                  <c:v>-2.88</c:v>
                </c:pt>
                <c:pt idx="42">
                  <c:v>-2.7709999999999999</c:v>
                </c:pt>
                <c:pt idx="43">
                  <c:v>-3.827</c:v>
                </c:pt>
                <c:pt idx="44">
                  <c:v>-2.3610000000000002</c:v>
                </c:pt>
                <c:pt idx="45">
                  <c:v>-2.8359999999999999</c:v>
                </c:pt>
              </c:numCache>
            </c:numRef>
          </c:yVal>
          <c:smooth val="0"/>
        </c:ser>
        <c:ser>
          <c:idx val="2"/>
          <c:order val="3"/>
          <c:tx>
            <c:v>03/jun</c:v>
          </c:tx>
          <c:spPr>
            <a:ln w="28575">
              <a:noFill/>
            </a:ln>
          </c:spPr>
          <c:marker>
            <c:symbol val="x"/>
            <c:size val="7"/>
            <c:spPr>
              <a:ln w="25400">
                <a:solidFill>
                  <a:srgbClr val="F991B9"/>
                </a:solidFill>
              </a:ln>
            </c:spPr>
          </c:marker>
          <c:xVal>
            <c:numRef>
              <c:f>'After Oring 29May'!$AK$54:$AK$61</c:f>
              <c:numCache>
                <c:formatCode>General</c:formatCode>
                <c:ptCount val="8"/>
                <c:pt idx="0">
                  <c:v>3283</c:v>
                </c:pt>
                <c:pt idx="1">
                  <c:v>2571</c:v>
                </c:pt>
                <c:pt idx="2">
                  <c:v>3743</c:v>
                </c:pt>
                <c:pt idx="3">
                  <c:v>4447</c:v>
                </c:pt>
                <c:pt idx="4">
                  <c:v>3055</c:v>
                </c:pt>
                <c:pt idx="5">
                  <c:v>3105</c:v>
                </c:pt>
                <c:pt idx="6">
                  <c:v>2912</c:v>
                </c:pt>
                <c:pt idx="7">
                  <c:v>3751</c:v>
                </c:pt>
              </c:numCache>
            </c:numRef>
          </c:xVal>
          <c:yVal>
            <c:numRef>
              <c:f>'After Oring 29May'!$F$54:$F$61</c:f>
              <c:numCache>
                <c:formatCode>General</c:formatCode>
                <c:ptCount val="8"/>
                <c:pt idx="0">
                  <c:v>-2.5499999999999998</c:v>
                </c:pt>
                <c:pt idx="1">
                  <c:v>-2.677</c:v>
                </c:pt>
                <c:pt idx="2">
                  <c:v>-2.6070000000000002</c:v>
                </c:pt>
                <c:pt idx="3">
                  <c:v>-2.3069999999999999</c:v>
                </c:pt>
                <c:pt idx="4">
                  <c:v>-2.7290000000000001</c:v>
                </c:pt>
                <c:pt idx="5">
                  <c:v>-2.5950000000000002</c:v>
                </c:pt>
                <c:pt idx="6">
                  <c:v>-2.7770000000000001</c:v>
                </c:pt>
                <c:pt idx="7">
                  <c:v>-2.5129999999999999</c:v>
                </c:pt>
              </c:numCache>
            </c:numRef>
          </c:yVal>
          <c:smooth val="0"/>
        </c:ser>
        <c:ser>
          <c:idx val="4"/>
          <c:order val="4"/>
          <c:tx>
            <c:v>08/jun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B818AD"/>
              </a:solidFill>
              <a:ln>
                <a:solidFill>
                  <a:srgbClr val="B818AD"/>
                </a:solidFill>
              </a:ln>
            </c:spPr>
          </c:marker>
          <c:xVal>
            <c:numRef>
              <c:f>'After Oring 29May'!$AJ$66:$AJ$111</c:f>
              <c:numCache>
                <c:formatCode>General</c:formatCode>
                <c:ptCount val="46"/>
                <c:pt idx="0">
                  <c:v>2938</c:v>
                </c:pt>
                <c:pt idx="1">
                  <c:v>3096</c:v>
                </c:pt>
                <c:pt idx="2">
                  <c:v>3024</c:v>
                </c:pt>
                <c:pt idx="3">
                  <c:v>3249</c:v>
                </c:pt>
                <c:pt idx="4">
                  <c:v>2774</c:v>
                </c:pt>
                <c:pt idx="5">
                  <c:v>2110</c:v>
                </c:pt>
                <c:pt idx="6">
                  <c:v>2785</c:v>
                </c:pt>
                <c:pt idx="7">
                  <c:v>2472</c:v>
                </c:pt>
                <c:pt idx="8">
                  <c:v>2662</c:v>
                </c:pt>
                <c:pt idx="9">
                  <c:v>2638</c:v>
                </c:pt>
                <c:pt idx="10">
                  <c:v>2398</c:v>
                </c:pt>
                <c:pt idx="11">
                  <c:v>2451</c:v>
                </c:pt>
                <c:pt idx="12">
                  <c:v>1778</c:v>
                </c:pt>
                <c:pt idx="13">
                  <c:v>3839</c:v>
                </c:pt>
                <c:pt idx="14">
                  <c:v>2154</c:v>
                </c:pt>
                <c:pt idx="15">
                  <c:v>3170</c:v>
                </c:pt>
                <c:pt idx="16">
                  <c:v>3174</c:v>
                </c:pt>
                <c:pt idx="17">
                  <c:v>2307</c:v>
                </c:pt>
                <c:pt idx="18">
                  <c:v>2333</c:v>
                </c:pt>
                <c:pt idx="19">
                  <c:v>2496</c:v>
                </c:pt>
                <c:pt idx="20">
                  <c:v>2646</c:v>
                </c:pt>
                <c:pt idx="21">
                  <c:v>2786</c:v>
                </c:pt>
                <c:pt idx="22">
                  <c:v>2526</c:v>
                </c:pt>
                <c:pt idx="23">
                  <c:v>2829</c:v>
                </c:pt>
                <c:pt idx="24">
                  <c:v>2731</c:v>
                </c:pt>
                <c:pt idx="25">
                  <c:v>2645</c:v>
                </c:pt>
                <c:pt idx="26">
                  <c:v>3003</c:v>
                </c:pt>
                <c:pt idx="27">
                  <c:v>2548</c:v>
                </c:pt>
                <c:pt idx="28">
                  <c:v>2726</c:v>
                </c:pt>
                <c:pt idx="29">
                  <c:v>2605</c:v>
                </c:pt>
                <c:pt idx="30">
                  <c:v>2046</c:v>
                </c:pt>
                <c:pt idx="31">
                  <c:v>3012</c:v>
                </c:pt>
                <c:pt idx="32">
                  <c:v>2629</c:v>
                </c:pt>
                <c:pt idx="33">
                  <c:v>2514</c:v>
                </c:pt>
                <c:pt idx="34">
                  <c:v>2761</c:v>
                </c:pt>
                <c:pt idx="35">
                  <c:v>2059</c:v>
                </c:pt>
                <c:pt idx="36">
                  <c:v>2984</c:v>
                </c:pt>
                <c:pt idx="37">
                  <c:v>2784</c:v>
                </c:pt>
                <c:pt idx="38">
                  <c:v>2229</c:v>
                </c:pt>
                <c:pt idx="39">
                  <c:v>2616</c:v>
                </c:pt>
                <c:pt idx="40">
                  <c:v>2879</c:v>
                </c:pt>
                <c:pt idx="41">
                  <c:v>2423</c:v>
                </c:pt>
                <c:pt idx="42">
                  <c:v>3068</c:v>
                </c:pt>
                <c:pt idx="43">
                  <c:v>2820</c:v>
                </c:pt>
                <c:pt idx="44">
                  <c:v>2997</c:v>
                </c:pt>
                <c:pt idx="45">
                  <c:v>2612</c:v>
                </c:pt>
              </c:numCache>
            </c:numRef>
          </c:xVal>
          <c:yVal>
            <c:numRef>
              <c:f>'After Oring 29May'!$F$66:$F$111</c:f>
              <c:numCache>
                <c:formatCode>General</c:formatCode>
                <c:ptCount val="46"/>
                <c:pt idx="0">
                  <c:v>-2.444</c:v>
                </c:pt>
                <c:pt idx="1">
                  <c:v>-2.4580000000000002</c:v>
                </c:pt>
                <c:pt idx="2">
                  <c:v>-2.3929999999999998</c:v>
                </c:pt>
                <c:pt idx="3">
                  <c:v>-2.4239999999999999</c:v>
                </c:pt>
                <c:pt idx="4">
                  <c:v>-2.5270000000000001</c:v>
                </c:pt>
                <c:pt idx="5">
                  <c:v>-2.5209999999999999</c:v>
                </c:pt>
                <c:pt idx="6">
                  <c:v>-2.5790000000000002</c:v>
                </c:pt>
                <c:pt idx="7">
                  <c:v>-2.5070000000000001</c:v>
                </c:pt>
                <c:pt idx="8">
                  <c:v>-2.6320000000000001</c:v>
                </c:pt>
                <c:pt idx="9">
                  <c:v>-2.4689999999999999</c:v>
                </c:pt>
                <c:pt idx="10">
                  <c:v>-2.5150000000000001</c:v>
                </c:pt>
                <c:pt idx="11">
                  <c:v>-2.5449999999999999</c:v>
                </c:pt>
                <c:pt idx="12">
                  <c:v>-2.6509999999999998</c:v>
                </c:pt>
                <c:pt idx="13">
                  <c:v>-2.339</c:v>
                </c:pt>
                <c:pt idx="14">
                  <c:v>-2.5979999999999999</c:v>
                </c:pt>
                <c:pt idx="15">
                  <c:v>-2.5190000000000001</c:v>
                </c:pt>
                <c:pt idx="16">
                  <c:v>-2.5350000000000001</c:v>
                </c:pt>
                <c:pt idx="17">
                  <c:v>-2.5030000000000001</c:v>
                </c:pt>
                <c:pt idx="18">
                  <c:v>-2.5419999999999998</c:v>
                </c:pt>
                <c:pt idx="19">
                  <c:v>-2.4079999999999999</c:v>
                </c:pt>
                <c:pt idx="20">
                  <c:v>-2.625</c:v>
                </c:pt>
                <c:pt idx="21">
                  <c:v>-2.4630000000000001</c:v>
                </c:pt>
                <c:pt idx="22">
                  <c:v>-2.448</c:v>
                </c:pt>
                <c:pt idx="23">
                  <c:v>-2.4289999999999998</c:v>
                </c:pt>
                <c:pt idx="24">
                  <c:v>-2.5750000000000002</c:v>
                </c:pt>
                <c:pt idx="25">
                  <c:v>-2.339</c:v>
                </c:pt>
                <c:pt idx="26">
                  <c:v>-2.5350000000000001</c:v>
                </c:pt>
                <c:pt idx="27">
                  <c:v>-2.6230000000000002</c:v>
                </c:pt>
                <c:pt idx="28">
                  <c:v>-2.3889999999999998</c:v>
                </c:pt>
                <c:pt idx="29">
                  <c:v>-2.512</c:v>
                </c:pt>
                <c:pt idx="30">
                  <c:v>-2.6019999999999999</c:v>
                </c:pt>
                <c:pt idx="31">
                  <c:v>-2.4380000000000002</c:v>
                </c:pt>
                <c:pt idx="32">
                  <c:v>-2.5009999999999999</c:v>
                </c:pt>
                <c:pt idx="33">
                  <c:v>-2.6059999999999999</c:v>
                </c:pt>
                <c:pt idx="34">
                  <c:v>-2.3370000000000002</c:v>
                </c:pt>
                <c:pt idx="35">
                  <c:v>-2.67</c:v>
                </c:pt>
                <c:pt idx="36">
                  <c:v>-2.4239999999999999</c:v>
                </c:pt>
                <c:pt idx="37">
                  <c:v>-2.69</c:v>
                </c:pt>
                <c:pt idx="38">
                  <c:v>-2.444</c:v>
                </c:pt>
                <c:pt idx="39">
                  <c:v>-2.5339999999999998</c:v>
                </c:pt>
                <c:pt idx="40">
                  <c:v>-2.5859999999999999</c:v>
                </c:pt>
                <c:pt idx="41">
                  <c:v>-2.4860000000000002</c:v>
                </c:pt>
                <c:pt idx="42">
                  <c:v>-2.4969999999999999</c:v>
                </c:pt>
                <c:pt idx="43">
                  <c:v>-2.4079999999999999</c:v>
                </c:pt>
                <c:pt idx="44">
                  <c:v>-2.5150000000000001</c:v>
                </c:pt>
                <c:pt idx="45">
                  <c:v>-2.48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22464"/>
        <c:axId val="123623040"/>
      </c:scatterChart>
      <c:valAx>
        <c:axId val="123622464"/>
        <c:scaling>
          <c:orientation val="minMax"/>
          <c:max val="7000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Initial intensity (mV)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623040"/>
        <c:crosses val="max"/>
        <c:crossBetween val="midCat"/>
      </c:valAx>
      <c:valAx>
        <c:axId val="123623040"/>
        <c:scaling>
          <c:orientation val="minMax"/>
          <c:max val="1"/>
          <c:min val="-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Isotope ratio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622464"/>
        <c:crosses val="autoZero"/>
        <c:crossBetween val="midCat"/>
      </c:valAx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7.4393251584089562E-2"/>
          <c:y val="0.87110672972534531"/>
          <c:w val="0.67708640375057327"/>
          <c:h val="9.9356666955092154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" l="0.70000000000000095" r="0.70000000000000095" t="0.750000000000001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d13C means</a:t>
            </a:r>
          </a:p>
        </c:rich>
      </c:tx>
      <c:layout>
        <c:manualLayout>
          <c:xMode val="edge"/>
          <c:yMode val="edge"/>
          <c:x val="0.75873380596108764"/>
          <c:y val="0.73231716405819647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15323647112699"/>
          <c:y val="0.18112744756463001"/>
          <c:w val="0.85793892667917104"/>
          <c:h val="0.5759224827482935"/>
        </c:manualLayout>
      </c:layout>
      <c:scatterChart>
        <c:scatterStyle val="lineMarker"/>
        <c:varyColors val="0"/>
        <c:ser>
          <c:idx val="0"/>
          <c:order val="0"/>
          <c:tx>
            <c:v>Previous d13C</c:v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'After instal'!$AJ$6:$AJ$117</c:f>
              <c:numCache>
                <c:formatCode>General</c:formatCode>
                <c:ptCount val="112"/>
                <c:pt idx="0">
                  <c:v>1775</c:v>
                </c:pt>
                <c:pt idx="1">
                  <c:v>1729</c:v>
                </c:pt>
                <c:pt idx="2">
                  <c:v>1375</c:v>
                </c:pt>
                <c:pt idx="3">
                  <c:v>1177</c:v>
                </c:pt>
                <c:pt idx="4">
                  <c:v>1187</c:v>
                </c:pt>
                <c:pt idx="5">
                  <c:v>1195</c:v>
                </c:pt>
                <c:pt idx="6">
                  <c:v>1652</c:v>
                </c:pt>
                <c:pt idx="7">
                  <c:v>1146</c:v>
                </c:pt>
                <c:pt idx="10">
                  <c:v>1321</c:v>
                </c:pt>
                <c:pt idx="11">
                  <c:v>903</c:v>
                </c:pt>
                <c:pt idx="12">
                  <c:v>1068</c:v>
                </c:pt>
                <c:pt idx="13">
                  <c:v>1558</c:v>
                </c:pt>
                <c:pt idx="14">
                  <c:v>1676</c:v>
                </c:pt>
                <c:pt idx="15">
                  <c:v>1427</c:v>
                </c:pt>
                <c:pt idx="16">
                  <c:v>917</c:v>
                </c:pt>
                <c:pt idx="17">
                  <c:v>1532</c:v>
                </c:pt>
                <c:pt idx="18">
                  <c:v>1593</c:v>
                </c:pt>
                <c:pt idx="19">
                  <c:v>1711</c:v>
                </c:pt>
                <c:pt idx="20">
                  <c:v>1635</c:v>
                </c:pt>
                <c:pt idx="21">
                  <c:v>1641</c:v>
                </c:pt>
                <c:pt idx="24">
                  <c:v>9</c:v>
                </c:pt>
                <c:pt idx="27">
                  <c:v>1355</c:v>
                </c:pt>
                <c:pt idx="28">
                  <c:v>1513</c:v>
                </c:pt>
                <c:pt idx="29">
                  <c:v>1748</c:v>
                </c:pt>
                <c:pt idx="32">
                  <c:v>967</c:v>
                </c:pt>
                <c:pt idx="33">
                  <c:v>1496</c:v>
                </c:pt>
                <c:pt idx="34">
                  <c:v>1185</c:v>
                </c:pt>
                <c:pt idx="35">
                  <c:v>1097</c:v>
                </c:pt>
                <c:pt idx="36">
                  <c:v>1386</c:v>
                </c:pt>
                <c:pt idx="37">
                  <c:v>942</c:v>
                </c:pt>
                <c:pt idx="40">
                  <c:v>1201</c:v>
                </c:pt>
                <c:pt idx="41">
                  <c:v>1540</c:v>
                </c:pt>
                <c:pt idx="42">
                  <c:v>2014</c:v>
                </c:pt>
                <c:pt idx="43">
                  <c:v>1622</c:v>
                </c:pt>
                <c:pt idx="44">
                  <c:v>1696</c:v>
                </c:pt>
                <c:pt idx="45">
                  <c:v>1644</c:v>
                </c:pt>
                <c:pt idx="48">
                  <c:v>1614</c:v>
                </c:pt>
                <c:pt idx="49">
                  <c:v>1382</c:v>
                </c:pt>
                <c:pt idx="50">
                  <c:v>1399</c:v>
                </c:pt>
                <c:pt idx="51">
                  <c:v>1679</c:v>
                </c:pt>
                <c:pt idx="52">
                  <c:v>1809</c:v>
                </c:pt>
                <c:pt idx="53">
                  <c:v>1454</c:v>
                </c:pt>
                <c:pt idx="58">
                  <c:v>631</c:v>
                </c:pt>
                <c:pt idx="59">
                  <c:v>12</c:v>
                </c:pt>
                <c:pt idx="60">
                  <c:v>407</c:v>
                </c:pt>
                <c:pt idx="61">
                  <c:v>245</c:v>
                </c:pt>
                <c:pt idx="62">
                  <c:v>435</c:v>
                </c:pt>
                <c:pt idx="65">
                  <c:v>1061</c:v>
                </c:pt>
                <c:pt idx="66">
                  <c:v>888</c:v>
                </c:pt>
                <c:pt idx="67">
                  <c:v>646</c:v>
                </c:pt>
                <c:pt idx="68">
                  <c:v>1149</c:v>
                </c:pt>
                <c:pt idx="69">
                  <c:v>1310</c:v>
                </c:pt>
                <c:pt idx="72">
                  <c:v>1467</c:v>
                </c:pt>
                <c:pt idx="73">
                  <c:v>1527</c:v>
                </c:pt>
                <c:pt idx="74">
                  <c:v>1519</c:v>
                </c:pt>
                <c:pt idx="75">
                  <c:v>1444</c:v>
                </c:pt>
                <c:pt idx="76">
                  <c:v>1112</c:v>
                </c:pt>
                <c:pt idx="81">
                  <c:v>3698</c:v>
                </c:pt>
                <c:pt idx="82">
                  <c:v>3878</c:v>
                </c:pt>
                <c:pt idx="83">
                  <c:v>3608</c:v>
                </c:pt>
                <c:pt idx="84">
                  <c:v>3130</c:v>
                </c:pt>
                <c:pt idx="85">
                  <c:v>2954</c:v>
                </c:pt>
                <c:pt idx="86">
                  <c:v>4325</c:v>
                </c:pt>
                <c:pt idx="87">
                  <c:v>4032</c:v>
                </c:pt>
                <c:pt idx="88">
                  <c:v>3096</c:v>
                </c:pt>
                <c:pt idx="93">
                  <c:v>4090</c:v>
                </c:pt>
                <c:pt idx="96">
                  <c:v>2672</c:v>
                </c:pt>
                <c:pt idx="97">
                  <c:v>2761</c:v>
                </c:pt>
                <c:pt idx="98">
                  <c:v>3662</c:v>
                </c:pt>
                <c:pt idx="99">
                  <c:v>3629</c:v>
                </c:pt>
                <c:pt idx="100">
                  <c:v>3554</c:v>
                </c:pt>
                <c:pt idx="101">
                  <c:v>982</c:v>
                </c:pt>
                <c:pt idx="106">
                  <c:v>1600</c:v>
                </c:pt>
                <c:pt idx="109">
                  <c:v>3209</c:v>
                </c:pt>
                <c:pt idx="110">
                  <c:v>2731</c:v>
                </c:pt>
                <c:pt idx="111">
                  <c:v>8</c:v>
                </c:pt>
              </c:numCache>
            </c:numRef>
          </c:xVal>
          <c:yVal>
            <c:numRef>
              <c:f>'After instal'!$D$6:$D$117</c:f>
              <c:numCache>
                <c:formatCode>General</c:formatCode>
                <c:ptCount val="112"/>
                <c:pt idx="0">
                  <c:v>1.768</c:v>
                </c:pt>
                <c:pt idx="1">
                  <c:v>1.8859999999999999</c:v>
                </c:pt>
                <c:pt idx="2">
                  <c:v>1.8240000000000001</c:v>
                </c:pt>
                <c:pt idx="3">
                  <c:v>1.9370000000000001</c:v>
                </c:pt>
                <c:pt idx="4">
                  <c:v>1.869</c:v>
                </c:pt>
                <c:pt idx="5">
                  <c:v>1.917</c:v>
                </c:pt>
                <c:pt idx="6">
                  <c:v>1.859</c:v>
                </c:pt>
                <c:pt idx="7">
                  <c:v>1.988</c:v>
                </c:pt>
                <c:pt idx="10">
                  <c:v>1.841</c:v>
                </c:pt>
                <c:pt idx="11">
                  <c:v>1.756</c:v>
                </c:pt>
                <c:pt idx="12">
                  <c:v>1.8580000000000001</c:v>
                </c:pt>
                <c:pt idx="13">
                  <c:v>1.8420000000000001</c:v>
                </c:pt>
                <c:pt idx="14">
                  <c:v>1.87</c:v>
                </c:pt>
                <c:pt idx="15">
                  <c:v>1.8240000000000001</c:v>
                </c:pt>
                <c:pt idx="16">
                  <c:v>1.7470000000000001</c:v>
                </c:pt>
                <c:pt idx="17">
                  <c:v>1.8080000000000001</c:v>
                </c:pt>
                <c:pt idx="18">
                  <c:v>1.8660000000000001</c:v>
                </c:pt>
                <c:pt idx="19">
                  <c:v>1.8</c:v>
                </c:pt>
                <c:pt idx="20">
                  <c:v>1.8540000000000001</c:v>
                </c:pt>
                <c:pt idx="21">
                  <c:v>1.87</c:v>
                </c:pt>
                <c:pt idx="24">
                  <c:v>-12.292</c:v>
                </c:pt>
                <c:pt idx="27">
                  <c:v>1.7430000000000001</c:v>
                </c:pt>
                <c:pt idx="28">
                  <c:v>1.865</c:v>
                </c:pt>
                <c:pt idx="29">
                  <c:v>1.867</c:v>
                </c:pt>
                <c:pt idx="32">
                  <c:v>1.8420000000000001</c:v>
                </c:pt>
                <c:pt idx="33">
                  <c:v>1.86</c:v>
                </c:pt>
                <c:pt idx="34">
                  <c:v>1.87</c:v>
                </c:pt>
                <c:pt idx="35">
                  <c:v>1.9350000000000001</c:v>
                </c:pt>
                <c:pt idx="36">
                  <c:v>1.8360000000000001</c:v>
                </c:pt>
                <c:pt idx="37">
                  <c:v>1.8560000000000001</c:v>
                </c:pt>
                <c:pt idx="40">
                  <c:v>1.873</c:v>
                </c:pt>
                <c:pt idx="41">
                  <c:v>1.8759999999999999</c:v>
                </c:pt>
                <c:pt idx="42">
                  <c:v>1.847</c:v>
                </c:pt>
                <c:pt idx="43">
                  <c:v>1.8779999999999999</c:v>
                </c:pt>
                <c:pt idx="44">
                  <c:v>1.861</c:v>
                </c:pt>
                <c:pt idx="45">
                  <c:v>1.9350000000000001</c:v>
                </c:pt>
                <c:pt idx="48">
                  <c:v>1.7909999999999999</c:v>
                </c:pt>
                <c:pt idx="49">
                  <c:v>1.9379999999999999</c:v>
                </c:pt>
                <c:pt idx="50">
                  <c:v>1.9019999999999999</c:v>
                </c:pt>
                <c:pt idx="51">
                  <c:v>1.917</c:v>
                </c:pt>
                <c:pt idx="52">
                  <c:v>1.847</c:v>
                </c:pt>
                <c:pt idx="53">
                  <c:v>1.931</c:v>
                </c:pt>
                <c:pt idx="56">
                  <c:v>0</c:v>
                </c:pt>
                <c:pt idx="58">
                  <c:v>4.1189999999999998</c:v>
                </c:pt>
                <c:pt idx="59">
                  <c:v>-6.5049999999999999</c:v>
                </c:pt>
                <c:pt idx="60">
                  <c:v>0.78</c:v>
                </c:pt>
                <c:pt idx="61">
                  <c:v>0.42199999999999999</c:v>
                </c:pt>
                <c:pt idx="62">
                  <c:v>0.97699999999999998</c:v>
                </c:pt>
                <c:pt idx="65">
                  <c:v>1.859</c:v>
                </c:pt>
                <c:pt idx="66">
                  <c:v>1.764</c:v>
                </c:pt>
                <c:pt idx="67">
                  <c:v>1.4370000000000001</c:v>
                </c:pt>
                <c:pt idx="68">
                  <c:v>1.76</c:v>
                </c:pt>
                <c:pt idx="69">
                  <c:v>1.617</c:v>
                </c:pt>
                <c:pt idx="72">
                  <c:v>1.899</c:v>
                </c:pt>
                <c:pt idx="73">
                  <c:v>1.8049999999999999</c:v>
                </c:pt>
                <c:pt idx="74">
                  <c:v>1.8580000000000001</c:v>
                </c:pt>
                <c:pt idx="75">
                  <c:v>1.76</c:v>
                </c:pt>
                <c:pt idx="76">
                  <c:v>1.9059999999999999</c:v>
                </c:pt>
                <c:pt idx="79">
                  <c:v>0</c:v>
                </c:pt>
                <c:pt idx="81">
                  <c:v>1.84</c:v>
                </c:pt>
                <c:pt idx="82">
                  <c:v>1.792</c:v>
                </c:pt>
                <c:pt idx="83">
                  <c:v>1.847</c:v>
                </c:pt>
                <c:pt idx="84">
                  <c:v>1.7989999999999999</c:v>
                </c:pt>
                <c:pt idx="85">
                  <c:v>1.865</c:v>
                </c:pt>
                <c:pt idx="86">
                  <c:v>1.8340000000000001</c:v>
                </c:pt>
                <c:pt idx="87">
                  <c:v>1.8340000000000001</c:v>
                </c:pt>
                <c:pt idx="88">
                  <c:v>1.8069999999999999</c:v>
                </c:pt>
                <c:pt idx="91">
                  <c:v>0</c:v>
                </c:pt>
                <c:pt idx="93">
                  <c:v>1.8240000000000001</c:v>
                </c:pt>
                <c:pt idx="96">
                  <c:v>1.831</c:v>
                </c:pt>
                <c:pt idx="97">
                  <c:v>1.839</c:v>
                </c:pt>
                <c:pt idx="98">
                  <c:v>1.8140000000000001</c:v>
                </c:pt>
                <c:pt idx="99">
                  <c:v>1.8280000000000001</c:v>
                </c:pt>
                <c:pt idx="100">
                  <c:v>1.8049999999999999</c:v>
                </c:pt>
                <c:pt idx="101">
                  <c:v>1.915</c:v>
                </c:pt>
                <c:pt idx="104">
                  <c:v>0</c:v>
                </c:pt>
                <c:pt idx="106">
                  <c:v>4.0209999999999999</c:v>
                </c:pt>
                <c:pt idx="109">
                  <c:v>1.8480000000000001</c:v>
                </c:pt>
                <c:pt idx="110">
                  <c:v>1.833</c:v>
                </c:pt>
                <c:pt idx="111">
                  <c:v>-27.681999999999999</c:v>
                </c:pt>
              </c:numCache>
            </c:numRef>
          </c:yVal>
          <c:smooth val="0"/>
        </c:ser>
        <c:ser>
          <c:idx val="2"/>
          <c:order val="1"/>
          <c:tx>
            <c:v>d13C</c:v>
          </c:tx>
          <c:spPr>
            <a:ln w="19050">
              <a:solidFill>
                <a:schemeClr val="accent1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7000</c:v>
              </c:pt>
            </c:numLit>
          </c:xVal>
          <c:yVal>
            <c:numRef>
              <c:f>'After instal'!$D$2:$D$3</c:f>
              <c:numCache>
                <c:formatCode>General</c:formatCode>
                <c:ptCount val="2"/>
                <c:pt idx="0">
                  <c:v>1.95</c:v>
                </c:pt>
                <c:pt idx="1">
                  <c:v>1.95</c:v>
                </c:pt>
              </c:numCache>
            </c:numRef>
          </c:yVal>
          <c:smooth val="0"/>
        </c:ser>
        <c:ser>
          <c:idx val="1"/>
          <c:order val="2"/>
          <c:tx>
            <c:v>01/jun</c:v>
          </c:tx>
          <c:spPr>
            <a:ln w="28575">
              <a:noFill/>
            </a:ln>
          </c:spPr>
          <c:marker>
            <c:symbol val="star"/>
            <c:size val="7"/>
            <c:spPr>
              <a:ln>
                <a:solidFill>
                  <a:srgbClr val="00B050"/>
                </a:solidFill>
              </a:ln>
            </c:spPr>
          </c:marker>
          <c:xVal>
            <c:numRef>
              <c:f>'After Oring 29May'!$AG$4:$AG$49</c:f>
              <c:numCache>
                <c:formatCode>General</c:formatCode>
                <c:ptCount val="46"/>
                <c:pt idx="0">
                  <c:v>3187</c:v>
                </c:pt>
                <c:pt idx="1">
                  <c:v>2276</c:v>
                </c:pt>
                <c:pt idx="2">
                  <c:v>3361</c:v>
                </c:pt>
                <c:pt idx="3">
                  <c:v>3756</c:v>
                </c:pt>
                <c:pt idx="4">
                  <c:v>4649</c:v>
                </c:pt>
                <c:pt idx="5">
                  <c:v>3734</c:v>
                </c:pt>
                <c:pt idx="6">
                  <c:v>3920</c:v>
                </c:pt>
                <c:pt idx="7">
                  <c:v>3279</c:v>
                </c:pt>
                <c:pt idx="8">
                  <c:v>2857</c:v>
                </c:pt>
                <c:pt idx="9">
                  <c:v>4190</c:v>
                </c:pt>
                <c:pt idx="10">
                  <c:v>4582</c:v>
                </c:pt>
                <c:pt idx="11">
                  <c:v>4602</c:v>
                </c:pt>
                <c:pt idx="12">
                  <c:v>4556</c:v>
                </c:pt>
                <c:pt idx="13">
                  <c:v>3870</c:v>
                </c:pt>
                <c:pt idx="14">
                  <c:v>2820</c:v>
                </c:pt>
                <c:pt idx="15">
                  <c:v>3237</c:v>
                </c:pt>
                <c:pt idx="16">
                  <c:v>2787</c:v>
                </c:pt>
                <c:pt idx="17">
                  <c:v>4010</c:v>
                </c:pt>
                <c:pt idx="18">
                  <c:v>3366</c:v>
                </c:pt>
                <c:pt idx="19">
                  <c:v>3748</c:v>
                </c:pt>
                <c:pt idx="20">
                  <c:v>3558</c:v>
                </c:pt>
                <c:pt idx="21">
                  <c:v>3089</c:v>
                </c:pt>
                <c:pt idx="22">
                  <c:v>3068</c:v>
                </c:pt>
                <c:pt idx="23">
                  <c:v>3506</c:v>
                </c:pt>
                <c:pt idx="24">
                  <c:v>3927</c:v>
                </c:pt>
                <c:pt idx="25">
                  <c:v>3865</c:v>
                </c:pt>
                <c:pt idx="26">
                  <c:v>3021</c:v>
                </c:pt>
                <c:pt idx="27">
                  <c:v>2555</c:v>
                </c:pt>
                <c:pt idx="28">
                  <c:v>2776</c:v>
                </c:pt>
                <c:pt idx="29">
                  <c:v>4017</c:v>
                </c:pt>
                <c:pt idx="30">
                  <c:v>3580</c:v>
                </c:pt>
                <c:pt idx="31">
                  <c:v>3514</c:v>
                </c:pt>
                <c:pt idx="32">
                  <c:v>3075</c:v>
                </c:pt>
                <c:pt idx="33">
                  <c:v>2042</c:v>
                </c:pt>
                <c:pt idx="34">
                  <c:v>3403</c:v>
                </c:pt>
                <c:pt idx="35">
                  <c:v>3284</c:v>
                </c:pt>
                <c:pt idx="36">
                  <c:v>3719</c:v>
                </c:pt>
                <c:pt idx="37">
                  <c:v>3622</c:v>
                </c:pt>
                <c:pt idx="38">
                  <c:v>2559</c:v>
                </c:pt>
                <c:pt idx="39">
                  <c:v>3535</c:v>
                </c:pt>
                <c:pt idx="40">
                  <c:v>3580</c:v>
                </c:pt>
                <c:pt idx="41">
                  <c:v>2058</c:v>
                </c:pt>
                <c:pt idx="42">
                  <c:v>3723</c:v>
                </c:pt>
                <c:pt idx="43">
                  <c:v>3219</c:v>
                </c:pt>
                <c:pt idx="44">
                  <c:v>3946</c:v>
                </c:pt>
                <c:pt idx="45">
                  <c:v>3720</c:v>
                </c:pt>
              </c:numCache>
            </c:numRef>
          </c:xVal>
          <c:yVal>
            <c:numRef>
              <c:f>'After Oring 29May'!$D$4:$D$49</c:f>
              <c:numCache>
                <c:formatCode>General</c:formatCode>
                <c:ptCount val="46"/>
                <c:pt idx="0">
                  <c:v>1.206</c:v>
                </c:pt>
                <c:pt idx="1">
                  <c:v>2.4929999999999999</c:v>
                </c:pt>
                <c:pt idx="2">
                  <c:v>1.671</c:v>
                </c:pt>
                <c:pt idx="3">
                  <c:v>1.75</c:v>
                </c:pt>
                <c:pt idx="4">
                  <c:v>1.8520000000000001</c:v>
                </c:pt>
                <c:pt idx="5">
                  <c:v>1.738</c:v>
                </c:pt>
                <c:pt idx="6">
                  <c:v>1.794</c:v>
                </c:pt>
                <c:pt idx="7">
                  <c:v>1.8919999999999999</c:v>
                </c:pt>
                <c:pt idx="8">
                  <c:v>1.69</c:v>
                </c:pt>
                <c:pt idx="9">
                  <c:v>1.7849999999999999</c:v>
                </c:pt>
                <c:pt idx="10">
                  <c:v>1.843</c:v>
                </c:pt>
                <c:pt idx="11">
                  <c:v>1.82</c:v>
                </c:pt>
                <c:pt idx="12">
                  <c:v>1.8220000000000001</c:v>
                </c:pt>
                <c:pt idx="13">
                  <c:v>1.845</c:v>
                </c:pt>
                <c:pt idx="14">
                  <c:v>1.7549999999999999</c:v>
                </c:pt>
                <c:pt idx="15">
                  <c:v>1.744</c:v>
                </c:pt>
                <c:pt idx="16">
                  <c:v>1.7749999999999999</c:v>
                </c:pt>
                <c:pt idx="17">
                  <c:v>1.7809999999999999</c:v>
                </c:pt>
                <c:pt idx="18">
                  <c:v>1.7310000000000001</c:v>
                </c:pt>
                <c:pt idx="19">
                  <c:v>1.845</c:v>
                </c:pt>
                <c:pt idx="20">
                  <c:v>1.756</c:v>
                </c:pt>
                <c:pt idx="21">
                  <c:v>1.7749999999999999</c:v>
                </c:pt>
                <c:pt idx="22">
                  <c:v>1.784</c:v>
                </c:pt>
                <c:pt idx="23">
                  <c:v>1.762</c:v>
                </c:pt>
                <c:pt idx="24">
                  <c:v>1.7949999999999999</c:v>
                </c:pt>
                <c:pt idx="25">
                  <c:v>1.8240000000000001</c:v>
                </c:pt>
                <c:pt idx="26">
                  <c:v>1.679</c:v>
                </c:pt>
                <c:pt idx="27">
                  <c:v>1.6619999999999999</c:v>
                </c:pt>
                <c:pt idx="28">
                  <c:v>1.851</c:v>
                </c:pt>
                <c:pt idx="29">
                  <c:v>1.7809999999999999</c:v>
                </c:pt>
                <c:pt idx="30">
                  <c:v>1.78</c:v>
                </c:pt>
                <c:pt idx="31">
                  <c:v>1.776</c:v>
                </c:pt>
                <c:pt idx="32">
                  <c:v>1.841</c:v>
                </c:pt>
                <c:pt idx="33">
                  <c:v>1.647</c:v>
                </c:pt>
                <c:pt idx="34">
                  <c:v>1.7410000000000001</c:v>
                </c:pt>
                <c:pt idx="35">
                  <c:v>1.8720000000000001</c:v>
                </c:pt>
                <c:pt idx="36">
                  <c:v>1.7569999999999999</c:v>
                </c:pt>
                <c:pt idx="37">
                  <c:v>1.7849999999999999</c:v>
                </c:pt>
                <c:pt idx="38">
                  <c:v>1.77</c:v>
                </c:pt>
                <c:pt idx="39">
                  <c:v>1.7769999999999999</c:v>
                </c:pt>
                <c:pt idx="40">
                  <c:v>1.72</c:v>
                </c:pt>
                <c:pt idx="41">
                  <c:v>1.6839999999999999</c:v>
                </c:pt>
                <c:pt idx="42">
                  <c:v>1.8839999999999999</c:v>
                </c:pt>
                <c:pt idx="43">
                  <c:v>1.776</c:v>
                </c:pt>
                <c:pt idx="44">
                  <c:v>1.9139999999999999</c:v>
                </c:pt>
                <c:pt idx="45">
                  <c:v>1.7909999999999999</c:v>
                </c:pt>
              </c:numCache>
            </c:numRef>
          </c:yVal>
          <c:smooth val="0"/>
        </c:ser>
        <c:ser>
          <c:idx val="3"/>
          <c:order val="3"/>
          <c:tx>
            <c:v>03/jun</c:v>
          </c:tx>
          <c:spPr>
            <a:ln w="28575">
              <a:noFill/>
            </a:ln>
          </c:spPr>
          <c:marker>
            <c:spPr>
              <a:noFill/>
              <a:ln w="25400">
                <a:solidFill>
                  <a:srgbClr val="92D050"/>
                </a:solidFill>
              </a:ln>
            </c:spPr>
          </c:marker>
          <c:xVal>
            <c:numRef>
              <c:f>'After Oring 29May'!$AK$54:$AK$61</c:f>
              <c:numCache>
                <c:formatCode>General</c:formatCode>
                <c:ptCount val="8"/>
                <c:pt idx="0">
                  <c:v>3283</c:v>
                </c:pt>
                <c:pt idx="1">
                  <c:v>2571</c:v>
                </c:pt>
                <c:pt idx="2">
                  <c:v>3743</c:v>
                </c:pt>
                <c:pt idx="3">
                  <c:v>4447</c:v>
                </c:pt>
                <c:pt idx="4">
                  <c:v>3055</c:v>
                </c:pt>
                <c:pt idx="5">
                  <c:v>3105</c:v>
                </c:pt>
                <c:pt idx="6">
                  <c:v>2912</c:v>
                </c:pt>
                <c:pt idx="7">
                  <c:v>3751</c:v>
                </c:pt>
              </c:numCache>
            </c:numRef>
          </c:xVal>
          <c:yVal>
            <c:numRef>
              <c:f>'After Oring 29May'!$D$54:$D$61</c:f>
              <c:numCache>
                <c:formatCode>General</c:formatCode>
                <c:ptCount val="8"/>
                <c:pt idx="0">
                  <c:v>1.7490000000000001</c:v>
                </c:pt>
                <c:pt idx="1">
                  <c:v>1.7969999999999999</c:v>
                </c:pt>
                <c:pt idx="2">
                  <c:v>1.7689999999999999</c:v>
                </c:pt>
                <c:pt idx="3">
                  <c:v>1.905</c:v>
                </c:pt>
                <c:pt idx="4">
                  <c:v>1.6819999999999999</c:v>
                </c:pt>
                <c:pt idx="5">
                  <c:v>1.7829999999999999</c:v>
                </c:pt>
                <c:pt idx="6">
                  <c:v>1.6850000000000001</c:v>
                </c:pt>
                <c:pt idx="7">
                  <c:v>1.8160000000000001</c:v>
                </c:pt>
              </c:numCache>
            </c:numRef>
          </c:yVal>
          <c:smooth val="0"/>
        </c:ser>
        <c:ser>
          <c:idx val="5"/>
          <c:order val="4"/>
          <c:tx>
            <c:v>08/jun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5C28A8"/>
              </a:solidFill>
              <a:ln>
                <a:solidFill>
                  <a:srgbClr val="5C28A8"/>
                </a:solidFill>
              </a:ln>
            </c:spPr>
          </c:marker>
          <c:xVal>
            <c:numRef>
              <c:f>'After Oring 29May'!$AJ$66:$AJ$111</c:f>
              <c:numCache>
                <c:formatCode>General</c:formatCode>
                <c:ptCount val="46"/>
                <c:pt idx="0">
                  <c:v>2938</c:v>
                </c:pt>
                <c:pt idx="1">
                  <c:v>3096</c:v>
                </c:pt>
                <c:pt idx="2">
                  <c:v>3024</c:v>
                </c:pt>
                <c:pt idx="3">
                  <c:v>3249</c:v>
                </c:pt>
                <c:pt idx="4">
                  <c:v>2774</c:v>
                </c:pt>
                <c:pt idx="5">
                  <c:v>2110</c:v>
                </c:pt>
                <c:pt idx="6">
                  <c:v>2785</c:v>
                </c:pt>
                <c:pt idx="7">
                  <c:v>2472</c:v>
                </c:pt>
                <c:pt idx="8">
                  <c:v>2662</c:v>
                </c:pt>
                <c:pt idx="9">
                  <c:v>2638</c:v>
                </c:pt>
                <c:pt idx="10">
                  <c:v>2398</c:v>
                </c:pt>
                <c:pt idx="11">
                  <c:v>2451</c:v>
                </c:pt>
                <c:pt idx="12">
                  <c:v>1778</c:v>
                </c:pt>
                <c:pt idx="13">
                  <c:v>3839</c:v>
                </c:pt>
                <c:pt idx="14">
                  <c:v>2154</c:v>
                </c:pt>
                <c:pt idx="15">
                  <c:v>3170</c:v>
                </c:pt>
                <c:pt idx="16">
                  <c:v>3174</c:v>
                </c:pt>
                <c:pt idx="17">
                  <c:v>2307</c:v>
                </c:pt>
                <c:pt idx="18">
                  <c:v>2333</c:v>
                </c:pt>
                <c:pt idx="19">
                  <c:v>2496</c:v>
                </c:pt>
                <c:pt idx="20">
                  <c:v>2646</c:v>
                </c:pt>
                <c:pt idx="21">
                  <c:v>2786</c:v>
                </c:pt>
                <c:pt idx="22">
                  <c:v>2526</c:v>
                </c:pt>
                <c:pt idx="23">
                  <c:v>2829</c:v>
                </c:pt>
                <c:pt idx="24">
                  <c:v>2731</c:v>
                </c:pt>
                <c:pt idx="25">
                  <c:v>2645</c:v>
                </c:pt>
                <c:pt idx="26">
                  <c:v>3003</c:v>
                </c:pt>
                <c:pt idx="27">
                  <c:v>2548</c:v>
                </c:pt>
                <c:pt idx="28">
                  <c:v>2726</c:v>
                </c:pt>
                <c:pt idx="29">
                  <c:v>2605</c:v>
                </c:pt>
                <c:pt idx="30">
                  <c:v>2046</c:v>
                </c:pt>
                <c:pt idx="31">
                  <c:v>3012</c:v>
                </c:pt>
                <c:pt idx="32">
                  <c:v>2629</c:v>
                </c:pt>
                <c:pt idx="33">
                  <c:v>2514</c:v>
                </c:pt>
                <c:pt idx="34">
                  <c:v>2761</c:v>
                </c:pt>
                <c:pt idx="35">
                  <c:v>2059</c:v>
                </c:pt>
                <c:pt idx="36">
                  <c:v>2984</c:v>
                </c:pt>
                <c:pt idx="37">
                  <c:v>2784</c:v>
                </c:pt>
                <c:pt idx="38">
                  <c:v>2229</c:v>
                </c:pt>
                <c:pt idx="39">
                  <c:v>2616</c:v>
                </c:pt>
                <c:pt idx="40">
                  <c:v>2879</c:v>
                </c:pt>
                <c:pt idx="41">
                  <c:v>2423</c:v>
                </c:pt>
                <c:pt idx="42">
                  <c:v>3068</c:v>
                </c:pt>
                <c:pt idx="43">
                  <c:v>2820</c:v>
                </c:pt>
                <c:pt idx="44">
                  <c:v>2997</c:v>
                </c:pt>
                <c:pt idx="45">
                  <c:v>2612</c:v>
                </c:pt>
              </c:numCache>
            </c:numRef>
          </c:xVal>
          <c:yVal>
            <c:numRef>
              <c:f>'After Oring 29May'!$D$66:$D$111</c:f>
              <c:numCache>
                <c:formatCode>General</c:formatCode>
                <c:ptCount val="46"/>
                <c:pt idx="0">
                  <c:v>1.8340000000000001</c:v>
                </c:pt>
                <c:pt idx="1">
                  <c:v>1.8340000000000001</c:v>
                </c:pt>
                <c:pt idx="2">
                  <c:v>1.847</c:v>
                </c:pt>
                <c:pt idx="3">
                  <c:v>1.8149999999999999</c:v>
                </c:pt>
                <c:pt idx="4">
                  <c:v>1.825</c:v>
                </c:pt>
                <c:pt idx="5">
                  <c:v>1.819</c:v>
                </c:pt>
                <c:pt idx="6">
                  <c:v>1.78</c:v>
                </c:pt>
                <c:pt idx="7">
                  <c:v>1.782</c:v>
                </c:pt>
                <c:pt idx="8">
                  <c:v>1.762</c:v>
                </c:pt>
                <c:pt idx="9">
                  <c:v>1.8169999999999999</c:v>
                </c:pt>
                <c:pt idx="10">
                  <c:v>1.786</c:v>
                </c:pt>
                <c:pt idx="11">
                  <c:v>1.802</c:v>
                </c:pt>
                <c:pt idx="12">
                  <c:v>1.8540000000000001</c:v>
                </c:pt>
                <c:pt idx="13">
                  <c:v>1.8580000000000001</c:v>
                </c:pt>
                <c:pt idx="14">
                  <c:v>1.8109999999999999</c:v>
                </c:pt>
                <c:pt idx="15">
                  <c:v>1.8240000000000001</c:v>
                </c:pt>
                <c:pt idx="16">
                  <c:v>1.8260000000000001</c:v>
                </c:pt>
                <c:pt idx="17">
                  <c:v>1.8069999999999999</c:v>
                </c:pt>
                <c:pt idx="18">
                  <c:v>1.835</c:v>
                </c:pt>
                <c:pt idx="19">
                  <c:v>1.788</c:v>
                </c:pt>
                <c:pt idx="20">
                  <c:v>1.7989999999999999</c:v>
                </c:pt>
                <c:pt idx="21">
                  <c:v>1.8149999999999999</c:v>
                </c:pt>
                <c:pt idx="22">
                  <c:v>1.8380000000000001</c:v>
                </c:pt>
                <c:pt idx="23">
                  <c:v>1.87</c:v>
                </c:pt>
                <c:pt idx="24">
                  <c:v>1.8480000000000001</c:v>
                </c:pt>
                <c:pt idx="25">
                  <c:v>1.8759999999999999</c:v>
                </c:pt>
                <c:pt idx="26">
                  <c:v>1.8120000000000001</c:v>
                </c:pt>
                <c:pt idx="27">
                  <c:v>1.7829999999999999</c:v>
                </c:pt>
                <c:pt idx="28">
                  <c:v>1.8560000000000001</c:v>
                </c:pt>
                <c:pt idx="29">
                  <c:v>1.792</c:v>
                </c:pt>
                <c:pt idx="30">
                  <c:v>1.8360000000000001</c:v>
                </c:pt>
                <c:pt idx="31">
                  <c:v>1.8680000000000001</c:v>
                </c:pt>
                <c:pt idx="32">
                  <c:v>1.794</c:v>
                </c:pt>
                <c:pt idx="33">
                  <c:v>1.7909999999999999</c:v>
                </c:pt>
                <c:pt idx="34">
                  <c:v>1.929</c:v>
                </c:pt>
                <c:pt idx="35">
                  <c:v>1.784</c:v>
                </c:pt>
                <c:pt idx="36">
                  <c:v>1.885</c:v>
                </c:pt>
                <c:pt idx="37">
                  <c:v>1.7569999999999999</c:v>
                </c:pt>
                <c:pt idx="38">
                  <c:v>1.853</c:v>
                </c:pt>
                <c:pt idx="39">
                  <c:v>1.7949999999999999</c:v>
                </c:pt>
                <c:pt idx="40">
                  <c:v>1.8779999999999999</c:v>
                </c:pt>
                <c:pt idx="41">
                  <c:v>1.8049999999999999</c:v>
                </c:pt>
                <c:pt idx="42">
                  <c:v>1.865</c:v>
                </c:pt>
                <c:pt idx="43">
                  <c:v>1.89</c:v>
                </c:pt>
                <c:pt idx="44">
                  <c:v>1.8340000000000001</c:v>
                </c:pt>
                <c:pt idx="45">
                  <c:v>1.83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02016"/>
        <c:axId val="124502592"/>
      </c:scatterChart>
      <c:valAx>
        <c:axId val="124502016"/>
        <c:scaling>
          <c:orientation val="minMax"/>
          <c:max val="7000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Initial intensity (mV)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502592"/>
        <c:crosses val="max"/>
        <c:crossBetween val="midCat"/>
      </c:valAx>
      <c:valAx>
        <c:axId val="124502592"/>
        <c:scaling>
          <c:orientation val="minMax"/>
          <c:max val="3"/>
          <c:min val="1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Isotope ratio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502016"/>
        <c:crosses val="autoZero"/>
        <c:crossBetween val="midCat"/>
      </c:valAx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7.4393251584089562E-2"/>
          <c:y val="0.87110672972534531"/>
          <c:w val="0.74770868943873114"/>
          <c:h val="9.9220375230873917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" l="0.70000000000000095" r="0.70000000000000095" t="0.750000000000001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mass x P </a:t>
            </a:r>
            <a:r>
              <a:rPr lang="en-US" sz="1200"/>
              <a:t>(3drops,</a:t>
            </a:r>
            <a:r>
              <a:rPr lang="en-US" sz="1200" baseline="0"/>
              <a:t> 600s)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9335120463197"/>
          <c:y val="3.8350672487182602E-2"/>
          <c:w val="0.84190119244699502"/>
          <c:h val="0.72239720034995625"/>
        </c:manualLayout>
      </c:layout>
      <c:scatterChart>
        <c:scatterStyle val="lineMarker"/>
        <c:varyColors val="0"/>
        <c:ser>
          <c:idx val="0"/>
          <c:order val="0"/>
          <c:tx>
            <c:v>Previous</c:v>
          </c:tx>
          <c:spPr>
            <a:ln w="28575">
              <a:noFill/>
            </a:ln>
          </c:spPr>
          <c:xVal>
            <c:numRef>
              <c:f>('After instal'!$AM$6:$AM$13,'After instal'!$AM$30,'After instal'!$AM$33:$AM$35,'After instal'!$AM$64:$AM$82,'After instal'!$AM$112:$AM$117)</c:f>
              <c:numCache>
                <c:formatCode>General</c:formatCode>
                <c:ptCount val="37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18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36</c:v>
                </c:pt>
                <c:pt idx="34">
                  <c:v>54</c:v>
                </c:pt>
                <c:pt idx="35">
                  <c:v>54</c:v>
                </c:pt>
                <c:pt idx="36">
                  <c:v>54</c:v>
                </c:pt>
              </c:numCache>
            </c:numRef>
          </c:xVal>
          <c:yVal>
            <c:numRef>
              <c:f>('After instal'!$AG$6:$AG$13,'After instal'!$AG$30:$AG$35,'After instal'!$AG$64:$AG$82,'After instal'!$AG$112:$AG$117)</c:f>
              <c:numCache>
                <c:formatCode>General</c:formatCode>
                <c:ptCount val="39"/>
                <c:pt idx="0">
                  <c:v>533</c:v>
                </c:pt>
                <c:pt idx="1">
                  <c:v>538</c:v>
                </c:pt>
                <c:pt idx="2">
                  <c:v>494</c:v>
                </c:pt>
                <c:pt idx="3">
                  <c:v>455</c:v>
                </c:pt>
                <c:pt idx="4">
                  <c:v>467</c:v>
                </c:pt>
                <c:pt idx="5">
                  <c:v>477</c:v>
                </c:pt>
                <c:pt idx="6">
                  <c:v>525</c:v>
                </c:pt>
                <c:pt idx="7">
                  <c:v>445</c:v>
                </c:pt>
                <c:pt idx="8">
                  <c:v>40</c:v>
                </c:pt>
                <c:pt idx="11">
                  <c:v>462</c:v>
                </c:pt>
                <c:pt idx="12">
                  <c:v>486</c:v>
                </c:pt>
                <c:pt idx="13">
                  <c:v>508</c:v>
                </c:pt>
                <c:pt idx="14">
                  <c:v>311</c:v>
                </c:pt>
                <c:pt idx="15">
                  <c:v>30</c:v>
                </c:pt>
                <c:pt idx="16">
                  <c:v>232</c:v>
                </c:pt>
                <c:pt idx="17">
                  <c:v>262</c:v>
                </c:pt>
                <c:pt idx="18">
                  <c:v>250</c:v>
                </c:pt>
                <c:pt idx="21">
                  <c:v>418</c:v>
                </c:pt>
                <c:pt idx="22">
                  <c:v>367</c:v>
                </c:pt>
                <c:pt idx="23">
                  <c:v>311</c:v>
                </c:pt>
                <c:pt idx="24">
                  <c:v>418</c:v>
                </c:pt>
                <c:pt idx="25">
                  <c:v>440</c:v>
                </c:pt>
                <c:pt idx="28">
                  <c:v>469</c:v>
                </c:pt>
                <c:pt idx="29">
                  <c:v>489</c:v>
                </c:pt>
                <c:pt idx="30">
                  <c:v>489</c:v>
                </c:pt>
                <c:pt idx="31">
                  <c:v>469</c:v>
                </c:pt>
                <c:pt idx="32">
                  <c:v>416</c:v>
                </c:pt>
                <c:pt idx="33">
                  <c:v>543</c:v>
                </c:pt>
                <c:pt idx="36">
                  <c:v>670</c:v>
                </c:pt>
                <c:pt idx="37">
                  <c:v>589</c:v>
                </c:pt>
                <c:pt idx="38">
                  <c:v>25</c:v>
                </c:pt>
              </c:numCache>
            </c:numRef>
          </c:yVal>
          <c:smooth val="0"/>
        </c:ser>
        <c:ser>
          <c:idx val="3"/>
          <c:order val="1"/>
          <c:tx>
            <c:v>Expected</c:v>
          </c:tx>
          <c:spPr>
            <a:ln w="28575">
              <a:solidFill>
                <a:srgbClr val="777777">
                  <a:alpha val="50000"/>
                </a:srgbClr>
              </a:solidFill>
            </a:ln>
          </c:spPr>
          <c:marker>
            <c:symbol val="none"/>
          </c:marker>
          <c:trendline>
            <c:spPr>
              <a:ln>
                <a:solidFill>
                  <a:srgbClr val="777777"/>
                </a:solidFill>
              </a:ln>
            </c:spPr>
            <c:trendlineType val="log"/>
            <c:dispRSqr val="0"/>
            <c:dispEq val="0"/>
          </c:trendline>
          <c:xVal>
            <c:numRef>
              <c:f>'After software 19May'!$A$8:$A$14</c:f>
              <c:numCache>
                <c:formatCode>General</c:formatCode>
                <c:ptCount val="7"/>
                <c:pt idx="0">
                  <c:v>2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'After software 19May'!$B$8:$B$14</c:f>
              <c:numCache>
                <c:formatCode>General</c:formatCode>
                <c:ptCount val="7"/>
                <c:pt idx="0">
                  <c:v>140</c:v>
                </c:pt>
                <c:pt idx="1">
                  <c:v>490</c:v>
                </c:pt>
                <c:pt idx="2">
                  <c:v>675</c:v>
                </c:pt>
                <c:pt idx="3">
                  <c:v>760</c:v>
                </c:pt>
                <c:pt idx="4">
                  <c:v>840</c:v>
                </c:pt>
                <c:pt idx="5">
                  <c:v>900</c:v>
                </c:pt>
                <c:pt idx="6">
                  <c:v>950</c:v>
                </c:pt>
              </c:numCache>
            </c:numRef>
          </c:yVal>
          <c:smooth val="0"/>
        </c:ser>
        <c:ser>
          <c:idx val="2"/>
          <c:order val="2"/>
          <c:tx>
            <c:v>20/mai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'After software 19May'!$AM$27:$AM$56</c:f>
              <c:numCache>
                <c:formatCode>General</c:formatCode>
                <c:ptCount val="30"/>
                <c:pt idx="0">
                  <c:v>9</c:v>
                </c:pt>
                <c:pt idx="1">
                  <c:v>9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9</c:v>
                </c:pt>
                <c:pt idx="11">
                  <c:v>9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18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54</c:v>
                </c:pt>
                <c:pt idx="24">
                  <c:v>54</c:v>
                </c:pt>
                <c:pt idx="25">
                  <c:v>63</c:v>
                </c:pt>
                <c:pt idx="26">
                  <c:v>45</c:v>
                </c:pt>
                <c:pt idx="27">
                  <c:v>54</c:v>
                </c:pt>
                <c:pt idx="28">
                  <c:v>63</c:v>
                </c:pt>
                <c:pt idx="29">
                  <c:v>63</c:v>
                </c:pt>
              </c:numCache>
            </c:numRef>
          </c:xVal>
          <c:yVal>
            <c:numRef>
              <c:f>'After software 19May'!$AG$27:$AG$56</c:f>
              <c:numCache>
                <c:formatCode>General</c:formatCode>
                <c:ptCount val="30"/>
                <c:pt idx="0">
                  <c:v>352</c:v>
                </c:pt>
                <c:pt idx="1">
                  <c:v>420</c:v>
                </c:pt>
                <c:pt idx="2">
                  <c:v>820</c:v>
                </c:pt>
                <c:pt idx="3">
                  <c:v>714</c:v>
                </c:pt>
                <c:pt idx="4">
                  <c:v>813</c:v>
                </c:pt>
                <c:pt idx="5">
                  <c:v>866</c:v>
                </c:pt>
                <c:pt idx="6">
                  <c:v>823</c:v>
                </c:pt>
                <c:pt idx="7">
                  <c:v>791</c:v>
                </c:pt>
                <c:pt idx="8">
                  <c:v>848</c:v>
                </c:pt>
                <c:pt idx="9">
                  <c:v>859</c:v>
                </c:pt>
                <c:pt idx="10">
                  <c:v>416</c:v>
                </c:pt>
                <c:pt idx="11">
                  <c:v>349</c:v>
                </c:pt>
                <c:pt idx="12">
                  <c:v>604</c:v>
                </c:pt>
                <c:pt idx="13">
                  <c:v>565</c:v>
                </c:pt>
                <c:pt idx="14">
                  <c:v>533</c:v>
                </c:pt>
                <c:pt idx="15">
                  <c:v>515</c:v>
                </c:pt>
                <c:pt idx="16">
                  <c:v>625</c:v>
                </c:pt>
                <c:pt idx="17">
                  <c:v>742</c:v>
                </c:pt>
                <c:pt idx="18">
                  <c:v>717</c:v>
                </c:pt>
                <c:pt idx="19">
                  <c:v>643</c:v>
                </c:pt>
                <c:pt idx="20">
                  <c:v>830</c:v>
                </c:pt>
                <c:pt idx="21">
                  <c:v>884</c:v>
                </c:pt>
                <c:pt idx="22">
                  <c:v>795</c:v>
                </c:pt>
                <c:pt idx="23">
                  <c:v>887</c:v>
                </c:pt>
                <c:pt idx="24">
                  <c:v>958</c:v>
                </c:pt>
                <c:pt idx="25">
                  <c:v>940</c:v>
                </c:pt>
                <c:pt idx="26">
                  <c:v>781</c:v>
                </c:pt>
                <c:pt idx="27">
                  <c:v>937</c:v>
                </c:pt>
                <c:pt idx="28">
                  <c:v>930</c:v>
                </c:pt>
                <c:pt idx="29">
                  <c:v>894</c:v>
                </c:pt>
              </c:numCache>
            </c:numRef>
          </c:yVal>
          <c:smooth val="0"/>
        </c:ser>
        <c:ser>
          <c:idx val="4"/>
          <c:order val="3"/>
          <c:tx>
            <c:v>01/jun</c:v>
          </c:tx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'After Oring 29May'!$AJ$4:$AJ$49</c:f>
              <c:numCache>
                <c:formatCode>General</c:formatCode>
                <c:ptCount val="46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36</c:v>
                </c:pt>
                <c:pt idx="11">
                  <c:v>36</c:v>
                </c:pt>
                <c:pt idx="12">
                  <c:v>36</c:v>
                </c:pt>
                <c:pt idx="13">
                  <c:v>36</c:v>
                </c:pt>
                <c:pt idx="14">
                  <c:v>36</c:v>
                </c:pt>
                <c:pt idx="15">
                  <c:v>36</c:v>
                </c:pt>
                <c:pt idx="16">
                  <c:v>36</c:v>
                </c:pt>
                <c:pt idx="17">
                  <c:v>36</c:v>
                </c:pt>
                <c:pt idx="18">
                  <c:v>36</c:v>
                </c:pt>
                <c:pt idx="19">
                  <c:v>36</c:v>
                </c:pt>
                <c:pt idx="20">
                  <c:v>36</c:v>
                </c:pt>
                <c:pt idx="21">
                  <c:v>36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36</c:v>
                </c:pt>
                <c:pt idx="28">
                  <c:v>36</c:v>
                </c:pt>
                <c:pt idx="29">
                  <c:v>36</c:v>
                </c:pt>
                <c:pt idx="30">
                  <c:v>36</c:v>
                </c:pt>
                <c:pt idx="31">
                  <c:v>36</c:v>
                </c:pt>
                <c:pt idx="32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</c:numCache>
            </c:numRef>
          </c:xVal>
          <c:yVal>
            <c:numRef>
              <c:f>'After Oring 29May'!$AF$4:$AF$49</c:f>
              <c:numCache>
                <c:formatCode>General</c:formatCode>
                <c:ptCount val="46"/>
                <c:pt idx="0">
                  <c:v>866</c:v>
                </c:pt>
                <c:pt idx="1">
                  <c:v>809</c:v>
                </c:pt>
                <c:pt idx="2">
                  <c:v>937</c:v>
                </c:pt>
                <c:pt idx="3">
                  <c:v>940</c:v>
                </c:pt>
                <c:pt idx="4">
                  <c:v>951</c:v>
                </c:pt>
                <c:pt idx="5">
                  <c:v>901</c:v>
                </c:pt>
                <c:pt idx="6">
                  <c:v>908</c:v>
                </c:pt>
                <c:pt idx="7">
                  <c:v>873</c:v>
                </c:pt>
                <c:pt idx="8">
                  <c:v>852</c:v>
                </c:pt>
                <c:pt idx="9">
                  <c:v>937</c:v>
                </c:pt>
                <c:pt idx="10">
                  <c:v>954</c:v>
                </c:pt>
                <c:pt idx="11">
                  <c:v>979</c:v>
                </c:pt>
                <c:pt idx="12">
                  <c:v>947</c:v>
                </c:pt>
                <c:pt idx="13">
                  <c:v>894</c:v>
                </c:pt>
                <c:pt idx="14">
                  <c:v>827</c:v>
                </c:pt>
                <c:pt idx="15">
                  <c:v>837</c:v>
                </c:pt>
                <c:pt idx="16">
                  <c:v>802</c:v>
                </c:pt>
                <c:pt idx="17">
                  <c:v>926</c:v>
                </c:pt>
                <c:pt idx="18">
                  <c:v>852</c:v>
                </c:pt>
                <c:pt idx="19">
                  <c:v>894</c:v>
                </c:pt>
                <c:pt idx="20">
                  <c:v>894</c:v>
                </c:pt>
                <c:pt idx="21">
                  <c:v>834</c:v>
                </c:pt>
                <c:pt idx="22">
                  <c:v>437</c:v>
                </c:pt>
                <c:pt idx="23">
                  <c:v>887</c:v>
                </c:pt>
                <c:pt idx="24">
                  <c:v>905</c:v>
                </c:pt>
                <c:pt idx="25">
                  <c:v>901</c:v>
                </c:pt>
                <c:pt idx="26">
                  <c:v>845</c:v>
                </c:pt>
                <c:pt idx="27">
                  <c:v>781</c:v>
                </c:pt>
                <c:pt idx="28">
                  <c:v>816</c:v>
                </c:pt>
                <c:pt idx="29">
                  <c:v>951</c:v>
                </c:pt>
                <c:pt idx="30">
                  <c:v>919</c:v>
                </c:pt>
                <c:pt idx="31">
                  <c:v>898</c:v>
                </c:pt>
                <c:pt idx="32">
                  <c:v>852</c:v>
                </c:pt>
                <c:pt idx="33">
                  <c:v>735</c:v>
                </c:pt>
                <c:pt idx="34">
                  <c:v>873</c:v>
                </c:pt>
                <c:pt idx="35">
                  <c:v>866</c:v>
                </c:pt>
                <c:pt idx="36">
                  <c:v>912</c:v>
                </c:pt>
                <c:pt idx="37">
                  <c:v>887</c:v>
                </c:pt>
                <c:pt idx="38">
                  <c:v>788</c:v>
                </c:pt>
                <c:pt idx="39">
                  <c:v>905</c:v>
                </c:pt>
                <c:pt idx="40">
                  <c:v>891</c:v>
                </c:pt>
                <c:pt idx="41">
                  <c:v>742</c:v>
                </c:pt>
                <c:pt idx="42">
                  <c:v>922</c:v>
                </c:pt>
                <c:pt idx="43">
                  <c:v>827</c:v>
                </c:pt>
                <c:pt idx="44">
                  <c:v>912</c:v>
                </c:pt>
                <c:pt idx="45">
                  <c:v>887</c:v>
                </c:pt>
              </c:numCache>
            </c:numRef>
          </c:yVal>
          <c:smooth val="0"/>
        </c:ser>
        <c:ser>
          <c:idx val="5"/>
          <c:order val="4"/>
          <c:tx>
            <c:v>03/jun</c:v>
          </c:tx>
          <c:spPr>
            <a:ln w="28575">
              <a:noFill/>
            </a:ln>
          </c:spPr>
          <c:marker>
            <c:symbol val="circle"/>
            <c:size val="5"/>
          </c:marker>
          <c:xVal>
            <c:numRef>
              <c:f>'After Oring 29May'!$AN$54:$AN$61</c:f>
              <c:numCache>
                <c:formatCode>General</c:formatCode>
                <c:ptCount val="8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</c:numCache>
            </c:numRef>
          </c:xVal>
          <c:yVal>
            <c:numRef>
              <c:f>'After Oring 29May'!$AJ$54:$AJ$61</c:f>
              <c:numCache>
                <c:formatCode>General</c:formatCode>
                <c:ptCount val="8"/>
                <c:pt idx="0">
                  <c:v>859</c:v>
                </c:pt>
                <c:pt idx="1">
                  <c:v>876</c:v>
                </c:pt>
                <c:pt idx="2">
                  <c:v>898</c:v>
                </c:pt>
                <c:pt idx="3">
                  <c:v>951</c:v>
                </c:pt>
                <c:pt idx="4">
                  <c:v>898</c:v>
                </c:pt>
                <c:pt idx="5">
                  <c:v>869</c:v>
                </c:pt>
                <c:pt idx="6">
                  <c:v>845</c:v>
                </c:pt>
                <c:pt idx="7">
                  <c:v>958</c:v>
                </c:pt>
              </c:numCache>
            </c:numRef>
          </c:yVal>
          <c:smooth val="0"/>
        </c:ser>
        <c:ser>
          <c:idx val="6"/>
          <c:order val="5"/>
          <c:tx>
            <c:v>08/jun</c:v>
          </c:tx>
          <c:spPr>
            <a:ln w="28575">
              <a:noFill/>
            </a:ln>
          </c:spPr>
          <c:marker>
            <c:symbol val="triangle"/>
            <c:size val="5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xVal>
            <c:numRef>
              <c:f>'After Oring 29May'!$AM$66:$AM$111</c:f>
              <c:numCache>
                <c:formatCode>General</c:formatCode>
                <c:ptCount val="46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36</c:v>
                </c:pt>
                <c:pt idx="11">
                  <c:v>36</c:v>
                </c:pt>
                <c:pt idx="12">
                  <c:v>36</c:v>
                </c:pt>
                <c:pt idx="13">
                  <c:v>36</c:v>
                </c:pt>
                <c:pt idx="14">
                  <c:v>36</c:v>
                </c:pt>
                <c:pt idx="15">
                  <c:v>36</c:v>
                </c:pt>
                <c:pt idx="16">
                  <c:v>36</c:v>
                </c:pt>
                <c:pt idx="17">
                  <c:v>36</c:v>
                </c:pt>
                <c:pt idx="18">
                  <c:v>36</c:v>
                </c:pt>
                <c:pt idx="19">
                  <c:v>36</c:v>
                </c:pt>
                <c:pt idx="20">
                  <c:v>36</c:v>
                </c:pt>
                <c:pt idx="21">
                  <c:v>36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36</c:v>
                </c:pt>
                <c:pt idx="28">
                  <c:v>36</c:v>
                </c:pt>
                <c:pt idx="29">
                  <c:v>36</c:v>
                </c:pt>
                <c:pt idx="30">
                  <c:v>36</c:v>
                </c:pt>
                <c:pt idx="31">
                  <c:v>36</c:v>
                </c:pt>
                <c:pt idx="32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</c:numCache>
            </c:numRef>
          </c:xVal>
          <c:yVal>
            <c:numRef>
              <c:f>'After Oring 29May'!$AI$66:$AI$111</c:f>
              <c:numCache>
                <c:formatCode>General</c:formatCode>
                <c:ptCount val="46"/>
                <c:pt idx="0">
                  <c:v>922</c:v>
                </c:pt>
                <c:pt idx="1">
                  <c:v>891</c:v>
                </c:pt>
                <c:pt idx="2">
                  <c:v>891</c:v>
                </c:pt>
                <c:pt idx="3">
                  <c:v>937</c:v>
                </c:pt>
                <c:pt idx="4">
                  <c:v>884</c:v>
                </c:pt>
                <c:pt idx="5">
                  <c:v>784</c:v>
                </c:pt>
                <c:pt idx="6">
                  <c:v>919</c:v>
                </c:pt>
                <c:pt idx="7">
                  <c:v>862</c:v>
                </c:pt>
                <c:pt idx="8">
                  <c:v>979</c:v>
                </c:pt>
                <c:pt idx="9">
                  <c:v>997</c:v>
                </c:pt>
                <c:pt idx="10">
                  <c:v>944</c:v>
                </c:pt>
                <c:pt idx="11">
                  <c:v>915</c:v>
                </c:pt>
                <c:pt idx="12">
                  <c:v>820</c:v>
                </c:pt>
                <c:pt idx="13">
                  <c:v>983</c:v>
                </c:pt>
                <c:pt idx="14">
                  <c:v>837</c:v>
                </c:pt>
                <c:pt idx="15">
                  <c:v>919</c:v>
                </c:pt>
                <c:pt idx="16">
                  <c:v>912</c:v>
                </c:pt>
                <c:pt idx="17">
                  <c:v>848</c:v>
                </c:pt>
                <c:pt idx="18">
                  <c:v>837</c:v>
                </c:pt>
                <c:pt idx="19">
                  <c:v>873</c:v>
                </c:pt>
                <c:pt idx="20">
                  <c:v>908</c:v>
                </c:pt>
                <c:pt idx="21">
                  <c:v>884</c:v>
                </c:pt>
                <c:pt idx="22">
                  <c:v>841</c:v>
                </c:pt>
                <c:pt idx="23">
                  <c:v>905</c:v>
                </c:pt>
                <c:pt idx="24">
                  <c:v>859</c:v>
                </c:pt>
                <c:pt idx="25">
                  <c:v>891</c:v>
                </c:pt>
                <c:pt idx="26">
                  <c:v>926</c:v>
                </c:pt>
                <c:pt idx="27">
                  <c:v>845</c:v>
                </c:pt>
                <c:pt idx="28">
                  <c:v>876</c:v>
                </c:pt>
                <c:pt idx="29">
                  <c:v>908</c:v>
                </c:pt>
                <c:pt idx="30">
                  <c:v>784</c:v>
                </c:pt>
                <c:pt idx="31">
                  <c:v>884</c:v>
                </c:pt>
                <c:pt idx="32">
                  <c:v>901</c:v>
                </c:pt>
                <c:pt idx="33">
                  <c:v>845</c:v>
                </c:pt>
                <c:pt idx="34">
                  <c:v>873</c:v>
                </c:pt>
                <c:pt idx="35">
                  <c:v>806</c:v>
                </c:pt>
                <c:pt idx="36">
                  <c:v>940</c:v>
                </c:pt>
                <c:pt idx="37">
                  <c:v>908</c:v>
                </c:pt>
                <c:pt idx="38">
                  <c:v>841</c:v>
                </c:pt>
                <c:pt idx="39">
                  <c:v>898</c:v>
                </c:pt>
                <c:pt idx="40">
                  <c:v>905</c:v>
                </c:pt>
                <c:pt idx="41">
                  <c:v>876</c:v>
                </c:pt>
                <c:pt idx="42">
                  <c:v>933</c:v>
                </c:pt>
                <c:pt idx="43">
                  <c:v>884</c:v>
                </c:pt>
                <c:pt idx="44">
                  <c:v>930</c:v>
                </c:pt>
                <c:pt idx="45">
                  <c:v>859</c:v>
                </c:pt>
              </c:numCache>
            </c:numRef>
          </c:yVal>
          <c:smooth val="0"/>
        </c:ser>
        <c:ser>
          <c:idx val="1"/>
          <c:order val="6"/>
          <c:tx>
            <c:v>19/jun</c:v>
          </c:tx>
          <c:spPr>
            <a:ln w="28575">
              <a:noFill/>
            </a:ln>
          </c:spPr>
          <c:marker>
            <c:symbol val="star"/>
            <c:size val="5"/>
            <c:spPr>
              <a:noFill/>
              <a:ln w="9525">
                <a:solidFill>
                  <a:srgbClr val="5C28A8"/>
                </a:solidFill>
              </a:ln>
            </c:spPr>
          </c:marker>
          <c:xVal>
            <c:numRef>
              <c:f>'After capilar 19Jun'!$AO$4:$AO$43</c:f>
              <c:numCache>
                <c:formatCode>General</c:formatCode>
                <c:ptCount val="40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36</c:v>
                </c:pt>
                <c:pt idx="11">
                  <c:v>36</c:v>
                </c:pt>
                <c:pt idx="12">
                  <c:v>36</c:v>
                </c:pt>
                <c:pt idx="13">
                  <c:v>36</c:v>
                </c:pt>
                <c:pt idx="14">
                  <c:v>36</c:v>
                </c:pt>
                <c:pt idx="15">
                  <c:v>36</c:v>
                </c:pt>
                <c:pt idx="16">
                  <c:v>36</c:v>
                </c:pt>
                <c:pt idx="17">
                  <c:v>36</c:v>
                </c:pt>
                <c:pt idx="18">
                  <c:v>36</c:v>
                </c:pt>
                <c:pt idx="19">
                  <c:v>36</c:v>
                </c:pt>
                <c:pt idx="20">
                  <c:v>36</c:v>
                </c:pt>
                <c:pt idx="21">
                  <c:v>36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36</c:v>
                </c:pt>
                <c:pt idx="28">
                  <c:v>36</c:v>
                </c:pt>
                <c:pt idx="29">
                  <c:v>36</c:v>
                </c:pt>
                <c:pt idx="30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</c:numCache>
            </c:numRef>
          </c:xVal>
          <c:yVal>
            <c:numRef>
              <c:f>'After capilar 19Jun'!$AM$4:$AM$43</c:f>
              <c:numCache>
                <c:formatCode>General</c:formatCode>
                <c:ptCount val="40"/>
                <c:pt idx="0">
                  <c:v>887</c:v>
                </c:pt>
                <c:pt idx="1">
                  <c:v>908</c:v>
                </c:pt>
                <c:pt idx="2">
                  <c:v>884</c:v>
                </c:pt>
                <c:pt idx="3">
                  <c:v>830</c:v>
                </c:pt>
                <c:pt idx="4">
                  <c:v>876</c:v>
                </c:pt>
                <c:pt idx="5">
                  <c:v>862</c:v>
                </c:pt>
                <c:pt idx="6">
                  <c:v>876</c:v>
                </c:pt>
                <c:pt idx="7">
                  <c:v>855</c:v>
                </c:pt>
                <c:pt idx="8">
                  <c:v>841</c:v>
                </c:pt>
                <c:pt idx="9">
                  <c:v>891</c:v>
                </c:pt>
                <c:pt idx="10">
                  <c:v>887</c:v>
                </c:pt>
                <c:pt idx="11">
                  <c:v>926</c:v>
                </c:pt>
                <c:pt idx="12">
                  <c:v>901</c:v>
                </c:pt>
                <c:pt idx="13">
                  <c:v>834</c:v>
                </c:pt>
                <c:pt idx="14">
                  <c:v>880</c:v>
                </c:pt>
                <c:pt idx="15">
                  <c:v>848</c:v>
                </c:pt>
                <c:pt idx="16">
                  <c:v>841</c:v>
                </c:pt>
                <c:pt idx="17">
                  <c:v>816</c:v>
                </c:pt>
                <c:pt idx="18">
                  <c:v>855</c:v>
                </c:pt>
                <c:pt idx="19">
                  <c:v>912</c:v>
                </c:pt>
                <c:pt idx="20">
                  <c:v>859</c:v>
                </c:pt>
                <c:pt idx="21">
                  <c:v>891</c:v>
                </c:pt>
                <c:pt idx="22">
                  <c:v>845</c:v>
                </c:pt>
                <c:pt idx="23">
                  <c:v>791</c:v>
                </c:pt>
                <c:pt idx="24">
                  <c:v>869</c:v>
                </c:pt>
                <c:pt idx="25">
                  <c:v>820</c:v>
                </c:pt>
                <c:pt idx="26">
                  <c:v>830</c:v>
                </c:pt>
                <c:pt idx="27">
                  <c:v>869</c:v>
                </c:pt>
                <c:pt idx="28">
                  <c:v>958</c:v>
                </c:pt>
                <c:pt idx="29">
                  <c:v>869</c:v>
                </c:pt>
                <c:pt idx="30">
                  <c:v>912</c:v>
                </c:pt>
                <c:pt idx="33">
                  <c:v>795</c:v>
                </c:pt>
                <c:pt idx="34">
                  <c:v>791</c:v>
                </c:pt>
                <c:pt idx="35">
                  <c:v>937</c:v>
                </c:pt>
                <c:pt idx="36">
                  <c:v>880</c:v>
                </c:pt>
                <c:pt idx="37">
                  <c:v>912</c:v>
                </c:pt>
                <c:pt idx="38">
                  <c:v>816</c:v>
                </c:pt>
                <c:pt idx="39">
                  <c:v>802</c:v>
                </c:pt>
              </c:numCache>
            </c:numRef>
          </c:yVal>
          <c:smooth val="0"/>
        </c:ser>
        <c:ser>
          <c:idx val="7"/>
          <c:order val="7"/>
          <c:tx>
            <c:v>26/jun</c:v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'After capilar 19Jun'!$AO$49:$AO$89</c:f>
              <c:numCache>
                <c:formatCode>General</c:formatCode>
                <c:ptCount val="41"/>
                <c:pt idx="0">
                  <c:v>18</c:v>
                </c:pt>
                <c:pt idx="1">
                  <c:v>18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36</c:v>
                </c:pt>
                <c:pt idx="9">
                  <c:v>36</c:v>
                </c:pt>
                <c:pt idx="12">
                  <c:v>36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18</c:v>
                </c:pt>
                <c:pt idx="19">
                  <c:v>18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54</c:v>
                </c:pt>
                <c:pt idx="26">
                  <c:v>54</c:v>
                </c:pt>
                <c:pt idx="27">
                  <c:v>54</c:v>
                </c:pt>
                <c:pt idx="28">
                  <c:v>54</c:v>
                </c:pt>
                <c:pt idx="29">
                  <c:v>54</c:v>
                </c:pt>
                <c:pt idx="30">
                  <c:v>54</c:v>
                </c:pt>
                <c:pt idx="31">
                  <c:v>45</c:v>
                </c:pt>
                <c:pt idx="32">
                  <c:v>45</c:v>
                </c:pt>
                <c:pt idx="33">
                  <c:v>45</c:v>
                </c:pt>
                <c:pt idx="34">
                  <c:v>45</c:v>
                </c:pt>
                <c:pt idx="35">
                  <c:v>36</c:v>
                </c:pt>
                <c:pt idx="36">
                  <c:v>36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</c:numCache>
            </c:numRef>
          </c:xVal>
          <c:yVal>
            <c:numRef>
              <c:f>'After capilar 19Jun'!$AM$49:$AM$89</c:f>
              <c:numCache>
                <c:formatCode>General</c:formatCode>
                <c:ptCount val="41"/>
                <c:pt idx="0">
                  <c:v>303</c:v>
                </c:pt>
                <c:pt idx="1">
                  <c:v>600</c:v>
                </c:pt>
                <c:pt idx="2">
                  <c:v>398</c:v>
                </c:pt>
                <c:pt idx="3">
                  <c:v>391</c:v>
                </c:pt>
                <c:pt idx="4">
                  <c:v>420</c:v>
                </c:pt>
                <c:pt idx="5">
                  <c:v>515</c:v>
                </c:pt>
                <c:pt idx="6">
                  <c:v>370</c:v>
                </c:pt>
                <c:pt idx="7">
                  <c:v>413</c:v>
                </c:pt>
                <c:pt idx="8">
                  <c:v>887</c:v>
                </c:pt>
                <c:pt idx="9">
                  <c:v>738</c:v>
                </c:pt>
                <c:pt idx="12">
                  <c:v>866</c:v>
                </c:pt>
                <c:pt idx="13">
                  <c:v>728</c:v>
                </c:pt>
                <c:pt idx="14">
                  <c:v>827</c:v>
                </c:pt>
                <c:pt idx="15">
                  <c:v>770</c:v>
                </c:pt>
                <c:pt idx="16">
                  <c:v>760</c:v>
                </c:pt>
                <c:pt idx="17">
                  <c:v>777</c:v>
                </c:pt>
                <c:pt idx="18">
                  <c:v>671</c:v>
                </c:pt>
                <c:pt idx="19">
                  <c:v>600</c:v>
                </c:pt>
                <c:pt idx="22">
                  <c:v>908</c:v>
                </c:pt>
                <c:pt idx="23">
                  <c:v>855</c:v>
                </c:pt>
                <c:pt idx="24">
                  <c:v>731</c:v>
                </c:pt>
                <c:pt idx="25">
                  <c:v>1068</c:v>
                </c:pt>
                <c:pt idx="26">
                  <c:v>965</c:v>
                </c:pt>
                <c:pt idx="27">
                  <c:v>1022</c:v>
                </c:pt>
                <c:pt idx="28">
                  <c:v>979</c:v>
                </c:pt>
                <c:pt idx="29">
                  <c:v>947</c:v>
                </c:pt>
                <c:pt idx="30">
                  <c:v>1004</c:v>
                </c:pt>
                <c:pt idx="31">
                  <c:v>986</c:v>
                </c:pt>
                <c:pt idx="32">
                  <c:v>915</c:v>
                </c:pt>
                <c:pt idx="33">
                  <c:v>954</c:v>
                </c:pt>
                <c:pt idx="34">
                  <c:v>926</c:v>
                </c:pt>
                <c:pt idx="35">
                  <c:v>830</c:v>
                </c:pt>
                <c:pt idx="36">
                  <c:v>788</c:v>
                </c:pt>
                <c:pt idx="37">
                  <c:v>834</c:v>
                </c:pt>
                <c:pt idx="38">
                  <c:v>752</c:v>
                </c:pt>
                <c:pt idx="39">
                  <c:v>866</c:v>
                </c:pt>
                <c:pt idx="40">
                  <c:v>884</c:v>
                </c:pt>
              </c:numCache>
            </c:numRef>
          </c:yVal>
          <c:smooth val="0"/>
        </c:ser>
        <c:ser>
          <c:idx val="8"/>
          <c:order val="8"/>
          <c:tx>
            <c:v>29/jun</c:v>
          </c:tx>
          <c:spPr>
            <a:ln w="28575">
              <a:noFill/>
            </a:ln>
          </c:spPr>
          <c:marker>
            <c:symbol val="circle"/>
            <c:size val="5"/>
            <c:spPr>
              <a:noFill/>
              <a:ln w="15875">
                <a:solidFill>
                  <a:schemeClr val="accent6">
                    <a:lumMod val="40000"/>
                    <a:lumOff val="60000"/>
                  </a:schemeClr>
                </a:solidFill>
              </a:ln>
            </c:spPr>
          </c:marker>
          <c:xVal>
            <c:numRef>
              <c:f>'After capilar 19Jun'!$AT$95:$AT$136</c:f>
              <c:numCache>
                <c:formatCode>General</c:formatCode>
                <c:ptCount val="4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54</c:v>
                </c:pt>
                <c:pt idx="5">
                  <c:v>54</c:v>
                </c:pt>
                <c:pt idx="6">
                  <c:v>54</c:v>
                </c:pt>
                <c:pt idx="7">
                  <c:v>54</c:v>
                </c:pt>
                <c:pt idx="8">
                  <c:v>54</c:v>
                </c:pt>
                <c:pt idx="9">
                  <c:v>54</c:v>
                </c:pt>
                <c:pt idx="10">
                  <c:v>54</c:v>
                </c:pt>
                <c:pt idx="11">
                  <c:v>45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45</c:v>
                </c:pt>
                <c:pt idx="17">
                  <c:v>45</c:v>
                </c:pt>
                <c:pt idx="18">
                  <c:v>36</c:v>
                </c:pt>
                <c:pt idx="19">
                  <c:v>36</c:v>
                </c:pt>
                <c:pt idx="20">
                  <c:v>36</c:v>
                </c:pt>
                <c:pt idx="21">
                  <c:v>36</c:v>
                </c:pt>
                <c:pt idx="22">
                  <c:v>36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</c:numCache>
            </c:numRef>
          </c:xVal>
          <c:yVal>
            <c:numRef>
              <c:f>'After capilar 19Jun'!$AL$95:$AL$136</c:f>
              <c:numCache>
                <c:formatCode>General</c:formatCode>
                <c:ptCount val="42"/>
                <c:pt idx="0">
                  <c:v>434</c:v>
                </c:pt>
                <c:pt idx="1">
                  <c:v>430</c:v>
                </c:pt>
                <c:pt idx="2">
                  <c:v>444</c:v>
                </c:pt>
                <c:pt idx="3">
                  <c:v>359</c:v>
                </c:pt>
                <c:pt idx="4">
                  <c:v>1043</c:v>
                </c:pt>
                <c:pt idx="5">
                  <c:v>1032</c:v>
                </c:pt>
                <c:pt idx="6">
                  <c:v>1018</c:v>
                </c:pt>
                <c:pt idx="7">
                  <c:v>979</c:v>
                </c:pt>
                <c:pt idx="8">
                  <c:v>1011</c:v>
                </c:pt>
                <c:pt idx="9">
                  <c:v>1046</c:v>
                </c:pt>
                <c:pt idx="10">
                  <c:v>1068</c:v>
                </c:pt>
                <c:pt idx="11">
                  <c:v>1007</c:v>
                </c:pt>
                <c:pt idx="12">
                  <c:v>993</c:v>
                </c:pt>
                <c:pt idx="13">
                  <c:v>997</c:v>
                </c:pt>
                <c:pt idx="14">
                  <c:v>905</c:v>
                </c:pt>
                <c:pt idx="15">
                  <c:v>919</c:v>
                </c:pt>
                <c:pt idx="16">
                  <c:v>926</c:v>
                </c:pt>
                <c:pt idx="17">
                  <c:v>1018</c:v>
                </c:pt>
                <c:pt idx="18">
                  <c:v>855</c:v>
                </c:pt>
                <c:pt idx="19">
                  <c:v>926</c:v>
                </c:pt>
                <c:pt idx="20">
                  <c:v>901</c:v>
                </c:pt>
                <c:pt idx="21">
                  <c:v>834</c:v>
                </c:pt>
                <c:pt idx="22">
                  <c:v>912</c:v>
                </c:pt>
                <c:pt idx="23">
                  <c:v>710</c:v>
                </c:pt>
                <c:pt idx="24">
                  <c:v>809</c:v>
                </c:pt>
                <c:pt idx="25">
                  <c:v>763</c:v>
                </c:pt>
                <c:pt idx="26">
                  <c:v>823</c:v>
                </c:pt>
                <c:pt idx="27">
                  <c:v>728</c:v>
                </c:pt>
                <c:pt idx="28">
                  <c:v>837</c:v>
                </c:pt>
                <c:pt idx="29">
                  <c:v>568</c:v>
                </c:pt>
                <c:pt idx="30">
                  <c:v>579</c:v>
                </c:pt>
                <c:pt idx="31">
                  <c:v>689</c:v>
                </c:pt>
                <c:pt idx="33">
                  <c:v>650</c:v>
                </c:pt>
                <c:pt idx="34">
                  <c:v>657</c:v>
                </c:pt>
                <c:pt idx="35">
                  <c:v>568</c:v>
                </c:pt>
                <c:pt idx="36">
                  <c:v>441</c:v>
                </c:pt>
                <c:pt idx="38">
                  <c:v>321</c:v>
                </c:pt>
                <c:pt idx="39">
                  <c:v>388</c:v>
                </c:pt>
                <c:pt idx="40">
                  <c:v>547</c:v>
                </c:pt>
                <c:pt idx="41">
                  <c:v>487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06048"/>
        <c:axId val="124506624"/>
      </c:scatterChart>
      <c:valAx>
        <c:axId val="124506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mass (ug)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506624"/>
        <c:crosses val="autoZero"/>
        <c:crossBetween val="midCat"/>
      </c:valAx>
      <c:valAx>
        <c:axId val="12450662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506048"/>
        <c:crosses val="autoZero"/>
        <c:crossBetween val="midCat"/>
      </c:valAx>
    </c:plotArea>
    <c:legend>
      <c:legendPos val="b"/>
      <c:legendEntry>
        <c:idx val="9"/>
        <c:delete val="1"/>
      </c:legendEntry>
      <c:layout>
        <c:manualLayout>
          <c:xMode val="edge"/>
          <c:yMode val="edge"/>
          <c:x val="1.9513424074366622E-2"/>
          <c:y val="0.87090213723284593"/>
          <c:w val="0.98048657592563337"/>
          <c:h val="0.11005024371953506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" l="0.70000000000000095" r="0.70000000000000095" t="0.750000000000001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</a:t>
            </a:r>
            <a:r>
              <a:rPr lang="en-US" baseline="0"/>
              <a:t> x Intensity </a:t>
            </a:r>
            <a:r>
              <a:rPr lang="en-US" sz="1200" baseline="0"/>
              <a:t>(3drops, 600s)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4281433956557901"/>
          <c:y val="3.8350672487182602E-2"/>
          <c:w val="0.81842195651469696"/>
          <c:h val="0.71331237745479448"/>
        </c:manualLayout>
      </c:layout>
      <c:scatterChart>
        <c:scatterStyle val="lineMarker"/>
        <c:varyColors val="0"/>
        <c:ser>
          <c:idx val="0"/>
          <c:order val="0"/>
          <c:tx>
            <c:v>Previous</c:v>
          </c:tx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('After instal'!$AG$6:$AG$13,'After instal'!$AG$30:$AG$35,'After instal'!$AG$64:$AG$82,'After instal'!$AG$112:$AG$117)</c:f>
              <c:numCache>
                <c:formatCode>General</c:formatCode>
                <c:ptCount val="39"/>
                <c:pt idx="0">
                  <c:v>533</c:v>
                </c:pt>
                <c:pt idx="1">
                  <c:v>538</c:v>
                </c:pt>
                <c:pt idx="2">
                  <c:v>494</c:v>
                </c:pt>
                <c:pt idx="3">
                  <c:v>455</c:v>
                </c:pt>
                <c:pt idx="4">
                  <c:v>467</c:v>
                </c:pt>
                <c:pt idx="5">
                  <c:v>477</c:v>
                </c:pt>
                <c:pt idx="6">
                  <c:v>525</c:v>
                </c:pt>
                <c:pt idx="7">
                  <c:v>445</c:v>
                </c:pt>
                <c:pt idx="8">
                  <c:v>40</c:v>
                </c:pt>
                <c:pt idx="11">
                  <c:v>462</c:v>
                </c:pt>
                <c:pt idx="12">
                  <c:v>486</c:v>
                </c:pt>
                <c:pt idx="13">
                  <c:v>508</c:v>
                </c:pt>
                <c:pt idx="14">
                  <c:v>311</c:v>
                </c:pt>
                <c:pt idx="15">
                  <c:v>30</c:v>
                </c:pt>
                <c:pt idx="16">
                  <c:v>232</c:v>
                </c:pt>
                <c:pt idx="17">
                  <c:v>262</c:v>
                </c:pt>
                <c:pt idx="18">
                  <c:v>250</c:v>
                </c:pt>
                <c:pt idx="21">
                  <c:v>418</c:v>
                </c:pt>
                <c:pt idx="22">
                  <c:v>367</c:v>
                </c:pt>
                <c:pt idx="23">
                  <c:v>311</c:v>
                </c:pt>
                <c:pt idx="24">
                  <c:v>418</c:v>
                </c:pt>
                <c:pt idx="25">
                  <c:v>440</c:v>
                </c:pt>
                <c:pt idx="28">
                  <c:v>469</c:v>
                </c:pt>
                <c:pt idx="29">
                  <c:v>489</c:v>
                </c:pt>
                <c:pt idx="30">
                  <c:v>489</c:v>
                </c:pt>
                <c:pt idx="31">
                  <c:v>469</c:v>
                </c:pt>
                <c:pt idx="32">
                  <c:v>416</c:v>
                </c:pt>
                <c:pt idx="33">
                  <c:v>543</c:v>
                </c:pt>
                <c:pt idx="36">
                  <c:v>670</c:v>
                </c:pt>
                <c:pt idx="37">
                  <c:v>589</c:v>
                </c:pt>
                <c:pt idx="38">
                  <c:v>25</c:v>
                </c:pt>
              </c:numCache>
            </c:numRef>
          </c:xVal>
          <c:yVal>
            <c:numRef>
              <c:f>('After instal'!$AJ$6:$AJ$13,'After instal'!$AJ$30:$AJ$35,'After instal'!$AJ$64:$AJ$82,'After instal'!$AJ$112:$AJ$117)</c:f>
              <c:numCache>
                <c:formatCode>General</c:formatCode>
                <c:ptCount val="39"/>
                <c:pt idx="0">
                  <c:v>1775</c:v>
                </c:pt>
                <c:pt idx="1">
                  <c:v>1729</c:v>
                </c:pt>
                <c:pt idx="2">
                  <c:v>1375</c:v>
                </c:pt>
                <c:pt idx="3">
                  <c:v>1177</c:v>
                </c:pt>
                <c:pt idx="4">
                  <c:v>1187</c:v>
                </c:pt>
                <c:pt idx="5">
                  <c:v>1195</c:v>
                </c:pt>
                <c:pt idx="6">
                  <c:v>1652</c:v>
                </c:pt>
                <c:pt idx="7">
                  <c:v>1146</c:v>
                </c:pt>
                <c:pt idx="8">
                  <c:v>9</c:v>
                </c:pt>
                <c:pt idx="11">
                  <c:v>1355</c:v>
                </c:pt>
                <c:pt idx="12">
                  <c:v>1513</c:v>
                </c:pt>
                <c:pt idx="13">
                  <c:v>1748</c:v>
                </c:pt>
                <c:pt idx="14">
                  <c:v>631</c:v>
                </c:pt>
                <c:pt idx="15">
                  <c:v>12</c:v>
                </c:pt>
                <c:pt idx="16">
                  <c:v>407</c:v>
                </c:pt>
                <c:pt idx="17">
                  <c:v>245</c:v>
                </c:pt>
                <c:pt idx="18">
                  <c:v>435</c:v>
                </c:pt>
                <c:pt idx="21">
                  <c:v>1061</c:v>
                </c:pt>
                <c:pt idx="22">
                  <c:v>888</c:v>
                </c:pt>
                <c:pt idx="23">
                  <c:v>646</c:v>
                </c:pt>
                <c:pt idx="24">
                  <c:v>1149</c:v>
                </c:pt>
                <c:pt idx="25">
                  <c:v>1310</c:v>
                </c:pt>
                <c:pt idx="28">
                  <c:v>1467</c:v>
                </c:pt>
                <c:pt idx="29">
                  <c:v>1527</c:v>
                </c:pt>
                <c:pt idx="30">
                  <c:v>1519</c:v>
                </c:pt>
                <c:pt idx="31">
                  <c:v>1444</c:v>
                </c:pt>
                <c:pt idx="32">
                  <c:v>1112</c:v>
                </c:pt>
                <c:pt idx="33">
                  <c:v>1600</c:v>
                </c:pt>
                <c:pt idx="36">
                  <c:v>3209</c:v>
                </c:pt>
                <c:pt idx="37">
                  <c:v>2731</c:v>
                </c:pt>
                <c:pt idx="38">
                  <c:v>8</c:v>
                </c:pt>
              </c:numCache>
            </c:numRef>
          </c:yVal>
          <c:smooth val="0"/>
        </c:ser>
        <c:ser>
          <c:idx val="3"/>
          <c:order val="1"/>
          <c:tx>
            <c:v>Expected</c:v>
          </c:tx>
          <c:spPr>
            <a:ln w="28575">
              <a:solidFill>
                <a:srgbClr val="777777">
                  <a:alpha val="50000"/>
                </a:srgbClr>
              </a:solidFill>
            </a:ln>
          </c:spPr>
          <c:marker>
            <c:symbol val="none"/>
          </c:marker>
          <c:trendline>
            <c:spPr>
              <a:ln>
                <a:solidFill>
                  <a:srgbClr val="777777"/>
                </a:solidFill>
              </a:ln>
            </c:spPr>
            <c:trendlineType val="poly"/>
            <c:order val="2"/>
            <c:dispRSqr val="0"/>
            <c:dispEq val="0"/>
          </c:trendline>
          <c:xVal>
            <c:numRef>
              <c:f>'After software 19May'!$D$8:$D$17</c:f>
              <c:numCache>
                <c:formatCode>General</c:formatCode>
                <c:ptCount val="10"/>
                <c:pt idx="0">
                  <c:v>100</c:v>
                </c:pt>
                <c:pt idx="1">
                  <c:v>300</c:v>
                </c:pt>
                <c:pt idx="2">
                  <c:v>200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950</c:v>
                </c:pt>
              </c:numCache>
            </c:numRef>
          </c:xVal>
          <c:yVal>
            <c:numRef>
              <c:f>'After software 19May'!$E$8:$E$17</c:f>
              <c:numCache>
                <c:formatCode>General</c:formatCode>
                <c:ptCount val="10"/>
                <c:pt idx="0">
                  <c:v>0</c:v>
                </c:pt>
                <c:pt idx="1">
                  <c:v>900</c:v>
                </c:pt>
                <c:pt idx="2">
                  <c:v>440</c:v>
                </c:pt>
                <c:pt idx="3">
                  <c:v>1600</c:v>
                </c:pt>
                <c:pt idx="4">
                  <c:v>2400</c:v>
                </c:pt>
                <c:pt idx="5">
                  <c:v>3400</c:v>
                </c:pt>
                <c:pt idx="6">
                  <c:v>4500</c:v>
                </c:pt>
                <c:pt idx="7">
                  <c:v>5800</c:v>
                </c:pt>
                <c:pt idx="8">
                  <c:v>7000</c:v>
                </c:pt>
                <c:pt idx="9">
                  <c:v>8000</c:v>
                </c:pt>
              </c:numCache>
            </c:numRef>
          </c:yVal>
          <c:smooth val="0"/>
        </c:ser>
        <c:ser>
          <c:idx val="2"/>
          <c:order val="2"/>
          <c:tx>
            <c:v>20/mai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'After software 19May'!$AG$27:$AG$56</c:f>
              <c:numCache>
                <c:formatCode>General</c:formatCode>
                <c:ptCount val="30"/>
                <c:pt idx="0">
                  <c:v>352</c:v>
                </c:pt>
                <c:pt idx="1">
                  <c:v>420</c:v>
                </c:pt>
                <c:pt idx="2">
                  <c:v>820</c:v>
                </c:pt>
                <c:pt idx="3">
                  <c:v>714</c:v>
                </c:pt>
                <c:pt idx="4">
                  <c:v>813</c:v>
                </c:pt>
                <c:pt idx="5">
                  <c:v>866</c:v>
                </c:pt>
                <c:pt idx="6">
                  <c:v>823</c:v>
                </c:pt>
                <c:pt idx="7">
                  <c:v>791</c:v>
                </c:pt>
                <c:pt idx="8">
                  <c:v>848</c:v>
                </c:pt>
                <c:pt idx="9">
                  <c:v>859</c:v>
                </c:pt>
                <c:pt idx="10">
                  <c:v>416</c:v>
                </c:pt>
                <c:pt idx="11">
                  <c:v>349</c:v>
                </c:pt>
                <c:pt idx="12">
                  <c:v>604</c:v>
                </c:pt>
                <c:pt idx="13">
                  <c:v>565</c:v>
                </c:pt>
                <c:pt idx="14">
                  <c:v>533</c:v>
                </c:pt>
                <c:pt idx="15">
                  <c:v>515</c:v>
                </c:pt>
                <c:pt idx="16">
                  <c:v>625</c:v>
                </c:pt>
                <c:pt idx="17">
                  <c:v>742</c:v>
                </c:pt>
                <c:pt idx="18">
                  <c:v>717</c:v>
                </c:pt>
                <c:pt idx="19">
                  <c:v>643</c:v>
                </c:pt>
                <c:pt idx="20">
                  <c:v>830</c:v>
                </c:pt>
                <c:pt idx="21">
                  <c:v>884</c:v>
                </c:pt>
                <c:pt idx="22">
                  <c:v>795</c:v>
                </c:pt>
                <c:pt idx="23">
                  <c:v>887</c:v>
                </c:pt>
                <c:pt idx="24">
                  <c:v>958</c:v>
                </c:pt>
                <c:pt idx="25">
                  <c:v>940</c:v>
                </c:pt>
                <c:pt idx="26">
                  <c:v>781</c:v>
                </c:pt>
                <c:pt idx="27">
                  <c:v>937</c:v>
                </c:pt>
                <c:pt idx="28">
                  <c:v>930</c:v>
                </c:pt>
                <c:pt idx="29">
                  <c:v>894</c:v>
                </c:pt>
              </c:numCache>
            </c:numRef>
          </c:xVal>
          <c:yVal>
            <c:numRef>
              <c:f>'After software 19May'!$AJ$27:$AJ$56</c:f>
              <c:numCache>
                <c:formatCode>General</c:formatCode>
                <c:ptCount val="30"/>
                <c:pt idx="0">
                  <c:v>911</c:v>
                </c:pt>
                <c:pt idx="1">
                  <c:v>1396</c:v>
                </c:pt>
                <c:pt idx="2">
                  <c:v>4528</c:v>
                </c:pt>
                <c:pt idx="3">
                  <c:v>3564</c:v>
                </c:pt>
                <c:pt idx="4">
                  <c:v>4926</c:v>
                </c:pt>
                <c:pt idx="5">
                  <c:v>5536</c:v>
                </c:pt>
                <c:pt idx="6">
                  <c:v>5235</c:v>
                </c:pt>
                <c:pt idx="7">
                  <c:v>4657</c:v>
                </c:pt>
                <c:pt idx="8">
                  <c:v>4947</c:v>
                </c:pt>
                <c:pt idx="9">
                  <c:v>5676</c:v>
                </c:pt>
                <c:pt idx="10">
                  <c:v>1154</c:v>
                </c:pt>
                <c:pt idx="11">
                  <c:v>898</c:v>
                </c:pt>
                <c:pt idx="12">
                  <c:v>2447</c:v>
                </c:pt>
                <c:pt idx="13">
                  <c:v>1987</c:v>
                </c:pt>
                <c:pt idx="14">
                  <c:v>1686</c:v>
                </c:pt>
                <c:pt idx="15">
                  <c:v>1728</c:v>
                </c:pt>
                <c:pt idx="16">
                  <c:v>2366</c:v>
                </c:pt>
                <c:pt idx="17">
                  <c:v>3404</c:v>
                </c:pt>
                <c:pt idx="18">
                  <c:v>3373</c:v>
                </c:pt>
                <c:pt idx="19">
                  <c:v>2600</c:v>
                </c:pt>
                <c:pt idx="20">
                  <c:v>4586</c:v>
                </c:pt>
                <c:pt idx="21">
                  <c:v>6009</c:v>
                </c:pt>
                <c:pt idx="22">
                  <c:v>4339</c:v>
                </c:pt>
                <c:pt idx="23">
                  <c:v>6357</c:v>
                </c:pt>
                <c:pt idx="24">
                  <c:v>7750</c:v>
                </c:pt>
                <c:pt idx="25">
                  <c:v>8073</c:v>
                </c:pt>
                <c:pt idx="26">
                  <c:v>5264</c:v>
                </c:pt>
                <c:pt idx="27">
                  <c:v>7602</c:v>
                </c:pt>
                <c:pt idx="28">
                  <c:v>7957</c:v>
                </c:pt>
                <c:pt idx="29">
                  <c:v>7509</c:v>
                </c:pt>
              </c:numCache>
            </c:numRef>
          </c:yVal>
          <c:smooth val="0"/>
        </c:ser>
        <c:ser>
          <c:idx val="4"/>
          <c:order val="3"/>
          <c:tx>
            <c:v>01/jun</c:v>
          </c:tx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'After Oring 29May'!$AF$4:$AF$49</c:f>
              <c:numCache>
                <c:formatCode>General</c:formatCode>
                <c:ptCount val="46"/>
                <c:pt idx="0">
                  <c:v>866</c:v>
                </c:pt>
                <c:pt idx="1">
                  <c:v>809</c:v>
                </c:pt>
                <c:pt idx="2">
                  <c:v>937</c:v>
                </c:pt>
                <c:pt idx="3">
                  <c:v>940</c:v>
                </c:pt>
                <c:pt idx="4">
                  <c:v>951</c:v>
                </c:pt>
                <c:pt idx="5">
                  <c:v>901</c:v>
                </c:pt>
                <c:pt idx="6">
                  <c:v>908</c:v>
                </c:pt>
                <c:pt idx="7">
                  <c:v>873</c:v>
                </c:pt>
                <c:pt idx="8">
                  <c:v>852</c:v>
                </c:pt>
                <c:pt idx="9">
                  <c:v>937</c:v>
                </c:pt>
                <c:pt idx="10">
                  <c:v>954</c:v>
                </c:pt>
                <c:pt idx="11">
                  <c:v>979</c:v>
                </c:pt>
                <c:pt idx="12">
                  <c:v>947</c:v>
                </c:pt>
                <c:pt idx="13">
                  <c:v>894</c:v>
                </c:pt>
                <c:pt idx="14">
                  <c:v>827</c:v>
                </c:pt>
                <c:pt idx="15">
                  <c:v>837</c:v>
                </c:pt>
                <c:pt idx="16">
                  <c:v>802</c:v>
                </c:pt>
                <c:pt idx="17">
                  <c:v>926</c:v>
                </c:pt>
                <c:pt idx="18">
                  <c:v>852</c:v>
                </c:pt>
                <c:pt idx="19">
                  <c:v>894</c:v>
                </c:pt>
                <c:pt idx="20">
                  <c:v>894</c:v>
                </c:pt>
                <c:pt idx="21">
                  <c:v>834</c:v>
                </c:pt>
                <c:pt idx="22">
                  <c:v>437</c:v>
                </c:pt>
                <c:pt idx="23">
                  <c:v>887</c:v>
                </c:pt>
                <c:pt idx="24">
                  <c:v>905</c:v>
                </c:pt>
                <c:pt idx="25">
                  <c:v>901</c:v>
                </c:pt>
                <c:pt idx="26">
                  <c:v>845</c:v>
                </c:pt>
                <c:pt idx="27">
                  <c:v>781</c:v>
                </c:pt>
                <c:pt idx="28">
                  <c:v>816</c:v>
                </c:pt>
                <c:pt idx="29">
                  <c:v>951</c:v>
                </c:pt>
                <c:pt idx="30">
                  <c:v>919</c:v>
                </c:pt>
                <c:pt idx="31">
                  <c:v>898</c:v>
                </c:pt>
                <c:pt idx="32">
                  <c:v>852</c:v>
                </c:pt>
                <c:pt idx="33">
                  <c:v>735</c:v>
                </c:pt>
                <c:pt idx="34">
                  <c:v>873</c:v>
                </c:pt>
                <c:pt idx="35">
                  <c:v>866</c:v>
                </c:pt>
                <c:pt idx="36">
                  <c:v>912</c:v>
                </c:pt>
                <c:pt idx="37">
                  <c:v>887</c:v>
                </c:pt>
                <c:pt idx="38">
                  <c:v>788</c:v>
                </c:pt>
                <c:pt idx="39">
                  <c:v>905</c:v>
                </c:pt>
                <c:pt idx="40">
                  <c:v>891</c:v>
                </c:pt>
                <c:pt idx="41">
                  <c:v>742</c:v>
                </c:pt>
                <c:pt idx="42">
                  <c:v>922</c:v>
                </c:pt>
                <c:pt idx="43">
                  <c:v>827</c:v>
                </c:pt>
                <c:pt idx="44">
                  <c:v>912</c:v>
                </c:pt>
                <c:pt idx="45">
                  <c:v>887</c:v>
                </c:pt>
              </c:numCache>
            </c:numRef>
          </c:xVal>
          <c:yVal>
            <c:numRef>
              <c:f>'After Oring 29May'!$AG$4:$AG$49</c:f>
              <c:numCache>
                <c:formatCode>General</c:formatCode>
                <c:ptCount val="46"/>
                <c:pt idx="0">
                  <c:v>3187</c:v>
                </c:pt>
                <c:pt idx="1">
                  <c:v>2276</c:v>
                </c:pt>
                <c:pt idx="2">
                  <c:v>3361</c:v>
                </c:pt>
                <c:pt idx="3">
                  <c:v>3756</c:v>
                </c:pt>
                <c:pt idx="4">
                  <c:v>4649</c:v>
                </c:pt>
                <c:pt idx="5">
                  <c:v>3734</c:v>
                </c:pt>
                <c:pt idx="6">
                  <c:v>3920</c:v>
                </c:pt>
                <c:pt idx="7">
                  <c:v>3279</c:v>
                </c:pt>
                <c:pt idx="8">
                  <c:v>2857</c:v>
                </c:pt>
                <c:pt idx="9">
                  <c:v>4190</c:v>
                </c:pt>
                <c:pt idx="10">
                  <c:v>4582</c:v>
                </c:pt>
                <c:pt idx="11">
                  <c:v>4602</c:v>
                </c:pt>
                <c:pt idx="12">
                  <c:v>4556</c:v>
                </c:pt>
                <c:pt idx="13">
                  <c:v>3870</c:v>
                </c:pt>
                <c:pt idx="14">
                  <c:v>2820</c:v>
                </c:pt>
                <c:pt idx="15">
                  <c:v>3237</c:v>
                </c:pt>
                <c:pt idx="16">
                  <c:v>2787</c:v>
                </c:pt>
                <c:pt idx="17">
                  <c:v>4010</c:v>
                </c:pt>
                <c:pt idx="18">
                  <c:v>3366</c:v>
                </c:pt>
                <c:pt idx="19">
                  <c:v>3748</c:v>
                </c:pt>
                <c:pt idx="20">
                  <c:v>3558</c:v>
                </c:pt>
                <c:pt idx="21">
                  <c:v>3089</c:v>
                </c:pt>
                <c:pt idx="22">
                  <c:v>3068</c:v>
                </c:pt>
                <c:pt idx="23">
                  <c:v>3506</c:v>
                </c:pt>
                <c:pt idx="24">
                  <c:v>3927</c:v>
                </c:pt>
                <c:pt idx="25">
                  <c:v>3865</c:v>
                </c:pt>
                <c:pt idx="26">
                  <c:v>3021</c:v>
                </c:pt>
                <c:pt idx="27">
                  <c:v>2555</c:v>
                </c:pt>
                <c:pt idx="28">
                  <c:v>2776</c:v>
                </c:pt>
                <c:pt idx="29">
                  <c:v>4017</c:v>
                </c:pt>
                <c:pt idx="30">
                  <c:v>3580</c:v>
                </c:pt>
                <c:pt idx="31">
                  <c:v>3514</c:v>
                </c:pt>
                <c:pt idx="32">
                  <c:v>3075</c:v>
                </c:pt>
                <c:pt idx="33">
                  <c:v>2042</c:v>
                </c:pt>
                <c:pt idx="34">
                  <c:v>3403</c:v>
                </c:pt>
                <c:pt idx="35">
                  <c:v>3284</c:v>
                </c:pt>
                <c:pt idx="36">
                  <c:v>3719</c:v>
                </c:pt>
                <c:pt idx="37">
                  <c:v>3622</c:v>
                </c:pt>
                <c:pt idx="38">
                  <c:v>2559</c:v>
                </c:pt>
                <c:pt idx="39">
                  <c:v>3535</c:v>
                </c:pt>
                <c:pt idx="40">
                  <c:v>3580</c:v>
                </c:pt>
                <c:pt idx="41">
                  <c:v>2058</c:v>
                </c:pt>
                <c:pt idx="42">
                  <c:v>3723</c:v>
                </c:pt>
                <c:pt idx="43">
                  <c:v>3219</c:v>
                </c:pt>
                <c:pt idx="44">
                  <c:v>3946</c:v>
                </c:pt>
                <c:pt idx="45">
                  <c:v>3720</c:v>
                </c:pt>
              </c:numCache>
            </c:numRef>
          </c:yVal>
          <c:smooth val="0"/>
        </c:ser>
        <c:ser>
          <c:idx val="5"/>
          <c:order val="4"/>
          <c:tx>
            <c:v>03/jun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xVal>
            <c:numRef>
              <c:f>'After Oring 29May'!$AJ$54:$AJ$61</c:f>
              <c:numCache>
                <c:formatCode>General</c:formatCode>
                <c:ptCount val="8"/>
                <c:pt idx="0">
                  <c:v>859</c:v>
                </c:pt>
                <c:pt idx="1">
                  <c:v>876</c:v>
                </c:pt>
                <c:pt idx="2">
                  <c:v>898</c:v>
                </c:pt>
                <c:pt idx="3">
                  <c:v>951</c:v>
                </c:pt>
                <c:pt idx="4">
                  <c:v>898</c:v>
                </c:pt>
                <c:pt idx="5">
                  <c:v>869</c:v>
                </c:pt>
                <c:pt idx="6">
                  <c:v>845</c:v>
                </c:pt>
                <c:pt idx="7">
                  <c:v>958</c:v>
                </c:pt>
              </c:numCache>
            </c:numRef>
          </c:xVal>
          <c:yVal>
            <c:numRef>
              <c:f>'After Oring 29May'!$AK$54:$AK$61</c:f>
              <c:numCache>
                <c:formatCode>General</c:formatCode>
                <c:ptCount val="8"/>
                <c:pt idx="0">
                  <c:v>3283</c:v>
                </c:pt>
                <c:pt idx="1">
                  <c:v>2571</c:v>
                </c:pt>
                <c:pt idx="2">
                  <c:v>3743</c:v>
                </c:pt>
                <c:pt idx="3">
                  <c:v>4447</c:v>
                </c:pt>
                <c:pt idx="4">
                  <c:v>3055</c:v>
                </c:pt>
                <c:pt idx="5">
                  <c:v>3105</c:v>
                </c:pt>
                <c:pt idx="6">
                  <c:v>2912</c:v>
                </c:pt>
                <c:pt idx="7">
                  <c:v>3751</c:v>
                </c:pt>
              </c:numCache>
            </c:numRef>
          </c:yVal>
          <c:smooth val="0"/>
        </c:ser>
        <c:ser>
          <c:idx val="6"/>
          <c:order val="5"/>
          <c:tx>
            <c:v>08/jun</c:v>
          </c:tx>
          <c:spPr>
            <a:ln w="28575">
              <a:noFill/>
            </a:ln>
          </c:spPr>
          <c:marker>
            <c:symbol val="triangle"/>
            <c:size val="5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xVal>
            <c:numRef>
              <c:f>'After Oring 29May'!$AI$66:$AI$111</c:f>
              <c:numCache>
                <c:formatCode>General</c:formatCode>
                <c:ptCount val="46"/>
                <c:pt idx="0">
                  <c:v>922</c:v>
                </c:pt>
                <c:pt idx="1">
                  <c:v>891</c:v>
                </c:pt>
                <c:pt idx="2">
                  <c:v>891</c:v>
                </c:pt>
                <c:pt idx="3">
                  <c:v>937</c:v>
                </c:pt>
                <c:pt idx="4">
                  <c:v>884</c:v>
                </c:pt>
                <c:pt idx="5">
                  <c:v>784</c:v>
                </c:pt>
                <c:pt idx="6">
                  <c:v>919</c:v>
                </c:pt>
                <c:pt idx="7">
                  <c:v>862</c:v>
                </c:pt>
                <c:pt idx="8">
                  <c:v>979</c:v>
                </c:pt>
                <c:pt idx="9">
                  <c:v>997</c:v>
                </c:pt>
                <c:pt idx="10">
                  <c:v>944</c:v>
                </c:pt>
                <c:pt idx="11">
                  <c:v>915</c:v>
                </c:pt>
                <c:pt idx="12">
                  <c:v>820</c:v>
                </c:pt>
                <c:pt idx="13">
                  <c:v>983</c:v>
                </c:pt>
                <c:pt idx="14">
                  <c:v>837</c:v>
                </c:pt>
                <c:pt idx="15">
                  <c:v>919</c:v>
                </c:pt>
                <c:pt idx="16">
                  <c:v>912</c:v>
                </c:pt>
                <c:pt idx="17">
                  <c:v>848</c:v>
                </c:pt>
                <c:pt idx="18">
                  <c:v>837</c:v>
                </c:pt>
                <c:pt idx="19">
                  <c:v>873</c:v>
                </c:pt>
                <c:pt idx="20">
                  <c:v>908</c:v>
                </c:pt>
                <c:pt idx="21">
                  <c:v>884</c:v>
                </c:pt>
                <c:pt idx="22">
                  <c:v>841</c:v>
                </c:pt>
                <c:pt idx="23">
                  <c:v>905</c:v>
                </c:pt>
                <c:pt idx="24">
                  <c:v>859</c:v>
                </c:pt>
                <c:pt idx="25">
                  <c:v>891</c:v>
                </c:pt>
                <c:pt idx="26">
                  <c:v>926</c:v>
                </c:pt>
                <c:pt idx="27">
                  <c:v>845</c:v>
                </c:pt>
                <c:pt idx="28">
                  <c:v>876</c:v>
                </c:pt>
                <c:pt idx="29">
                  <c:v>908</c:v>
                </c:pt>
                <c:pt idx="30">
                  <c:v>784</c:v>
                </c:pt>
                <c:pt idx="31">
                  <c:v>884</c:v>
                </c:pt>
                <c:pt idx="32">
                  <c:v>901</c:v>
                </c:pt>
                <c:pt idx="33">
                  <c:v>845</c:v>
                </c:pt>
                <c:pt idx="34">
                  <c:v>873</c:v>
                </c:pt>
                <c:pt idx="35">
                  <c:v>806</c:v>
                </c:pt>
                <c:pt idx="36">
                  <c:v>940</c:v>
                </c:pt>
                <c:pt idx="37">
                  <c:v>908</c:v>
                </c:pt>
                <c:pt idx="38">
                  <c:v>841</c:v>
                </c:pt>
                <c:pt idx="39">
                  <c:v>898</c:v>
                </c:pt>
                <c:pt idx="40">
                  <c:v>905</c:v>
                </c:pt>
                <c:pt idx="41">
                  <c:v>876</c:v>
                </c:pt>
                <c:pt idx="42">
                  <c:v>933</c:v>
                </c:pt>
                <c:pt idx="43">
                  <c:v>884</c:v>
                </c:pt>
                <c:pt idx="44">
                  <c:v>930</c:v>
                </c:pt>
                <c:pt idx="45">
                  <c:v>859</c:v>
                </c:pt>
              </c:numCache>
            </c:numRef>
          </c:xVal>
          <c:yVal>
            <c:numRef>
              <c:f>'After Oring 29May'!$AJ$66:$AJ$111</c:f>
              <c:numCache>
                <c:formatCode>General</c:formatCode>
                <c:ptCount val="46"/>
                <c:pt idx="0">
                  <c:v>2938</c:v>
                </c:pt>
                <c:pt idx="1">
                  <c:v>3096</c:v>
                </c:pt>
                <c:pt idx="2">
                  <c:v>3024</c:v>
                </c:pt>
                <c:pt idx="3">
                  <c:v>3249</c:v>
                </c:pt>
                <c:pt idx="4">
                  <c:v>2774</c:v>
                </c:pt>
                <c:pt idx="5">
                  <c:v>2110</c:v>
                </c:pt>
                <c:pt idx="6">
                  <c:v>2785</c:v>
                </c:pt>
                <c:pt idx="7">
                  <c:v>2472</c:v>
                </c:pt>
                <c:pt idx="8">
                  <c:v>2662</c:v>
                </c:pt>
                <c:pt idx="9">
                  <c:v>2638</c:v>
                </c:pt>
                <c:pt idx="10">
                  <c:v>2398</c:v>
                </c:pt>
                <c:pt idx="11">
                  <c:v>2451</c:v>
                </c:pt>
                <c:pt idx="12">
                  <c:v>1778</c:v>
                </c:pt>
                <c:pt idx="13">
                  <c:v>3839</c:v>
                </c:pt>
                <c:pt idx="14">
                  <c:v>2154</c:v>
                </c:pt>
                <c:pt idx="15">
                  <c:v>3170</c:v>
                </c:pt>
                <c:pt idx="16">
                  <c:v>3174</c:v>
                </c:pt>
                <c:pt idx="17">
                  <c:v>2307</c:v>
                </c:pt>
                <c:pt idx="18">
                  <c:v>2333</c:v>
                </c:pt>
                <c:pt idx="19">
                  <c:v>2496</c:v>
                </c:pt>
                <c:pt idx="20">
                  <c:v>2646</c:v>
                </c:pt>
                <c:pt idx="21">
                  <c:v>2786</c:v>
                </c:pt>
                <c:pt idx="22">
                  <c:v>2526</c:v>
                </c:pt>
                <c:pt idx="23">
                  <c:v>2829</c:v>
                </c:pt>
                <c:pt idx="24">
                  <c:v>2731</c:v>
                </c:pt>
                <c:pt idx="25">
                  <c:v>2645</c:v>
                </c:pt>
                <c:pt idx="26">
                  <c:v>3003</c:v>
                </c:pt>
                <c:pt idx="27">
                  <c:v>2548</c:v>
                </c:pt>
                <c:pt idx="28">
                  <c:v>2726</c:v>
                </c:pt>
                <c:pt idx="29">
                  <c:v>2605</c:v>
                </c:pt>
                <c:pt idx="30">
                  <c:v>2046</c:v>
                </c:pt>
                <c:pt idx="31">
                  <c:v>3012</c:v>
                </c:pt>
                <c:pt idx="32">
                  <c:v>2629</c:v>
                </c:pt>
                <c:pt idx="33">
                  <c:v>2514</c:v>
                </c:pt>
                <c:pt idx="34">
                  <c:v>2761</c:v>
                </c:pt>
                <c:pt idx="35">
                  <c:v>2059</c:v>
                </c:pt>
                <c:pt idx="36">
                  <c:v>2984</c:v>
                </c:pt>
                <c:pt idx="37">
                  <c:v>2784</c:v>
                </c:pt>
                <c:pt idx="38">
                  <c:v>2229</c:v>
                </c:pt>
                <c:pt idx="39">
                  <c:v>2616</c:v>
                </c:pt>
                <c:pt idx="40">
                  <c:v>2879</c:v>
                </c:pt>
                <c:pt idx="41">
                  <c:v>2423</c:v>
                </c:pt>
                <c:pt idx="42">
                  <c:v>3068</c:v>
                </c:pt>
                <c:pt idx="43">
                  <c:v>2820</c:v>
                </c:pt>
                <c:pt idx="44">
                  <c:v>2997</c:v>
                </c:pt>
                <c:pt idx="45">
                  <c:v>2612</c:v>
                </c:pt>
              </c:numCache>
            </c:numRef>
          </c:yVal>
          <c:smooth val="0"/>
        </c:ser>
        <c:ser>
          <c:idx val="1"/>
          <c:order val="6"/>
          <c:tx>
            <c:v>19/jun</c:v>
          </c:tx>
          <c:spPr>
            <a:ln w="28575">
              <a:noFill/>
            </a:ln>
          </c:spPr>
          <c:marker>
            <c:symbol val="star"/>
            <c:size val="5"/>
            <c:spPr>
              <a:noFill/>
              <a:ln>
                <a:solidFill>
                  <a:srgbClr val="5C28A8"/>
                </a:solidFill>
              </a:ln>
            </c:spPr>
          </c:marker>
          <c:xVal>
            <c:numRef>
              <c:f>'After capilar 19Jun'!$AM$4:$AM$43</c:f>
              <c:numCache>
                <c:formatCode>General</c:formatCode>
                <c:ptCount val="40"/>
                <c:pt idx="0">
                  <c:v>887</c:v>
                </c:pt>
                <c:pt idx="1">
                  <c:v>908</c:v>
                </c:pt>
                <c:pt idx="2">
                  <c:v>884</c:v>
                </c:pt>
                <c:pt idx="3">
                  <c:v>830</c:v>
                </c:pt>
                <c:pt idx="4">
                  <c:v>876</c:v>
                </c:pt>
                <c:pt idx="5">
                  <c:v>862</c:v>
                </c:pt>
                <c:pt idx="6">
                  <c:v>876</c:v>
                </c:pt>
                <c:pt idx="7">
                  <c:v>855</c:v>
                </c:pt>
                <c:pt idx="8">
                  <c:v>841</c:v>
                </c:pt>
                <c:pt idx="9">
                  <c:v>891</c:v>
                </c:pt>
                <c:pt idx="10">
                  <c:v>887</c:v>
                </c:pt>
                <c:pt idx="11">
                  <c:v>926</c:v>
                </c:pt>
                <c:pt idx="12">
                  <c:v>901</c:v>
                </c:pt>
                <c:pt idx="13">
                  <c:v>834</c:v>
                </c:pt>
                <c:pt idx="14">
                  <c:v>880</c:v>
                </c:pt>
                <c:pt idx="15">
                  <c:v>848</c:v>
                </c:pt>
                <c:pt idx="16">
                  <c:v>841</c:v>
                </c:pt>
                <c:pt idx="17">
                  <c:v>816</c:v>
                </c:pt>
                <c:pt idx="18">
                  <c:v>855</c:v>
                </c:pt>
                <c:pt idx="19">
                  <c:v>912</c:v>
                </c:pt>
                <c:pt idx="20">
                  <c:v>859</c:v>
                </c:pt>
                <c:pt idx="21">
                  <c:v>891</c:v>
                </c:pt>
                <c:pt idx="22">
                  <c:v>845</c:v>
                </c:pt>
                <c:pt idx="23">
                  <c:v>791</c:v>
                </c:pt>
                <c:pt idx="24">
                  <c:v>869</c:v>
                </c:pt>
                <c:pt idx="25">
                  <c:v>820</c:v>
                </c:pt>
                <c:pt idx="26">
                  <c:v>830</c:v>
                </c:pt>
                <c:pt idx="27">
                  <c:v>869</c:v>
                </c:pt>
                <c:pt idx="28">
                  <c:v>958</c:v>
                </c:pt>
                <c:pt idx="29">
                  <c:v>869</c:v>
                </c:pt>
                <c:pt idx="30">
                  <c:v>912</c:v>
                </c:pt>
                <c:pt idx="33">
                  <c:v>795</c:v>
                </c:pt>
                <c:pt idx="34">
                  <c:v>791</c:v>
                </c:pt>
                <c:pt idx="35">
                  <c:v>937</c:v>
                </c:pt>
                <c:pt idx="36">
                  <c:v>880</c:v>
                </c:pt>
                <c:pt idx="37">
                  <c:v>912</c:v>
                </c:pt>
                <c:pt idx="38">
                  <c:v>816</c:v>
                </c:pt>
                <c:pt idx="39">
                  <c:v>802</c:v>
                </c:pt>
              </c:numCache>
            </c:numRef>
          </c:xVal>
          <c:yVal>
            <c:numRef>
              <c:f>'After capilar 19Jun'!$AN$4:$AN$43</c:f>
              <c:numCache>
                <c:formatCode>General</c:formatCode>
                <c:ptCount val="40"/>
                <c:pt idx="0">
                  <c:v>5471</c:v>
                </c:pt>
                <c:pt idx="1">
                  <c:v>8727</c:v>
                </c:pt>
                <c:pt idx="2">
                  <c:v>8433</c:v>
                </c:pt>
                <c:pt idx="3">
                  <c:v>4395</c:v>
                </c:pt>
                <c:pt idx="4">
                  <c:v>5296</c:v>
                </c:pt>
                <c:pt idx="5">
                  <c:v>5051</c:v>
                </c:pt>
                <c:pt idx="6">
                  <c:v>5144</c:v>
                </c:pt>
                <c:pt idx="7">
                  <c:v>4999</c:v>
                </c:pt>
                <c:pt idx="8">
                  <c:v>4682</c:v>
                </c:pt>
                <c:pt idx="9">
                  <c:v>5607</c:v>
                </c:pt>
                <c:pt idx="10">
                  <c:v>5281</c:v>
                </c:pt>
                <c:pt idx="11">
                  <c:v>6380</c:v>
                </c:pt>
                <c:pt idx="12">
                  <c:v>5950</c:v>
                </c:pt>
                <c:pt idx="13">
                  <c:v>4592</c:v>
                </c:pt>
                <c:pt idx="14">
                  <c:v>5738</c:v>
                </c:pt>
                <c:pt idx="15">
                  <c:v>4905</c:v>
                </c:pt>
                <c:pt idx="16">
                  <c:v>4938</c:v>
                </c:pt>
                <c:pt idx="17">
                  <c:v>4271</c:v>
                </c:pt>
                <c:pt idx="18">
                  <c:v>4987</c:v>
                </c:pt>
                <c:pt idx="19">
                  <c:v>5986</c:v>
                </c:pt>
                <c:pt idx="20">
                  <c:v>5115</c:v>
                </c:pt>
                <c:pt idx="21">
                  <c:v>5301</c:v>
                </c:pt>
                <c:pt idx="22">
                  <c:v>4712</c:v>
                </c:pt>
                <c:pt idx="23">
                  <c:v>4041</c:v>
                </c:pt>
                <c:pt idx="24">
                  <c:v>5191</c:v>
                </c:pt>
                <c:pt idx="25">
                  <c:v>4405</c:v>
                </c:pt>
                <c:pt idx="26">
                  <c:v>4494</c:v>
                </c:pt>
                <c:pt idx="27">
                  <c:v>5411</c:v>
                </c:pt>
                <c:pt idx="28">
                  <c:v>7484</c:v>
                </c:pt>
                <c:pt idx="29">
                  <c:v>6238</c:v>
                </c:pt>
                <c:pt idx="30">
                  <c:v>7053</c:v>
                </c:pt>
                <c:pt idx="33">
                  <c:v>8603</c:v>
                </c:pt>
                <c:pt idx="34">
                  <c:v>7581</c:v>
                </c:pt>
                <c:pt idx="35">
                  <c:v>9678</c:v>
                </c:pt>
                <c:pt idx="36">
                  <c:v>7884</c:v>
                </c:pt>
                <c:pt idx="37">
                  <c:v>8791</c:v>
                </c:pt>
                <c:pt idx="38">
                  <c:v>8101</c:v>
                </c:pt>
                <c:pt idx="39">
                  <c:v>5202</c:v>
                </c:pt>
              </c:numCache>
            </c:numRef>
          </c:yVal>
          <c:smooth val="0"/>
        </c:ser>
        <c:ser>
          <c:idx val="7"/>
          <c:order val="7"/>
          <c:tx>
            <c:v>26/jun</c:v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('After capilar 19Jun'!$AM$49:$AM$68,'After capilar 19Jun'!$AQ$71:$AQ$89)</c:f>
              <c:numCache>
                <c:formatCode>General</c:formatCode>
                <c:ptCount val="39"/>
                <c:pt idx="0">
                  <c:v>303</c:v>
                </c:pt>
                <c:pt idx="1">
                  <c:v>600</c:v>
                </c:pt>
                <c:pt idx="2">
                  <c:v>398</c:v>
                </c:pt>
                <c:pt idx="3">
                  <c:v>391</c:v>
                </c:pt>
                <c:pt idx="4">
                  <c:v>420</c:v>
                </c:pt>
                <c:pt idx="5">
                  <c:v>515</c:v>
                </c:pt>
                <c:pt idx="6">
                  <c:v>370</c:v>
                </c:pt>
                <c:pt idx="7">
                  <c:v>413</c:v>
                </c:pt>
                <c:pt idx="8">
                  <c:v>887</c:v>
                </c:pt>
                <c:pt idx="9">
                  <c:v>738</c:v>
                </c:pt>
                <c:pt idx="12">
                  <c:v>866</c:v>
                </c:pt>
                <c:pt idx="13">
                  <c:v>728</c:v>
                </c:pt>
                <c:pt idx="14">
                  <c:v>827</c:v>
                </c:pt>
                <c:pt idx="15">
                  <c:v>770</c:v>
                </c:pt>
                <c:pt idx="16">
                  <c:v>760</c:v>
                </c:pt>
                <c:pt idx="17">
                  <c:v>777</c:v>
                </c:pt>
                <c:pt idx="18">
                  <c:v>671</c:v>
                </c:pt>
                <c:pt idx="19">
                  <c:v>600</c:v>
                </c:pt>
                <c:pt idx="20">
                  <c:v>908</c:v>
                </c:pt>
                <c:pt idx="21">
                  <c:v>855</c:v>
                </c:pt>
                <c:pt idx="22">
                  <c:v>731</c:v>
                </c:pt>
                <c:pt idx="23">
                  <c:v>837</c:v>
                </c:pt>
                <c:pt idx="24">
                  <c:v>965</c:v>
                </c:pt>
                <c:pt idx="25">
                  <c:v>802</c:v>
                </c:pt>
                <c:pt idx="26">
                  <c:v>979</c:v>
                </c:pt>
                <c:pt idx="27">
                  <c:v>947</c:v>
                </c:pt>
                <c:pt idx="28">
                  <c:v>763</c:v>
                </c:pt>
                <c:pt idx="29">
                  <c:v>986</c:v>
                </c:pt>
                <c:pt idx="30">
                  <c:v>915</c:v>
                </c:pt>
                <c:pt idx="31">
                  <c:v>954</c:v>
                </c:pt>
                <c:pt idx="32">
                  <c:v>926</c:v>
                </c:pt>
                <c:pt idx="33">
                  <c:v>830</c:v>
                </c:pt>
                <c:pt idx="34">
                  <c:v>788</c:v>
                </c:pt>
                <c:pt idx="35">
                  <c:v>834</c:v>
                </c:pt>
                <c:pt idx="36">
                  <c:v>752</c:v>
                </c:pt>
                <c:pt idx="37">
                  <c:v>866</c:v>
                </c:pt>
                <c:pt idx="38">
                  <c:v>884</c:v>
                </c:pt>
              </c:numCache>
            </c:numRef>
          </c:xVal>
          <c:yVal>
            <c:numRef>
              <c:f>('After capilar 19Jun'!$AN$49:$AN$68,'After capilar 19Jun'!$AN$71:$AN$89)</c:f>
              <c:numCache>
                <c:formatCode>General</c:formatCode>
                <c:ptCount val="39"/>
                <c:pt idx="0">
                  <c:v>796</c:v>
                </c:pt>
                <c:pt idx="1">
                  <c:v>2879</c:v>
                </c:pt>
                <c:pt idx="2">
                  <c:v>1270</c:v>
                </c:pt>
                <c:pt idx="3">
                  <c:v>1277</c:v>
                </c:pt>
                <c:pt idx="4">
                  <c:v>1432</c:v>
                </c:pt>
                <c:pt idx="5">
                  <c:v>2049</c:v>
                </c:pt>
                <c:pt idx="6">
                  <c:v>1176</c:v>
                </c:pt>
                <c:pt idx="7">
                  <c:v>1490</c:v>
                </c:pt>
                <c:pt idx="8">
                  <c:v>10181</c:v>
                </c:pt>
                <c:pt idx="9">
                  <c:v>5571</c:v>
                </c:pt>
                <c:pt idx="12">
                  <c:v>7929</c:v>
                </c:pt>
                <c:pt idx="13">
                  <c:v>4989</c:v>
                </c:pt>
                <c:pt idx="14">
                  <c:v>6661</c:v>
                </c:pt>
                <c:pt idx="15">
                  <c:v>5039</c:v>
                </c:pt>
                <c:pt idx="16">
                  <c:v>5765</c:v>
                </c:pt>
                <c:pt idx="17">
                  <c:v>5861</c:v>
                </c:pt>
                <c:pt idx="18">
                  <c:v>4076</c:v>
                </c:pt>
                <c:pt idx="19">
                  <c:v>3360</c:v>
                </c:pt>
                <c:pt idx="20">
                  <c:v>7922</c:v>
                </c:pt>
                <c:pt idx="21">
                  <c:v>6557</c:v>
                </c:pt>
                <c:pt idx="22">
                  <c:v>2815</c:v>
                </c:pt>
                <c:pt idx="23">
                  <c:v>6225</c:v>
                </c:pt>
                <c:pt idx="24">
                  <c:v>11260</c:v>
                </c:pt>
                <c:pt idx="25">
                  <c:v>6664</c:v>
                </c:pt>
                <c:pt idx="26">
                  <c:v>12256</c:v>
                </c:pt>
                <c:pt idx="27">
                  <c:v>10563</c:v>
                </c:pt>
                <c:pt idx="28">
                  <c:v>5387</c:v>
                </c:pt>
                <c:pt idx="29">
                  <c:v>11312</c:v>
                </c:pt>
                <c:pt idx="30">
                  <c:v>10347</c:v>
                </c:pt>
                <c:pt idx="31">
                  <c:v>11198</c:v>
                </c:pt>
                <c:pt idx="32">
                  <c:v>12166</c:v>
                </c:pt>
                <c:pt idx="33">
                  <c:v>7196</c:v>
                </c:pt>
                <c:pt idx="34">
                  <c:v>6617</c:v>
                </c:pt>
                <c:pt idx="35">
                  <c:v>8394</c:v>
                </c:pt>
                <c:pt idx="36">
                  <c:v>6031</c:v>
                </c:pt>
                <c:pt idx="37">
                  <c:v>8146</c:v>
                </c:pt>
                <c:pt idx="38">
                  <c:v>6557</c:v>
                </c:pt>
              </c:numCache>
            </c:numRef>
          </c:yVal>
          <c:smooth val="0"/>
        </c:ser>
        <c:ser>
          <c:idx val="8"/>
          <c:order val="8"/>
          <c:tx>
            <c:v>29/jun</c:v>
          </c:tx>
          <c:spPr>
            <a:ln w="28575">
              <a:noFill/>
            </a:ln>
          </c:spPr>
          <c:marker>
            <c:symbol val="circle"/>
            <c:size val="5"/>
            <c:spPr>
              <a:noFill/>
              <a:ln w="15875">
                <a:solidFill>
                  <a:schemeClr val="accent6">
                    <a:lumMod val="40000"/>
                    <a:lumOff val="60000"/>
                  </a:schemeClr>
                </a:solidFill>
              </a:ln>
            </c:spPr>
          </c:marker>
          <c:xVal>
            <c:numRef>
              <c:f>'After capilar 19Jun'!$AS$95:$AS$136</c:f>
              <c:numCache>
                <c:formatCode>General</c:formatCode>
                <c:ptCount val="42"/>
                <c:pt idx="0">
                  <c:v>434</c:v>
                </c:pt>
                <c:pt idx="1">
                  <c:v>430</c:v>
                </c:pt>
                <c:pt idx="2">
                  <c:v>444</c:v>
                </c:pt>
                <c:pt idx="3">
                  <c:v>359</c:v>
                </c:pt>
                <c:pt idx="4">
                  <c:v>806</c:v>
                </c:pt>
                <c:pt idx="5">
                  <c:v>802</c:v>
                </c:pt>
                <c:pt idx="6">
                  <c:v>781</c:v>
                </c:pt>
                <c:pt idx="7">
                  <c:v>979</c:v>
                </c:pt>
                <c:pt idx="8">
                  <c:v>763</c:v>
                </c:pt>
                <c:pt idx="9">
                  <c:v>791</c:v>
                </c:pt>
                <c:pt idx="10">
                  <c:v>820</c:v>
                </c:pt>
                <c:pt idx="11">
                  <c:v>763</c:v>
                </c:pt>
                <c:pt idx="12">
                  <c:v>993</c:v>
                </c:pt>
                <c:pt idx="13">
                  <c:v>997</c:v>
                </c:pt>
                <c:pt idx="14">
                  <c:v>905</c:v>
                </c:pt>
                <c:pt idx="15">
                  <c:v>919</c:v>
                </c:pt>
                <c:pt idx="16">
                  <c:v>926</c:v>
                </c:pt>
                <c:pt idx="17">
                  <c:v>760</c:v>
                </c:pt>
                <c:pt idx="18">
                  <c:v>855</c:v>
                </c:pt>
                <c:pt idx="19">
                  <c:v>926</c:v>
                </c:pt>
                <c:pt idx="20">
                  <c:v>901</c:v>
                </c:pt>
                <c:pt idx="21">
                  <c:v>834</c:v>
                </c:pt>
                <c:pt idx="22">
                  <c:v>912</c:v>
                </c:pt>
                <c:pt idx="23">
                  <c:v>710</c:v>
                </c:pt>
                <c:pt idx="24">
                  <c:v>809</c:v>
                </c:pt>
                <c:pt idx="25">
                  <c:v>763</c:v>
                </c:pt>
                <c:pt idx="26">
                  <c:v>823</c:v>
                </c:pt>
                <c:pt idx="27">
                  <c:v>728</c:v>
                </c:pt>
                <c:pt idx="28">
                  <c:v>837</c:v>
                </c:pt>
                <c:pt idx="29">
                  <c:v>568</c:v>
                </c:pt>
                <c:pt idx="30">
                  <c:v>579</c:v>
                </c:pt>
                <c:pt idx="31">
                  <c:v>689</c:v>
                </c:pt>
                <c:pt idx="33">
                  <c:v>650</c:v>
                </c:pt>
                <c:pt idx="34">
                  <c:v>657</c:v>
                </c:pt>
                <c:pt idx="35">
                  <c:v>568</c:v>
                </c:pt>
                <c:pt idx="36">
                  <c:v>441</c:v>
                </c:pt>
                <c:pt idx="38">
                  <c:v>321</c:v>
                </c:pt>
                <c:pt idx="39">
                  <c:v>388</c:v>
                </c:pt>
                <c:pt idx="40">
                  <c:v>547</c:v>
                </c:pt>
                <c:pt idx="41">
                  <c:v>487</c:v>
                </c:pt>
              </c:numCache>
            </c:numRef>
          </c:xVal>
          <c:yVal>
            <c:numRef>
              <c:f>'After capilar 19Jun'!$AM$95:$AM$136</c:f>
              <c:numCache>
                <c:formatCode>General</c:formatCode>
                <c:ptCount val="42"/>
                <c:pt idx="0">
                  <c:v>1490</c:v>
                </c:pt>
                <c:pt idx="1">
                  <c:v>1543</c:v>
                </c:pt>
                <c:pt idx="2">
                  <c:v>1581</c:v>
                </c:pt>
                <c:pt idx="3">
                  <c:v>1075</c:v>
                </c:pt>
                <c:pt idx="4">
                  <c:v>5794</c:v>
                </c:pt>
                <c:pt idx="5">
                  <c:v>5765</c:v>
                </c:pt>
                <c:pt idx="6">
                  <c:v>5307</c:v>
                </c:pt>
                <c:pt idx="7">
                  <c:v>10168</c:v>
                </c:pt>
                <c:pt idx="8">
                  <c:v>5000</c:v>
                </c:pt>
                <c:pt idx="9">
                  <c:v>5378</c:v>
                </c:pt>
                <c:pt idx="10">
                  <c:v>5803</c:v>
                </c:pt>
                <c:pt idx="11">
                  <c:v>4929</c:v>
                </c:pt>
                <c:pt idx="12">
                  <c:v>10369</c:v>
                </c:pt>
                <c:pt idx="13">
                  <c:v>10687</c:v>
                </c:pt>
                <c:pt idx="14">
                  <c:v>9707</c:v>
                </c:pt>
                <c:pt idx="15">
                  <c:v>10278</c:v>
                </c:pt>
                <c:pt idx="16">
                  <c:v>8799</c:v>
                </c:pt>
                <c:pt idx="17">
                  <c:v>4711</c:v>
                </c:pt>
                <c:pt idx="18">
                  <c:v>5995</c:v>
                </c:pt>
                <c:pt idx="19">
                  <c:v>8204</c:v>
                </c:pt>
                <c:pt idx="20">
                  <c:v>7327</c:v>
                </c:pt>
                <c:pt idx="21">
                  <c:v>7508</c:v>
                </c:pt>
                <c:pt idx="22">
                  <c:v>8780</c:v>
                </c:pt>
                <c:pt idx="23">
                  <c:v>4182</c:v>
                </c:pt>
                <c:pt idx="24">
                  <c:v>5678</c:v>
                </c:pt>
                <c:pt idx="25">
                  <c:v>4950</c:v>
                </c:pt>
                <c:pt idx="26">
                  <c:v>6226</c:v>
                </c:pt>
                <c:pt idx="27">
                  <c:v>4482</c:v>
                </c:pt>
                <c:pt idx="28">
                  <c:v>6107</c:v>
                </c:pt>
                <c:pt idx="29">
                  <c:v>2576</c:v>
                </c:pt>
                <c:pt idx="30">
                  <c:v>2573</c:v>
                </c:pt>
                <c:pt idx="31">
                  <c:v>3924</c:v>
                </c:pt>
                <c:pt idx="33">
                  <c:v>3521</c:v>
                </c:pt>
                <c:pt idx="34">
                  <c:v>3972</c:v>
                </c:pt>
                <c:pt idx="35">
                  <c:v>2890</c:v>
                </c:pt>
                <c:pt idx="36">
                  <c:v>1293</c:v>
                </c:pt>
                <c:pt idx="38">
                  <c:v>969</c:v>
                </c:pt>
                <c:pt idx="39">
                  <c:v>1347</c:v>
                </c:pt>
                <c:pt idx="40">
                  <c:v>2816</c:v>
                </c:pt>
                <c:pt idx="41">
                  <c:v>2138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09504"/>
        <c:axId val="124370944"/>
      </c:scatterChart>
      <c:valAx>
        <c:axId val="124509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370944"/>
        <c:crosses val="autoZero"/>
        <c:crossBetween val="midCat"/>
      </c:valAx>
      <c:valAx>
        <c:axId val="12437094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Initial intensity (mV)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509504"/>
        <c:crosses val="autoZero"/>
        <c:crossBetween val="midCat"/>
      </c:valAx>
    </c:plotArea>
    <c:legend>
      <c:legendPos val="b"/>
      <c:legendEntry>
        <c:idx val="9"/>
        <c:delete val="1"/>
      </c:legendEntry>
      <c:layout>
        <c:manualLayout>
          <c:xMode val="edge"/>
          <c:yMode val="edge"/>
          <c:x val="8.573637113996356E-3"/>
          <c:y val="0.8714124054651271"/>
          <c:w val="0.97232608819072319"/>
          <c:h val="0.10961526251906259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" l="0.70000000000000095" r="0.70000000000000095" t="0.750000000000002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d18O</a:t>
            </a:r>
            <a:r>
              <a:rPr lang="en-US" baseline="0"/>
              <a:t> </a:t>
            </a:r>
            <a:r>
              <a:rPr lang="en-US"/>
              <a:t>means</a:t>
            </a:r>
          </a:p>
        </c:rich>
      </c:tx>
      <c:layout>
        <c:manualLayout>
          <c:xMode val="edge"/>
          <c:yMode val="edge"/>
          <c:x val="0.77748915271213759"/>
          <c:y val="0.76521675175218484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15323647112699"/>
          <c:y val="0.13089185280411378"/>
          <c:w val="0.85793892667917104"/>
          <c:h val="0.62615804892520299"/>
        </c:manualLayout>
      </c:layout>
      <c:scatterChart>
        <c:scatterStyle val="lineMarker"/>
        <c:varyColors val="0"/>
        <c:ser>
          <c:idx val="1"/>
          <c:order val="0"/>
          <c:tx>
            <c:v>Previous d18O</c:v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'After instal'!$AJ$6:$AJ$117</c:f>
              <c:numCache>
                <c:formatCode>General</c:formatCode>
                <c:ptCount val="112"/>
                <c:pt idx="0">
                  <c:v>1775</c:v>
                </c:pt>
                <c:pt idx="1">
                  <c:v>1729</c:v>
                </c:pt>
                <c:pt idx="2">
                  <c:v>1375</c:v>
                </c:pt>
                <c:pt idx="3">
                  <c:v>1177</c:v>
                </c:pt>
                <c:pt idx="4">
                  <c:v>1187</c:v>
                </c:pt>
                <c:pt idx="5">
                  <c:v>1195</c:v>
                </c:pt>
                <c:pt idx="6">
                  <c:v>1652</c:v>
                </c:pt>
                <c:pt idx="7">
                  <c:v>1146</c:v>
                </c:pt>
                <c:pt idx="10">
                  <c:v>1321</c:v>
                </c:pt>
                <c:pt idx="11">
                  <c:v>903</c:v>
                </c:pt>
                <c:pt idx="12">
                  <c:v>1068</c:v>
                </c:pt>
                <c:pt idx="13">
                  <c:v>1558</c:v>
                </c:pt>
                <c:pt idx="14">
                  <c:v>1676</c:v>
                </c:pt>
                <c:pt idx="15">
                  <c:v>1427</c:v>
                </c:pt>
                <c:pt idx="16">
                  <c:v>917</c:v>
                </c:pt>
                <c:pt idx="17">
                  <c:v>1532</c:v>
                </c:pt>
                <c:pt idx="18">
                  <c:v>1593</c:v>
                </c:pt>
                <c:pt idx="19">
                  <c:v>1711</c:v>
                </c:pt>
                <c:pt idx="20">
                  <c:v>1635</c:v>
                </c:pt>
                <c:pt idx="21">
                  <c:v>1641</c:v>
                </c:pt>
                <c:pt idx="24">
                  <c:v>9</c:v>
                </c:pt>
                <c:pt idx="27">
                  <c:v>1355</c:v>
                </c:pt>
                <c:pt idx="28">
                  <c:v>1513</c:v>
                </c:pt>
                <c:pt idx="29">
                  <c:v>1748</c:v>
                </c:pt>
                <c:pt idx="32">
                  <c:v>967</c:v>
                </c:pt>
                <c:pt idx="33">
                  <c:v>1496</c:v>
                </c:pt>
                <c:pt idx="34">
                  <c:v>1185</c:v>
                </c:pt>
                <c:pt idx="35">
                  <c:v>1097</c:v>
                </c:pt>
                <c:pt idx="36">
                  <c:v>1386</c:v>
                </c:pt>
                <c:pt idx="37">
                  <c:v>942</c:v>
                </c:pt>
                <c:pt idx="40">
                  <c:v>1201</c:v>
                </c:pt>
                <c:pt idx="41">
                  <c:v>1540</c:v>
                </c:pt>
                <c:pt idx="42">
                  <c:v>2014</c:v>
                </c:pt>
                <c:pt idx="43">
                  <c:v>1622</c:v>
                </c:pt>
                <c:pt idx="44">
                  <c:v>1696</c:v>
                </c:pt>
                <c:pt idx="45">
                  <c:v>1644</c:v>
                </c:pt>
                <c:pt idx="48">
                  <c:v>1614</c:v>
                </c:pt>
                <c:pt idx="49">
                  <c:v>1382</c:v>
                </c:pt>
                <c:pt idx="50">
                  <c:v>1399</c:v>
                </c:pt>
                <c:pt idx="51">
                  <c:v>1679</c:v>
                </c:pt>
                <c:pt idx="52">
                  <c:v>1809</c:v>
                </c:pt>
                <c:pt idx="53">
                  <c:v>1454</c:v>
                </c:pt>
                <c:pt idx="58">
                  <c:v>631</c:v>
                </c:pt>
                <c:pt idx="59">
                  <c:v>12</c:v>
                </c:pt>
                <c:pt idx="60">
                  <c:v>407</c:v>
                </c:pt>
                <c:pt idx="61">
                  <c:v>245</c:v>
                </c:pt>
                <c:pt idx="62">
                  <c:v>435</c:v>
                </c:pt>
                <c:pt idx="65">
                  <c:v>1061</c:v>
                </c:pt>
                <c:pt idx="66">
                  <c:v>888</c:v>
                </c:pt>
                <c:pt idx="67">
                  <c:v>646</c:v>
                </c:pt>
                <c:pt idx="68">
                  <c:v>1149</c:v>
                </c:pt>
                <c:pt idx="69">
                  <c:v>1310</c:v>
                </c:pt>
                <c:pt idx="72">
                  <c:v>1467</c:v>
                </c:pt>
                <c:pt idx="73">
                  <c:v>1527</c:v>
                </c:pt>
                <c:pt idx="74">
                  <c:v>1519</c:v>
                </c:pt>
                <c:pt idx="75">
                  <c:v>1444</c:v>
                </c:pt>
                <c:pt idx="76">
                  <c:v>1112</c:v>
                </c:pt>
                <c:pt idx="81">
                  <c:v>3698</c:v>
                </c:pt>
                <c:pt idx="82">
                  <c:v>3878</c:v>
                </c:pt>
                <c:pt idx="83">
                  <c:v>3608</c:v>
                </c:pt>
                <c:pt idx="84">
                  <c:v>3130</c:v>
                </c:pt>
                <c:pt idx="85">
                  <c:v>2954</c:v>
                </c:pt>
                <c:pt idx="86">
                  <c:v>4325</c:v>
                </c:pt>
                <c:pt idx="87">
                  <c:v>4032</c:v>
                </c:pt>
                <c:pt idx="88">
                  <c:v>3096</c:v>
                </c:pt>
                <c:pt idx="93">
                  <c:v>4090</c:v>
                </c:pt>
                <c:pt idx="96">
                  <c:v>2672</c:v>
                </c:pt>
                <c:pt idx="97">
                  <c:v>2761</c:v>
                </c:pt>
                <c:pt idx="98">
                  <c:v>3662</c:v>
                </c:pt>
                <c:pt idx="99">
                  <c:v>3629</c:v>
                </c:pt>
                <c:pt idx="100">
                  <c:v>3554</c:v>
                </c:pt>
                <c:pt idx="101">
                  <c:v>982</c:v>
                </c:pt>
                <c:pt idx="106">
                  <c:v>1600</c:v>
                </c:pt>
                <c:pt idx="109">
                  <c:v>3209</c:v>
                </c:pt>
                <c:pt idx="110">
                  <c:v>2731</c:v>
                </c:pt>
                <c:pt idx="111">
                  <c:v>8</c:v>
                </c:pt>
              </c:numCache>
            </c:numRef>
          </c:xVal>
          <c:yVal>
            <c:numRef>
              <c:f>'After instal'!$F$6:$F$117</c:f>
              <c:numCache>
                <c:formatCode>General</c:formatCode>
                <c:ptCount val="112"/>
                <c:pt idx="0">
                  <c:v>-2.4319999999999999</c:v>
                </c:pt>
                <c:pt idx="1">
                  <c:v>-2.1040000000000001</c:v>
                </c:pt>
                <c:pt idx="2">
                  <c:v>-2.339</c:v>
                </c:pt>
                <c:pt idx="3">
                  <c:v>-2.0630000000000002</c:v>
                </c:pt>
                <c:pt idx="4">
                  <c:v>-2.2970000000000002</c:v>
                </c:pt>
                <c:pt idx="5">
                  <c:v>-2.1259999999999999</c:v>
                </c:pt>
                <c:pt idx="6">
                  <c:v>-2.3029999999999999</c:v>
                </c:pt>
                <c:pt idx="7">
                  <c:v>-2.2480000000000002</c:v>
                </c:pt>
                <c:pt idx="10">
                  <c:v>-2.4569999999999999</c:v>
                </c:pt>
                <c:pt idx="11">
                  <c:v>-3.0129999999999999</c:v>
                </c:pt>
                <c:pt idx="12">
                  <c:v>-3.0680000000000001</c:v>
                </c:pt>
                <c:pt idx="13">
                  <c:v>-2.177</c:v>
                </c:pt>
                <c:pt idx="14">
                  <c:v>-2.3730000000000002</c:v>
                </c:pt>
                <c:pt idx="15">
                  <c:v>-2.1789999999999998</c:v>
                </c:pt>
                <c:pt idx="16">
                  <c:v>-3.3929999999999998</c:v>
                </c:pt>
                <c:pt idx="17">
                  <c:v>-2.17</c:v>
                </c:pt>
                <c:pt idx="18">
                  <c:v>-2.5099999999999998</c:v>
                </c:pt>
                <c:pt idx="19">
                  <c:v>-2.278</c:v>
                </c:pt>
                <c:pt idx="20">
                  <c:v>-2.4969999999999999</c:v>
                </c:pt>
                <c:pt idx="21">
                  <c:v>-2.2120000000000002</c:v>
                </c:pt>
                <c:pt idx="24">
                  <c:v>-18.856999999999999</c:v>
                </c:pt>
                <c:pt idx="27">
                  <c:v>-2.6890000000000001</c:v>
                </c:pt>
                <c:pt idx="28">
                  <c:v>-2.3610000000000002</c:v>
                </c:pt>
                <c:pt idx="29">
                  <c:v>-2.2730000000000001</c:v>
                </c:pt>
                <c:pt idx="32">
                  <c:v>-3.4609999999999999</c:v>
                </c:pt>
                <c:pt idx="33">
                  <c:v>-2.1840000000000002</c:v>
                </c:pt>
                <c:pt idx="34">
                  <c:v>-2.633</c:v>
                </c:pt>
                <c:pt idx="35">
                  <c:v>-2.4300000000000002</c:v>
                </c:pt>
                <c:pt idx="36">
                  <c:v>-2.5649999999999999</c:v>
                </c:pt>
                <c:pt idx="37">
                  <c:v>-2.7869999999999999</c:v>
                </c:pt>
                <c:pt idx="40">
                  <c:v>-2.6160000000000001</c:v>
                </c:pt>
                <c:pt idx="41">
                  <c:v>-2.2669999999999999</c:v>
                </c:pt>
                <c:pt idx="42">
                  <c:v>-2.5310000000000001</c:v>
                </c:pt>
                <c:pt idx="43">
                  <c:v>-2.234</c:v>
                </c:pt>
                <c:pt idx="44">
                  <c:v>-2.5430000000000001</c:v>
                </c:pt>
                <c:pt idx="45">
                  <c:v>-2.1859999999999999</c:v>
                </c:pt>
                <c:pt idx="48">
                  <c:v>-2.5230000000000001</c:v>
                </c:pt>
                <c:pt idx="49">
                  <c:v>-2.2040000000000002</c:v>
                </c:pt>
                <c:pt idx="50">
                  <c:v>-2.4950000000000001</c:v>
                </c:pt>
                <c:pt idx="51">
                  <c:v>-2.1560000000000001</c:v>
                </c:pt>
                <c:pt idx="52">
                  <c:v>-2.4500000000000002</c:v>
                </c:pt>
                <c:pt idx="53">
                  <c:v>-2.0950000000000002</c:v>
                </c:pt>
                <c:pt idx="56">
                  <c:v>0</c:v>
                </c:pt>
                <c:pt idx="58">
                  <c:v>-9.7859999999999996</c:v>
                </c:pt>
                <c:pt idx="59">
                  <c:v>-26.547999999999998</c:v>
                </c:pt>
                <c:pt idx="60">
                  <c:v>-8.968</c:v>
                </c:pt>
                <c:pt idx="61">
                  <c:v>-30.312000000000001</c:v>
                </c:pt>
                <c:pt idx="62">
                  <c:v>-9.1479999999999997</c:v>
                </c:pt>
                <c:pt idx="65">
                  <c:v>-3.6779999999999999</c:v>
                </c:pt>
                <c:pt idx="66">
                  <c:v>-2.9660000000000002</c:v>
                </c:pt>
                <c:pt idx="67">
                  <c:v>-4.5949999999999998</c:v>
                </c:pt>
                <c:pt idx="68">
                  <c:v>-2.7040000000000002</c:v>
                </c:pt>
                <c:pt idx="69">
                  <c:v>-3.3490000000000002</c:v>
                </c:pt>
                <c:pt idx="72">
                  <c:v>-2.3839999999999999</c:v>
                </c:pt>
                <c:pt idx="73">
                  <c:v>-2.1669999999999998</c:v>
                </c:pt>
                <c:pt idx="74">
                  <c:v>-2.3959999999999999</c:v>
                </c:pt>
                <c:pt idx="75">
                  <c:v>-2.157</c:v>
                </c:pt>
                <c:pt idx="76">
                  <c:v>-2.847</c:v>
                </c:pt>
                <c:pt idx="79">
                  <c:v>0</c:v>
                </c:pt>
                <c:pt idx="81">
                  <c:v>-2.0939999999999999</c:v>
                </c:pt>
                <c:pt idx="82">
                  <c:v>-2.258</c:v>
                </c:pt>
                <c:pt idx="83">
                  <c:v>-2.3119999999999998</c:v>
                </c:pt>
                <c:pt idx="84">
                  <c:v>-2.4209999999999998</c:v>
                </c:pt>
                <c:pt idx="85">
                  <c:v>-2.2679999999999998</c:v>
                </c:pt>
                <c:pt idx="86">
                  <c:v>-2.3879999999999999</c:v>
                </c:pt>
                <c:pt idx="87">
                  <c:v>-2.3090000000000002</c:v>
                </c:pt>
                <c:pt idx="88">
                  <c:v>-2.6080000000000001</c:v>
                </c:pt>
                <c:pt idx="91">
                  <c:v>0</c:v>
                </c:pt>
                <c:pt idx="93">
                  <c:v>-2.2930000000000001</c:v>
                </c:pt>
                <c:pt idx="96">
                  <c:v>-2.2879999999999998</c:v>
                </c:pt>
                <c:pt idx="97">
                  <c:v>-2.2949999999999999</c:v>
                </c:pt>
                <c:pt idx="98">
                  <c:v>-2.347</c:v>
                </c:pt>
                <c:pt idx="99">
                  <c:v>-2.2309999999999999</c:v>
                </c:pt>
                <c:pt idx="100">
                  <c:v>-2.35</c:v>
                </c:pt>
                <c:pt idx="101">
                  <c:v>-2.7120000000000002</c:v>
                </c:pt>
                <c:pt idx="104">
                  <c:v>0</c:v>
                </c:pt>
                <c:pt idx="106">
                  <c:v>1.123</c:v>
                </c:pt>
                <c:pt idx="109">
                  <c:v>-2.2789999999999999</c:v>
                </c:pt>
                <c:pt idx="110">
                  <c:v>-2.367</c:v>
                </c:pt>
                <c:pt idx="111">
                  <c:v>-14.964</c:v>
                </c:pt>
              </c:numCache>
            </c:numRef>
          </c:yVal>
          <c:smooth val="0"/>
        </c:ser>
        <c:ser>
          <c:idx val="3"/>
          <c:order val="1"/>
          <c:tx>
            <c:v>d18O</c:v>
          </c:tx>
          <c:spPr>
            <a:ln w="19050">
              <a:solidFill>
                <a:schemeClr val="accent2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7000</c:v>
              </c:pt>
            </c:numLit>
          </c:xVal>
          <c:yVal>
            <c:numRef>
              <c:f>'After instal'!$F$2:$F$3</c:f>
              <c:numCache>
                <c:formatCode>General</c:formatCode>
                <c:ptCount val="2"/>
                <c:pt idx="0">
                  <c:v>-2.2000000000000002</c:v>
                </c:pt>
                <c:pt idx="1">
                  <c:v>-2.2000000000000002</c:v>
                </c:pt>
              </c:numCache>
            </c:numRef>
          </c:yVal>
          <c:smooth val="0"/>
        </c:ser>
        <c:ser>
          <c:idx val="0"/>
          <c:order val="2"/>
          <c:tx>
            <c:v>01/jun</c:v>
          </c:tx>
          <c:spPr>
            <a:ln w="28575">
              <a:noFill/>
            </a:ln>
          </c:spPr>
          <c:marker>
            <c:symbol val="star"/>
            <c:size val="7"/>
            <c:spPr>
              <a:ln>
                <a:solidFill>
                  <a:schemeClr val="accent6"/>
                </a:solidFill>
              </a:ln>
            </c:spPr>
          </c:marker>
          <c:xVal>
            <c:numRef>
              <c:f>'After Oring 29May'!$AG$4:$AG$49</c:f>
              <c:numCache>
                <c:formatCode>General</c:formatCode>
                <c:ptCount val="46"/>
                <c:pt idx="0">
                  <c:v>3187</c:v>
                </c:pt>
                <c:pt idx="1">
                  <c:v>2276</c:v>
                </c:pt>
                <c:pt idx="2">
                  <c:v>3361</c:v>
                </c:pt>
                <c:pt idx="3">
                  <c:v>3756</c:v>
                </c:pt>
                <c:pt idx="4">
                  <c:v>4649</c:v>
                </c:pt>
                <c:pt idx="5">
                  <c:v>3734</c:v>
                </c:pt>
                <c:pt idx="6">
                  <c:v>3920</c:v>
                </c:pt>
                <c:pt idx="7">
                  <c:v>3279</c:v>
                </c:pt>
                <c:pt idx="8">
                  <c:v>2857</c:v>
                </c:pt>
                <c:pt idx="9">
                  <c:v>4190</c:v>
                </c:pt>
                <c:pt idx="10">
                  <c:v>4582</c:v>
                </c:pt>
                <c:pt idx="11">
                  <c:v>4602</c:v>
                </c:pt>
                <c:pt idx="12">
                  <c:v>4556</c:v>
                </c:pt>
                <c:pt idx="13">
                  <c:v>3870</c:v>
                </c:pt>
                <c:pt idx="14">
                  <c:v>2820</c:v>
                </c:pt>
                <c:pt idx="15">
                  <c:v>3237</c:v>
                </c:pt>
                <c:pt idx="16">
                  <c:v>2787</c:v>
                </c:pt>
                <c:pt idx="17">
                  <c:v>4010</c:v>
                </c:pt>
                <c:pt idx="18">
                  <c:v>3366</c:v>
                </c:pt>
                <c:pt idx="19">
                  <c:v>3748</c:v>
                </c:pt>
                <c:pt idx="20">
                  <c:v>3558</c:v>
                </c:pt>
                <c:pt idx="21">
                  <c:v>3089</c:v>
                </c:pt>
                <c:pt idx="22">
                  <c:v>3068</c:v>
                </c:pt>
                <c:pt idx="23">
                  <c:v>3506</c:v>
                </c:pt>
                <c:pt idx="24">
                  <c:v>3927</c:v>
                </c:pt>
                <c:pt idx="25">
                  <c:v>3865</c:v>
                </c:pt>
                <c:pt idx="26">
                  <c:v>3021</c:v>
                </c:pt>
                <c:pt idx="27">
                  <c:v>2555</c:v>
                </c:pt>
                <c:pt idx="28">
                  <c:v>2776</c:v>
                </c:pt>
                <c:pt idx="29">
                  <c:v>4017</c:v>
                </c:pt>
                <c:pt idx="30">
                  <c:v>3580</c:v>
                </c:pt>
                <c:pt idx="31">
                  <c:v>3514</c:v>
                </c:pt>
                <c:pt idx="32">
                  <c:v>3075</c:v>
                </c:pt>
                <c:pt idx="33">
                  <c:v>2042</c:v>
                </c:pt>
                <c:pt idx="34">
                  <c:v>3403</c:v>
                </c:pt>
                <c:pt idx="35">
                  <c:v>3284</c:v>
                </c:pt>
                <c:pt idx="36">
                  <c:v>3719</c:v>
                </c:pt>
                <c:pt idx="37">
                  <c:v>3622</c:v>
                </c:pt>
                <c:pt idx="38">
                  <c:v>2559</c:v>
                </c:pt>
                <c:pt idx="39">
                  <c:v>3535</c:v>
                </c:pt>
                <c:pt idx="40">
                  <c:v>3580</c:v>
                </c:pt>
                <c:pt idx="41">
                  <c:v>2058</c:v>
                </c:pt>
                <c:pt idx="42">
                  <c:v>3723</c:v>
                </c:pt>
                <c:pt idx="43">
                  <c:v>3219</c:v>
                </c:pt>
                <c:pt idx="44">
                  <c:v>3946</c:v>
                </c:pt>
                <c:pt idx="45">
                  <c:v>3720</c:v>
                </c:pt>
              </c:numCache>
            </c:numRef>
          </c:xVal>
          <c:yVal>
            <c:numRef>
              <c:f>'After Oring 29May'!$F$4:$F$49</c:f>
              <c:numCache>
                <c:formatCode>General</c:formatCode>
                <c:ptCount val="46"/>
                <c:pt idx="0">
                  <c:v>-5.149</c:v>
                </c:pt>
                <c:pt idx="1">
                  <c:v>-1.3859999999999999</c:v>
                </c:pt>
                <c:pt idx="2">
                  <c:v>-3.16</c:v>
                </c:pt>
                <c:pt idx="3">
                  <c:v>-3.407</c:v>
                </c:pt>
                <c:pt idx="4">
                  <c:v>-2.625</c:v>
                </c:pt>
                <c:pt idx="5">
                  <c:v>-3.1749999999999998</c:v>
                </c:pt>
                <c:pt idx="6">
                  <c:v>-3.8620000000000001</c:v>
                </c:pt>
                <c:pt idx="7">
                  <c:v>-2.464</c:v>
                </c:pt>
                <c:pt idx="8">
                  <c:v>-3.2360000000000002</c:v>
                </c:pt>
                <c:pt idx="9">
                  <c:v>-3.4350000000000001</c:v>
                </c:pt>
                <c:pt idx="10">
                  <c:v>-2.4529999999999998</c:v>
                </c:pt>
                <c:pt idx="11">
                  <c:v>-2.7989999999999999</c:v>
                </c:pt>
                <c:pt idx="12">
                  <c:v>-3.5049999999999999</c:v>
                </c:pt>
                <c:pt idx="13">
                  <c:v>-2.5880000000000001</c:v>
                </c:pt>
                <c:pt idx="14">
                  <c:v>-3.0859999999999999</c:v>
                </c:pt>
                <c:pt idx="15">
                  <c:v>-3.8969999999999998</c:v>
                </c:pt>
                <c:pt idx="16">
                  <c:v>-2.8180000000000001</c:v>
                </c:pt>
                <c:pt idx="17">
                  <c:v>-2.9889999999999999</c:v>
                </c:pt>
                <c:pt idx="18">
                  <c:v>-4.0270000000000001</c:v>
                </c:pt>
                <c:pt idx="19">
                  <c:v>-2.548</c:v>
                </c:pt>
                <c:pt idx="20">
                  <c:v>-3.0009999999999999</c:v>
                </c:pt>
                <c:pt idx="21">
                  <c:v>-4.0049999999999999</c:v>
                </c:pt>
                <c:pt idx="22">
                  <c:v>-2.681</c:v>
                </c:pt>
                <c:pt idx="23">
                  <c:v>-2.9969999999999999</c:v>
                </c:pt>
                <c:pt idx="24">
                  <c:v>-3.508</c:v>
                </c:pt>
                <c:pt idx="25">
                  <c:v>-2.6520000000000001</c:v>
                </c:pt>
                <c:pt idx="26">
                  <c:v>-3.2839999999999998</c:v>
                </c:pt>
                <c:pt idx="27">
                  <c:v>-4.0019999999999998</c:v>
                </c:pt>
                <c:pt idx="28">
                  <c:v>-2.569</c:v>
                </c:pt>
                <c:pt idx="29">
                  <c:v>-2.8439999999999999</c:v>
                </c:pt>
                <c:pt idx="30">
                  <c:v>-2.8879999999999999</c:v>
                </c:pt>
                <c:pt idx="31">
                  <c:v>-3.7879999999999998</c:v>
                </c:pt>
                <c:pt idx="32">
                  <c:v>-2.6230000000000002</c:v>
                </c:pt>
                <c:pt idx="33">
                  <c:v>-3.4580000000000002</c:v>
                </c:pt>
                <c:pt idx="34">
                  <c:v>-3.4390000000000001</c:v>
                </c:pt>
                <c:pt idx="35">
                  <c:v>-2.4500000000000002</c:v>
                </c:pt>
                <c:pt idx="36">
                  <c:v>-2.996</c:v>
                </c:pt>
                <c:pt idx="37">
                  <c:v>-3.4460000000000002</c:v>
                </c:pt>
                <c:pt idx="38">
                  <c:v>-2.7090000000000001</c:v>
                </c:pt>
                <c:pt idx="39">
                  <c:v>-2.8769999999999998</c:v>
                </c:pt>
                <c:pt idx="40">
                  <c:v>-3.5150000000000001</c:v>
                </c:pt>
                <c:pt idx="41">
                  <c:v>-2.88</c:v>
                </c:pt>
                <c:pt idx="42">
                  <c:v>-2.7709999999999999</c:v>
                </c:pt>
                <c:pt idx="43">
                  <c:v>-3.827</c:v>
                </c:pt>
                <c:pt idx="44">
                  <c:v>-2.3610000000000002</c:v>
                </c:pt>
                <c:pt idx="45">
                  <c:v>-2.8359999999999999</c:v>
                </c:pt>
              </c:numCache>
            </c:numRef>
          </c:yVal>
          <c:smooth val="0"/>
        </c:ser>
        <c:ser>
          <c:idx val="2"/>
          <c:order val="3"/>
          <c:tx>
            <c:v>03/jun</c:v>
          </c:tx>
          <c:spPr>
            <a:ln w="28575">
              <a:noFill/>
            </a:ln>
          </c:spPr>
          <c:marker>
            <c:symbol val="x"/>
            <c:size val="7"/>
            <c:spPr>
              <a:ln w="25400">
                <a:solidFill>
                  <a:srgbClr val="F991B9"/>
                </a:solidFill>
              </a:ln>
            </c:spPr>
          </c:marker>
          <c:xVal>
            <c:numRef>
              <c:f>'After Oring 29May'!$AK$54:$AK$61</c:f>
              <c:numCache>
                <c:formatCode>General</c:formatCode>
                <c:ptCount val="8"/>
                <c:pt idx="0">
                  <c:v>3283</c:v>
                </c:pt>
                <c:pt idx="1">
                  <c:v>2571</c:v>
                </c:pt>
                <c:pt idx="2">
                  <c:v>3743</c:v>
                </c:pt>
                <c:pt idx="3">
                  <c:v>4447</c:v>
                </c:pt>
                <c:pt idx="4">
                  <c:v>3055</c:v>
                </c:pt>
                <c:pt idx="5">
                  <c:v>3105</c:v>
                </c:pt>
                <c:pt idx="6">
                  <c:v>2912</c:v>
                </c:pt>
                <c:pt idx="7">
                  <c:v>3751</c:v>
                </c:pt>
              </c:numCache>
            </c:numRef>
          </c:xVal>
          <c:yVal>
            <c:numRef>
              <c:f>'After Oring 29May'!$F$54:$F$61</c:f>
              <c:numCache>
                <c:formatCode>General</c:formatCode>
                <c:ptCount val="8"/>
                <c:pt idx="0">
                  <c:v>-2.5499999999999998</c:v>
                </c:pt>
                <c:pt idx="1">
                  <c:v>-2.677</c:v>
                </c:pt>
                <c:pt idx="2">
                  <c:v>-2.6070000000000002</c:v>
                </c:pt>
                <c:pt idx="3">
                  <c:v>-2.3069999999999999</c:v>
                </c:pt>
                <c:pt idx="4">
                  <c:v>-2.7290000000000001</c:v>
                </c:pt>
                <c:pt idx="5">
                  <c:v>-2.5950000000000002</c:v>
                </c:pt>
                <c:pt idx="6">
                  <c:v>-2.7770000000000001</c:v>
                </c:pt>
                <c:pt idx="7">
                  <c:v>-2.5129999999999999</c:v>
                </c:pt>
              </c:numCache>
            </c:numRef>
          </c:yVal>
          <c:smooth val="0"/>
        </c:ser>
        <c:ser>
          <c:idx val="4"/>
          <c:order val="4"/>
          <c:tx>
            <c:v>08/jun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B818AD"/>
              </a:solidFill>
              <a:ln>
                <a:solidFill>
                  <a:srgbClr val="B818AD"/>
                </a:solidFill>
              </a:ln>
            </c:spPr>
          </c:marker>
          <c:xVal>
            <c:numRef>
              <c:f>'After Oring 29May'!$AJ$66:$AJ$111</c:f>
              <c:numCache>
                <c:formatCode>General</c:formatCode>
                <c:ptCount val="46"/>
                <c:pt idx="0">
                  <c:v>2938</c:v>
                </c:pt>
                <c:pt idx="1">
                  <c:v>3096</c:v>
                </c:pt>
                <c:pt idx="2">
                  <c:v>3024</c:v>
                </c:pt>
                <c:pt idx="3">
                  <c:v>3249</c:v>
                </c:pt>
                <c:pt idx="4">
                  <c:v>2774</c:v>
                </c:pt>
                <c:pt idx="5">
                  <c:v>2110</c:v>
                </c:pt>
                <c:pt idx="6">
                  <c:v>2785</c:v>
                </c:pt>
                <c:pt idx="7">
                  <c:v>2472</c:v>
                </c:pt>
                <c:pt idx="8">
                  <c:v>2662</c:v>
                </c:pt>
                <c:pt idx="9">
                  <c:v>2638</c:v>
                </c:pt>
                <c:pt idx="10">
                  <c:v>2398</c:v>
                </c:pt>
                <c:pt idx="11">
                  <c:v>2451</c:v>
                </c:pt>
                <c:pt idx="12">
                  <c:v>1778</c:v>
                </c:pt>
                <c:pt idx="13">
                  <c:v>3839</c:v>
                </c:pt>
                <c:pt idx="14">
                  <c:v>2154</c:v>
                </c:pt>
                <c:pt idx="15">
                  <c:v>3170</c:v>
                </c:pt>
                <c:pt idx="16">
                  <c:v>3174</c:v>
                </c:pt>
                <c:pt idx="17">
                  <c:v>2307</c:v>
                </c:pt>
                <c:pt idx="18">
                  <c:v>2333</c:v>
                </c:pt>
                <c:pt idx="19">
                  <c:v>2496</c:v>
                </c:pt>
                <c:pt idx="20">
                  <c:v>2646</c:v>
                </c:pt>
                <c:pt idx="21">
                  <c:v>2786</c:v>
                </c:pt>
                <c:pt idx="22">
                  <c:v>2526</c:v>
                </c:pt>
                <c:pt idx="23">
                  <c:v>2829</c:v>
                </c:pt>
                <c:pt idx="24">
                  <c:v>2731</c:v>
                </c:pt>
                <c:pt idx="25">
                  <c:v>2645</c:v>
                </c:pt>
                <c:pt idx="26">
                  <c:v>3003</c:v>
                </c:pt>
                <c:pt idx="27">
                  <c:v>2548</c:v>
                </c:pt>
                <c:pt idx="28">
                  <c:v>2726</c:v>
                </c:pt>
                <c:pt idx="29">
                  <c:v>2605</c:v>
                </c:pt>
                <c:pt idx="30">
                  <c:v>2046</c:v>
                </c:pt>
                <c:pt idx="31">
                  <c:v>3012</c:v>
                </c:pt>
                <c:pt idx="32">
                  <c:v>2629</c:v>
                </c:pt>
                <c:pt idx="33">
                  <c:v>2514</c:v>
                </c:pt>
                <c:pt idx="34">
                  <c:v>2761</c:v>
                </c:pt>
                <c:pt idx="35">
                  <c:v>2059</c:v>
                </c:pt>
                <c:pt idx="36">
                  <c:v>2984</c:v>
                </c:pt>
                <c:pt idx="37">
                  <c:v>2784</c:v>
                </c:pt>
                <c:pt idx="38">
                  <c:v>2229</c:v>
                </c:pt>
                <c:pt idx="39">
                  <c:v>2616</c:v>
                </c:pt>
                <c:pt idx="40">
                  <c:v>2879</c:v>
                </c:pt>
                <c:pt idx="41">
                  <c:v>2423</c:v>
                </c:pt>
                <c:pt idx="42">
                  <c:v>3068</c:v>
                </c:pt>
                <c:pt idx="43">
                  <c:v>2820</c:v>
                </c:pt>
                <c:pt idx="44">
                  <c:v>2997</c:v>
                </c:pt>
                <c:pt idx="45">
                  <c:v>2612</c:v>
                </c:pt>
              </c:numCache>
            </c:numRef>
          </c:xVal>
          <c:yVal>
            <c:numRef>
              <c:f>'After Oring 29May'!$F$66:$F$111</c:f>
              <c:numCache>
                <c:formatCode>General</c:formatCode>
                <c:ptCount val="46"/>
                <c:pt idx="0">
                  <c:v>-2.444</c:v>
                </c:pt>
                <c:pt idx="1">
                  <c:v>-2.4580000000000002</c:v>
                </c:pt>
                <c:pt idx="2">
                  <c:v>-2.3929999999999998</c:v>
                </c:pt>
                <c:pt idx="3">
                  <c:v>-2.4239999999999999</c:v>
                </c:pt>
                <c:pt idx="4">
                  <c:v>-2.5270000000000001</c:v>
                </c:pt>
                <c:pt idx="5">
                  <c:v>-2.5209999999999999</c:v>
                </c:pt>
                <c:pt idx="6">
                  <c:v>-2.5790000000000002</c:v>
                </c:pt>
                <c:pt idx="7">
                  <c:v>-2.5070000000000001</c:v>
                </c:pt>
                <c:pt idx="8">
                  <c:v>-2.6320000000000001</c:v>
                </c:pt>
                <c:pt idx="9">
                  <c:v>-2.4689999999999999</c:v>
                </c:pt>
                <c:pt idx="10">
                  <c:v>-2.5150000000000001</c:v>
                </c:pt>
                <c:pt idx="11">
                  <c:v>-2.5449999999999999</c:v>
                </c:pt>
                <c:pt idx="12">
                  <c:v>-2.6509999999999998</c:v>
                </c:pt>
                <c:pt idx="13">
                  <c:v>-2.339</c:v>
                </c:pt>
                <c:pt idx="14">
                  <c:v>-2.5979999999999999</c:v>
                </c:pt>
                <c:pt idx="15">
                  <c:v>-2.5190000000000001</c:v>
                </c:pt>
                <c:pt idx="16">
                  <c:v>-2.5350000000000001</c:v>
                </c:pt>
                <c:pt idx="17">
                  <c:v>-2.5030000000000001</c:v>
                </c:pt>
                <c:pt idx="18">
                  <c:v>-2.5419999999999998</c:v>
                </c:pt>
                <c:pt idx="19">
                  <c:v>-2.4079999999999999</c:v>
                </c:pt>
                <c:pt idx="20">
                  <c:v>-2.625</c:v>
                </c:pt>
                <c:pt idx="21">
                  <c:v>-2.4630000000000001</c:v>
                </c:pt>
                <c:pt idx="22">
                  <c:v>-2.448</c:v>
                </c:pt>
                <c:pt idx="23">
                  <c:v>-2.4289999999999998</c:v>
                </c:pt>
                <c:pt idx="24">
                  <c:v>-2.5750000000000002</c:v>
                </c:pt>
                <c:pt idx="25">
                  <c:v>-2.339</c:v>
                </c:pt>
                <c:pt idx="26">
                  <c:v>-2.5350000000000001</c:v>
                </c:pt>
                <c:pt idx="27">
                  <c:v>-2.6230000000000002</c:v>
                </c:pt>
                <c:pt idx="28">
                  <c:v>-2.3889999999999998</c:v>
                </c:pt>
                <c:pt idx="29">
                  <c:v>-2.512</c:v>
                </c:pt>
                <c:pt idx="30">
                  <c:v>-2.6019999999999999</c:v>
                </c:pt>
                <c:pt idx="31">
                  <c:v>-2.4380000000000002</c:v>
                </c:pt>
                <c:pt idx="32">
                  <c:v>-2.5009999999999999</c:v>
                </c:pt>
                <c:pt idx="33">
                  <c:v>-2.6059999999999999</c:v>
                </c:pt>
                <c:pt idx="34">
                  <c:v>-2.3370000000000002</c:v>
                </c:pt>
                <c:pt idx="35">
                  <c:v>-2.67</c:v>
                </c:pt>
                <c:pt idx="36">
                  <c:v>-2.4239999999999999</c:v>
                </c:pt>
                <c:pt idx="37">
                  <c:v>-2.69</c:v>
                </c:pt>
                <c:pt idx="38">
                  <c:v>-2.444</c:v>
                </c:pt>
                <c:pt idx="39">
                  <c:v>-2.5339999999999998</c:v>
                </c:pt>
                <c:pt idx="40">
                  <c:v>-2.5859999999999999</c:v>
                </c:pt>
                <c:pt idx="41">
                  <c:v>-2.4860000000000002</c:v>
                </c:pt>
                <c:pt idx="42">
                  <c:v>-2.4969999999999999</c:v>
                </c:pt>
                <c:pt idx="43">
                  <c:v>-2.4079999999999999</c:v>
                </c:pt>
                <c:pt idx="44">
                  <c:v>-2.5150000000000001</c:v>
                </c:pt>
                <c:pt idx="45">
                  <c:v>-2.48</c:v>
                </c:pt>
              </c:numCache>
            </c:numRef>
          </c:yVal>
          <c:smooth val="0"/>
        </c:ser>
        <c:ser>
          <c:idx val="5"/>
          <c:order val="5"/>
          <c:tx>
            <c:v>19/jun</c:v>
          </c:tx>
          <c:spPr>
            <a:ln w="28575">
              <a:noFill/>
            </a:ln>
          </c:spPr>
          <c:marker>
            <c:symbol val="triang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'After capilar 19Jun'!$AN$4:$AN$43</c:f>
              <c:numCache>
                <c:formatCode>General</c:formatCode>
                <c:ptCount val="40"/>
                <c:pt idx="0">
                  <c:v>5471</c:v>
                </c:pt>
                <c:pt idx="1">
                  <c:v>8727</c:v>
                </c:pt>
                <c:pt idx="2">
                  <c:v>8433</c:v>
                </c:pt>
                <c:pt idx="3">
                  <c:v>4395</c:v>
                </c:pt>
                <c:pt idx="4">
                  <c:v>5296</c:v>
                </c:pt>
                <c:pt idx="5">
                  <c:v>5051</c:v>
                </c:pt>
                <c:pt idx="6">
                  <c:v>5144</c:v>
                </c:pt>
                <c:pt idx="7">
                  <c:v>4999</c:v>
                </c:pt>
                <c:pt idx="8">
                  <c:v>4682</c:v>
                </c:pt>
                <c:pt idx="9">
                  <c:v>5607</c:v>
                </c:pt>
                <c:pt idx="10">
                  <c:v>5281</c:v>
                </c:pt>
                <c:pt idx="11">
                  <c:v>6380</c:v>
                </c:pt>
                <c:pt idx="12">
                  <c:v>5950</c:v>
                </c:pt>
                <c:pt idx="13">
                  <c:v>4592</c:v>
                </c:pt>
                <c:pt idx="14">
                  <c:v>5738</c:v>
                </c:pt>
                <c:pt idx="15">
                  <c:v>4905</c:v>
                </c:pt>
                <c:pt idx="16">
                  <c:v>4938</c:v>
                </c:pt>
                <c:pt idx="17">
                  <c:v>4271</c:v>
                </c:pt>
                <c:pt idx="18">
                  <c:v>4987</c:v>
                </c:pt>
                <c:pt idx="19">
                  <c:v>5986</c:v>
                </c:pt>
                <c:pt idx="20">
                  <c:v>5115</c:v>
                </c:pt>
                <c:pt idx="21">
                  <c:v>5301</c:v>
                </c:pt>
                <c:pt idx="22">
                  <c:v>4712</c:v>
                </c:pt>
                <c:pt idx="23">
                  <c:v>4041</c:v>
                </c:pt>
                <c:pt idx="24">
                  <c:v>5191</c:v>
                </c:pt>
                <c:pt idx="25">
                  <c:v>4405</c:v>
                </c:pt>
                <c:pt idx="26">
                  <c:v>4494</c:v>
                </c:pt>
                <c:pt idx="27">
                  <c:v>5411</c:v>
                </c:pt>
                <c:pt idx="28">
                  <c:v>7484</c:v>
                </c:pt>
                <c:pt idx="29">
                  <c:v>6238</c:v>
                </c:pt>
                <c:pt idx="30">
                  <c:v>7053</c:v>
                </c:pt>
                <c:pt idx="33">
                  <c:v>8603</c:v>
                </c:pt>
                <c:pt idx="34">
                  <c:v>7581</c:v>
                </c:pt>
                <c:pt idx="35">
                  <c:v>9678</c:v>
                </c:pt>
                <c:pt idx="36">
                  <c:v>7884</c:v>
                </c:pt>
                <c:pt idx="37">
                  <c:v>8791</c:v>
                </c:pt>
                <c:pt idx="38">
                  <c:v>8101</c:v>
                </c:pt>
                <c:pt idx="39">
                  <c:v>5202</c:v>
                </c:pt>
              </c:numCache>
            </c:numRef>
          </c:xVal>
          <c:yVal>
            <c:numRef>
              <c:f>'After capilar 19Jun'!$I$4:$I$43</c:f>
              <c:numCache>
                <c:formatCode>General</c:formatCode>
                <c:ptCount val="40"/>
                <c:pt idx="0">
                  <c:v>-2.5030000000000001</c:v>
                </c:pt>
                <c:pt idx="1">
                  <c:v>-2.5299999999999998</c:v>
                </c:pt>
                <c:pt idx="2">
                  <c:v>-2.5310000000000001</c:v>
                </c:pt>
                <c:pt idx="3">
                  <c:v>-2.4940000000000002</c:v>
                </c:pt>
                <c:pt idx="4">
                  <c:v>-0.81799999999999995</c:v>
                </c:pt>
                <c:pt idx="5">
                  <c:v>-2.5299999999999998</c:v>
                </c:pt>
                <c:pt idx="6">
                  <c:v>-2.38</c:v>
                </c:pt>
                <c:pt idx="7">
                  <c:v>-2.504</c:v>
                </c:pt>
                <c:pt idx="8">
                  <c:v>-2.496</c:v>
                </c:pt>
                <c:pt idx="9">
                  <c:v>-2.375</c:v>
                </c:pt>
                <c:pt idx="10">
                  <c:v>-2.4580000000000002</c:v>
                </c:pt>
                <c:pt idx="11">
                  <c:v>-2.496</c:v>
                </c:pt>
                <c:pt idx="12">
                  <c:v>-2.4830000000000001</c:v>
                </c:pt>
                <c:pt idx="13">
                  <c:v>-2.6269999999999998</c:v>
                </c:pt>
                <c:pt idx="14">
                  <c:v>-2.4849999999999999</c:v>
                </c:pt>
                <c:pt idx="15">
                  <c:v>-2.6</c:v>
                </c:pt>
                <c:pt idx="16">
                  <c:v>-2.5459999999999998</c:v>
                </c:pt>
                <c:pt idx="17">
                  <c:v>-2.516</c:v>
                </c:pt>
                <c:pt idx="18">
                  <c:v>-2.532</c:v>
                </c:pt>
                <c:pt idx="19">
                  <c:v>-2.4820000000000002</c:v>
                </c:pt>
                <c:pt idx="20">
                  <c:v>-2.4369999999999998</c:v>
                </c:pt>
                <c:pt idx="21">
                  <c:v>-2.431</c:v>
                </c:pt>
                <c:pt idx="22">
                  <c:v>-2.5499999999999998</c:v>
                </c:pt>
                <c:pt idx="23">
                  <c:v>-2.4239999999999999</c:v>
                </c:pt>
                <c:pt idx="24">
                  <c:v>-2.581</c:v>
                </c:pt>
                <c:pt idx="25">
                  <c:v>-2.4780000000000002</c:v>
                </c:pt>
                <c:pt idx="26">
                  <c:v>-2.5150000000000001</c:v>
                </c:pt>
                <c:pt idx="27">
                  <c:v>-2.3889999999999998</c:v>
                </c:pt>
                <c:pt idx="28">
                  <c:v>-2.3239999999999998</c:v>
                </c:pt>
                <c:pt idx="29">
                  <c:v>-2.286</c:v>
                </c:pt>
                <c:pt idx="30">
                  <c:v>-2.4159999999999999</c:v>
                </c:pt>
                <c:pt idx="32">
                  <c:v>0</c:v>
                </c:pt>
                <c:pt idx="33">
                  <c:v>-2.5259999999999998</c:v>
                </c:pt>
                <c:pt idx="34">
                  <c:v>-2.5659999999999998</c:v>
                </c:pt>
                <c:pt idx="35">
                  <c:v>-2.4870000000000001</c:v>
                </c:pt>
                <c:pt idx="36">
                  <c:v>-2.5539999999999998</c:v>
                </c:pt>
                <c:pt idx="37">
                  <c:v>-2.4449999999999998</c:v>
                </c:pt>
                <c:pt idx="38">
                  <c:v>-2.4940000000000002</c:v>
                </c:pt>
                <c:pt idx="39">
                  <c:v>-2.403</c:v>
                </c:pt>
              </c:numCache>
            </c:numRef>
          </c:yVal>
          <c:smooth val="0"/>
        </c:ser>
        <c:ser>
          <c:idx val="6"/>
          <c:order val="6"/>
          <c:tx>
            <c:v>24/jun</c:v>
          </c:tx>
          <c:spPr>
            <a:ln w="28575">
              <a:noFill/>
            </a:ln>
          </c:spPr>
          <c:marker>
            <c:symbol val="diamond"/>
            <c:size val="7"/>
            <c:spPr>
              <a:noFill/>
              <a:ln w="15875">
                <a:solidFill>
                  <a:srgbClr val="C41249"/>
                </a:solidFill>
              </a:ln>
            </c:spPr>
          </c:marker>
          <c:xVal>
            <c:numRef>
              <c:f>'After capilar 19Jun'!$AN$49:$AN$89</c:f>
              <c:numCache>
                <c:formatCode>General</c:formatCode>
                <c:ptCount val="41"/>
                <c:pt idx="0">
                  <c:v>796</c:v>
                </c:pt>
                <c:pt idx="1">
                  <c:v>2879</c:v>
                </c:pt>
                <c:pt idx="2">
                  <c:v>1270</c:v>
                </c:pt>
                <c:pt idx="3">
                  <c:v>1277</c:v>
                </c:pt>
                <c:pt idx="4">
                  <c:v>1432</c:v>
                </c:pt>
                <c:pt idx="5">
                  <c:v>2049</c:v>
                </c:pt>
                <c:pt idx="6">
                  <c:v>1176</c:v>
                </c:pt>
                <c:pt idx="7">
                  <c:v>1490</c:v>
                </c:pt>
                <c:pt idx="8">
                  <c:v>10181</c:v>
                </c:pt>
                <c:pt idx="9">
                  <c:v>5571</c:v>
                </c:pt>
                <c:pt idx="12">
                  <c:v>7929</c:v>
                </c:pt>
                <c:pt idx="13">
                  <c:v>4989</c:v>
                </c:pt>
                <c:pt idx="14">
                  <c:v>6661</c:v>
                </c:pt>
                <c:pt idx="15">
                  <c:v>5039</c:v>
                </c:pt>
                <c:pt idx="16">
                  <c:v>5765</c:v>
                </c:pt>
                <c:pt idx="17">
                  <c:v>5861</c:v>
                </c:pt>
                <c:pt idx="18">
                  <c:v>4076</c:v>
                </c:pt>
                <c:pt idx="19">
                  <c:v>3360</c:v>
                </c:pt>
                <c:pt idx="22">
                  <c:v>7922</c:v>
                </c:pt>
                <c:pt idx="23">
                  <c:v>6557</c:v>
                </c:pt>
                <c:pt idx="24">
                  <c:v>2815</c:v>
                </c:pt>
                <c:pt idx="25">
                  <c:v>6225</c:v>
                </c:pt>
                <c:pt idx="26">
                  <c:v>11260</c:v>
                </c:pt>
                <c:pt idx="27">
                  <c:v>6664</c:v>
                </c:pt>
                <c:pt idx="28">
                  <c:v>12256</c:v>
                </c:pt>
                <c:pt idx="29">
                  <c:v>10563</c:v>
                </c:pt>
                <c:pt idx="30">
                  <c:v>5387</c:v>
                </c:pt>
                <c:pt idx="31">
                  <c:v>11312</c:v>
                </c:pt>
                <c:pt idx="32">
                  <c:v>10347</c:v>
                </c:pt>
                <c:pt idx="33">
                  <c:v>11198</c:v>
                </c:pt>
                <c:pt idx="34">
                  <c:v>12166</c:v>
                </c:pt>
                <c:pt idx="35">
                  <c:v>7196</c:v>
                </c:pt>
                <c:pt idx="36">
                  <c:v>6617</c:v>
                </c:pt>
                <c:pt idx="37">
                  <c:v>8394</c:v>
                </c:pt>
                <c:pt idx="38">
                  <c:v>6031</c:v>
                </c:pt>
                <c:pt idx="39">
                  <c:v>8146</c:v>
                </c:pt>
                <c:pt idx="40">
                  <c:v>6557</c:v>
                </c:pt>
              </c:numCache>
            </c:numRef>
          </c:xVal>
          <c:yVal>
            <c:numRef>
              <c:f>'After capilar 19Jun'!$I$49:$I$89</c:f>
              <c:numCache>
                <c:formatCode>General</c:formatCode>
                <c:ptCount val="41"/>
                <c:pt idx="0">
                  <c:v>-6.2539999999999996</c:v>
                </c:pt>
                <c:pt idx="1">
                  <c:v>-3.331</c:v>
                </c:pt>
                <c:pt idx="2">
                  <c:v>-4.1210000000000004</c:v>
                </c:pt>
                <c:pt idx="3">
                  <c:v>-4.4470000000000001</c:v>
                </c:pt>
                <c:pt idx="4">
                  <c:v>-3.8050000000000002</c:v>
                </c:pt>
                <c:pt idx="5">
                  <c:v>-3.5739999999999998</c:v>
                </c:pt>
                <c:pt idx="6">
                  <c:v>-4.7030000000000003</c:v>
                </c:pt>
                <c:pt idx="7">
                  <c:v>-3.794</c:v>
                </c:pt>
                <c:pt idx="8">
                  <c:v>-2.4689999999999999</c:v>
                </c:pt>
                <c:pt idx="9">
                  <c:v>-2.6680000000000001</c:v>
                </c:pt>
                <c:pt idx="11">
                  <c:v>0</c:v>
                </c:pt>
                <c:pt idx="12">
                  <c:v>-2.6480000000000001</c:v>
                </c:pt>
                <c:pt idx="13">
                  <c:v>-2.819</c:v>
                </c:pt>
                <c:pt idx="14">
                  <c:v>-2.738</c:v>
                </c:pt>
                <c:pt idx="15">
                  <c:v>-2.262</c:v>
                </c:pt>
                <c:pt idx="16">
                  <c:v>-2.8210000000000002</c:v>
                </c:pt>
                <c:pt idx="17">
                  <c:v>-2.819</c:v>
                </c:pt>
                <c:pt idx="18">
                  <c:v>-3.0030000000000001</c:v>
                </c:pt>
                <c:pt idx="19">
                  <c:v>-3.1160000000000001</c:v>
                </c:pt>
                <c:pt idx="21">
                  <c:v>0</c:v>
                </c:pt>
                <c:pt idx="22">
                  <c:v>-2.5579999999999998</c:v>
                </c:pt>
                <c:pt idx="23">
                  <c:v>-2.6829999999999998</c:v>
                </c:pt>
                <c:pt idx="24">
                  <c:v>-1.365</c:v>
                </c:pt>
                <c:pt idx="25">
                  <c:v>-2.6909999999999998</c:v>
                </c:pt>
                <c:pt idx="26">
                  <c:v>-2.4740000000000002</c:v>
                </c:pt>
                <c:pt idx="27">
                  <c:v>-2.6829999999999998</c:v>
                </c:pt>
                <c:pt idx="28">
                  <c:v>-2.6349999999999998</c:v>
                </c:pt>
                <c:pt idx="29">
                  <c:v>-1.899</c:v>
                </c:pt>
                <c:pt idx="30">
                  <c:v>-2.7290000000000001</c:v>
                </c:pt>
                <c:pt idx="31">
                  <c:v>-2.383</c:v>
                </c:pt>
                <c:pt idx="32">
                  <c:v>-2.5659999999999998</c:v>
                </c:pt>
                <c:pt idx="33">
                  <c:v>-2.4420000000000002</c:v>
                </c:pt>
                <c:pt idx="34">
                  <c:v>-2.2189999999999999</c:v>
                </c:pt>
                <c:pt idx="35">
                  <c:v>-2.6640000000000001</c:v>
                </c:pt>
                <c:pt idx="36">
                  <c:v>-2.629</c:v>
                </c:pt>
                <c:pt idx="37">
                  <c:v>-2.4089999999999998</c:v>
                </c:pt>
                <c:pt idx="38">
                  <c:v>-2.7589999999999999</c:v>
                </c:pt>
                <c:pt idx="39">
                  <c:v>-2.5390000000000001</c:v>
                </c:pt>
                <c:pt idx="40">
                  <c:v>-2.4039999999999999</c:v>
                </c:pt>
              </c:numCache>
            </c:numRef>
          </c:yVal>
          <c:smooth val="0"/>
        </c:ser>
        <c:ser>
          <c:idx val="7"/>
          <c:order val="7"/>
          <c:tx>
            <c:v>29/jun</c:v>
          </c:tx>
          <c:spPr>
            <a:ln w="28575">
              <a:noFill/>
            </a:ln>
          </c:spPr>
          <c:marker>
            <c:symbol val="circle"/>
            <c:size val="5"/>
            <c:spPr>
              <a:noFill/>
              <a:ln w="15875">
                <a:solidFill>
                  <a:schemeClr val="accent6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'After capilar 19Jun'!$AM$95:$AM$136</c:f>
              <c:numCache>
                <c:formatCode>General</c:formatCode>
                <c:ptCount val="42"/>
                <c:pt idx="0">
                  <c:v>1490</c:v>
                </c:pt>
                <c:pt idx="1">
                  <c:v>1543</c:v>
                </c:pt>
                <c:pt idx="2">
                  <c:v>1581</c:v>
                </c:pt>
                <c:pt idx="3">
                  <c:v>1075</c:v>
                </c:pt>
                <c:pt idx="4">
                  <c:v>5794</c:v>
                </c:pt>
                <c:pt idx="5">
                  <c:v>5765</c:v>
                </c:pt>
                <c:pt idx="6">
                  <c:v>5307</c:v>
                </c:pt>
                <c:pt idx="7">
                  <c:v>10168</c:v>
                </c:pt>
                <c:pt idx="8">
                  <c:v>5000</c:v>
                </c:pt>
                <c:pt idx="9">
                  <c:v>5378</c:v>
                </c:pt>
                <c:pt idx="10">
                  <c:v>5803</c:v>
                </c:pt>
                <c:pt idx="11">
                  <c:v>4929</c:v>
                </c:pt>
                <c:pt idx="12">
                  <c:v>10369</c:v>
                </c:pt>
                <c:pt idx="13">
                  <c:v>10687</c:v>
                </c:pt>
                <c:pt idx="14">
                  <c:v>9707</c:v>
                </c:pt>
                <c:pt idx="15">
                  <c:v>10278</c:v>
                </c:pt>
                <c:pt idx="16">
                  <c:v>8799</c:v>
                </c:pt>
                <c:pt idx="17">
                  <c:v>4711</c:v>
                </c:pt>
                <c:pt idx="18">
                  <c:v>5995</c:v>
                </c:pt>
                <c:pt idx="19">
                  <c:v>8204</c:v>
                </c:pt>
                <c:pt idx="20">
                  <c:v>7327</c:v>
                </c:pt>
                <c:pt idx="21">
                  <c:v>7508</c:v>
                </c:pt>
                <c:pt idx="22">
                  <c:v>8780</c:v>
                </c:pt>
                <c:pt idx="23">
                  <c:v>4182</c:v>
                </c:pt>
                <c:pt idx="24">
                  <c:v>5678</c:v>
                </c:pt>
                <c:pt idx="25">
                  <c:v>4950</c:v>
                </c:pt>
                <c:pt idx="26">
                  <c:v>6226</c:v>
                </c:pt>
                <c:pt idx="27">
                  <c:v>4482</c:v>
                </c:pt>
                <c:pt idx="28">
                  <c:v>6107</c:v>
                </c:pt>
                <c:pt idx="29">
                  <c:v>2576</c:v>
                </c:pt>
                <c:pt idx="30">
                  <c:v>2573</c:v>
                </c:pt>
                <c:pt idx="31">
                  <c:v>3924</c:v>
                </c:pt>
                <c:pt idx="33">
                  <c:v>3521</c:v>
                </c:pt>
                <c:pt idx="34">
                  <c:v>3972</c:v>
                </c:pt>
                <c:pt idx="35">
                  <c:v>2890</c:v>
                </c:pt>
                <c:pt idx="36">
                  <c:v>1293</c:v>
                </c:pt>
                <c:pt idx="38">
                  <c:v>969</c:v>
                </c:pt>
                <c:pt idx="39">
                  <c:v>1347</c:v>
                </c:pt>
                <c:pt idx="40">
                  <c:v>2816</c:v>
                </c:pt>
                <c:pt idx="41">
                  <c:v>2138</c:v>
                </c:pt>
              </c:numCache>
            </c:numRef>
          </c:xVal>
          <c:yVal>
            <c:numRef>
              <c:f>'After capilar 19Jun'!$I$95:$I$136</c:f>
              <c:numCache>
                <c:formatCode>General</c:formatCode>
                <c:ptCount val="42"/>
                <c:pt idx="0">
                  <c:v>-3.9129999999999998</c:v>
                </c:pt>
                <c:pt idx="1">
                  <c:v>-4.18</c:v>
                </c:pt>
                <c:pt idx="2">
                  <c:v>-3.8879999999999999</c:v>
                </c:pt>
                <c:pt idx="3">
                  <c:v>-5.0549999999999997</c:v>
                </c:pt>
                <c:pt idx="4">
                  <c:v>-2.7589999999999999</c:v>
                </c:pt>
                <c:pt idx="5">
                  <c:v>-2.835</c:v>
                </c:pt>
                <c:pt idx="6">
                  <c:v>-2.7909999999999999</c:v>
                </c:pt>
                <c:pt idx="7">
                  <c:v>-2.532</c:v>
                </c:pt>
                <c:pt idx="8">
                  <c:v>-2.8359999999999999</c:v>
                </c:pt>
                <c:pt idx="9">
                  <c:v>-2.85</c:v>
                </c:pt>
                <c:pt idx="10">
                  <c:v>-2.754</c:v>
                </c:pt>
                <c:pt idx="11">
                  <c:v>-2.8140000000000001</c:v>
                </c:pt>
                <c:pt idx="12">
                  <c:v>-2.57</c:v>
                </c:pt>
                <c:pt idx="13">
                  <c:v>-2.5649999999999999</c:v>
                </c:pt>
                <c:pt idx="14">
                  <c:v>-2.5430000000000001</c:v>
                </c:pt>
                <c:pt idx="15">
                  <c:v>-2.532</c:v>
                </c:pt>
                <c:pt idx="16">
                  <c:v>-2.5870000000000002</c:v>
                </c:pt>
                <c:pt idx="17">
                  <c:v>-2.88</c:v>
                </c:pt>
                <c:pt idx="18">
                  <c:v>-2.6779999999999999</c:v>
                </c:pt>
                <c:pt idx="19">
                  <c:v>-2.4820000000000002</c:v>
                </c:pt>
                <c:pt idx="20">
                  <c:v>-2.6480000000000001</c:v>
                </c:pt>
                <c:pt idx="21">
                  <c:v>-2.8839999999999999</c:v>
                </c:pt>
                <c:pt idx="22">
                  <c:v>-2.7610000000000001</c:v>
                </c:pt>
                <c:pt idx="23">
                  <c:v>-2.8929999999999998</c:v>
                </c:pt>
                <c:pt idx="24">
                  <c:v>-2.7770000000000001</c:v>
                </c:pt>
                <c:pt idx="25">
                  <c:v>-2.7450000000000001</c:v>
                </c:pt>
                <c:pt idx="26">
                  <c:v>-2.6880000000000002</c:v>
                </c:pt>
                <c:pt idx="27">
                  <c:v>-2.98</c:v>
                </c:pt>
                <c:pt idx="28">
                  <c:v>-2.8029999999999999</c:v>
                </c:pt>
                <c:pt idx="29">
                  <c:v>-0.56799999999999995</c:v>
                </c:pt>
                <c:pt idx="30">
                  <c:v>-4.0129999999999999</c:v>
                </c:pt>
                <c:pt idx="31">
                  <c:v>-2.8180000000000001</c:v>
                </c:pt>
                <c:pt idx="32">
                  <c:v>-4.6879999999999997</c:v>
                </c:pt>
                <c:pt idx="33">
                  <c:v>-3.0819999999999999</c:v>
                </c:pt>
                <c:pt idx="34">
                  <c:v>-3.286</c:v>
                </c:pt>
                <c:pt idx="35">
                  <c:v>-3.2480000000000002</c:v>
                </c:pt>
                <c:pt idx="36">
                  <c:v>-3.907</c:v>
                </c:pt>
                <c:pt idx="38">
                  <c:v>-5.1230000000000002</c:v>
                </c:pt>
                <c:pt idx="39">
                  <c:v>-3.7120000000000002</c:v>
                </c:pt>
                <c:pt idx="40">
                  <c:v>-3.1219999999999999</c:v>
                </c:pt>
                <c:pt idx="41">
                  <c:v>-3.3039999999999998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373248"/>
        <c:axId val="124373824"/>
      </c:scatterChart>
      <c:valAx>
        <c:axId val="124373248"/>
        <c:scaling>
          <c:orientation val="minMax"/>
          <c:max val="7000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Initial intensity (mV)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373824"/>
        <c:crosses val="max"/>
        <c:crossBetween val="midCat"/>
      </c:valAx>
      <c:valAx>
        <c:axId val="124373824"/>
        <c:scaling>
          <c:orientation val="minMax"/>
          <c:max val="1"/>
          <c:min val="-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Isotope ratio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373248"/>
        <c:crosses val="autoZero"/>
        <c:crossBetween val="midCat"/>
      </c:valAx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7.4393251584089562E-2"/>
          <c:y val="0.87110672972534531"/>
          <c:w val="0.7631575181910385"/>
          <c:h val="7.6622514346723611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" l="0.70000000000000095" r="0.70000000000000095" t="0.750000000000001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d13C means</a:t>
            </a:r>
          </a:p>
        </c:rich>
      </c:tx>
      <c:layout>
        <c:manualLayout>
          <c:xMode val="edge"/>
          <c:yMode val="edge"/>
          <c:x val="0.75873380596108764"/>
          <c:y val="0.73231716405819647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15323647112699"/>
          <c:y val="0.13720599042766712"/>
          <c:w val="0.85793892667917104"/>
          <c:h val="0.61984400185270949"/>
        </c:manualLayout>
      </c:layout>
      <c:scatterChart>
        <c:scatterStyle val="lineMarker"/>
        <c:varyColors val="0"/>
        <c:ser>
          <c:idx val="0"/>
          <c:order val="0"/>
          <c:tx>
            <c:v>Previous d13C</c:v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'After instal'!$AJ$6:$AJ$117</c:f>
              <c:numCache>
                <c:formatCode>General</c:formatCode>
                <c:ptCount val="112"/>
                <c:pt idx="0">
                  <c:v>1775</c:v>
                </c:pt>
                <c:pt idx="1">
                  <c:v>1729</c:v>
                </c:pt>
                <c:pt idx="2">
                  <c:v>1375</c:v>
                </c:pt>
                <c:pt idx="3">
                  <c:v>1177</c:v>
                </c:pt>
                <c:pt idx="4">
                  <c:v>1187</c:v>
                </c:pt>
                <c:pt idx="5">
                  <c:v>1195</c:v>
                </c:pt>
                <c:pt idx="6">
                  <c:v>1652</c:v>
                </c:pt>
                <c:pt idx="7">
                  <c:v>1146</c:v>
                </c:pt>
                <c:pt idx="10">
                  <c:v>1321</c:v>
                </c:pt>
                <c:pt idx="11">
                  <c:v>903</c:v>
                </c:pt>
                <c:pt idx="12">
                  <c:v>1068</c:v>
                </c:pt>
                <c:pt idx="13">
                  <c:v>1558</c:v>
                </c:pt>
                <c:pt idx="14">
                  <c:v>1676</c:v>
                </c:pt>
                <c:pt idx="15">
                  <c:v>1427</c:v>
                </c:pt>
                <c:pt idx="16">
                  <c:v>917</c:v>
                </c:pt>
                <c:pt idx="17">
                  <c:v>1532</c:v>
                </c:pt>
                <c:pt idx="18">
                  <c:v>1593</c:v>
                </c:pt>
                <c:pt idx="19">
                  <c:v>1711</c:v>
                </c:pt>
                <c:pt idx="20">
                  <c:v>1635</c:v>
                </c:pt>
                <c:pt idx="21">
                  <c:v>1641</c:v>
                </c:pt>
                <c:pt idx="24">
                  <c:v>9</c:v>
                </c:pt>
                <c:pt idx="27">
                  <c:v>1355</c:v>
                </c:pt>
                <c:pt idx="28">
                  <c:v>1513</c:v>
                </c:pt>
                <c:pt idx="29">
                  <c:v>1748</c:v>
                </c:pt>
                <c:pt idx="32">
                  <c:v>967</c:v>
                </c:pt>
                <c:pt idx="33">
                  <c:v>1496</c:v>
                </c:pt>
                <c:pt idx="34">
                  <c:v>1185</c:v>
                </c:pt>
                <c:pt idx="35">
                  <c:v>1097</c:v>
                </c:pt>
                <c:pt idx="36">
                  <c:v>1386</c:v>
                </c:pt>
                <c:pt idx="37">
                  <c:v>942</c:v>
                </c:pt>
                <c:pt idx="40">
                  <c:v>1201</c:v>
                </c:pt>
                <c:pt idx="41">
                  <c:v>1540</c:v>
                </c:pt>
                <c:pt idx="42">
                  <c:v>2014</c:v>
                </c:pt>
                <c:pt idx="43">
                  <c:v>1622</c:v>
                </c:pt>
                <c:pt idx="44">
                  <c:v>1696</c:v>
                </c:pt>
                <c:pt idx="45">
                  <c:v>1644</c:v>
                </c:pt>
                <c:pt idx="48">
                  <c:v>1614</c:v>
                </c:pt>
                <c:pt idx="49">
                  <c:v>1382</c:v>
                </c:pt>
                <c:pt idx="50">
                  <c:v>1399</c:v>
                </c:pt>
                <c:pt idx="51">
                  <c:v>1679</c:v>
                </c:pt>
                <c:pt idx="52">
                  <c:v>1809</c:v>
                </c:pt>
                <c:pt idx="53">
                  <c:v>1454</c:v>
                </c:pt>
                <c:pt idx="58">
                  <c:v>631</c:v>
                </c:pt>
                <c:pt idx="59">
                  <c:v>12</c:v>
                </c:pt>
                <c:pt idx="60">
                  <c:v>407</c:v>
                </c:pt>
                <c:pt idx="61">
                  <c:v>245</c:v>
                </c:pt>
                <c:pt idx="62">
                  <c:v>435</c:v>
                </c:pt>
                <c:pt idx="65">
                  <c:v>1061</c:v>
                </c:pt>
                <c:pt idx="66">
                  <c:v>888</c:v>
                </c:pt>
                <c:pt idx="67">
                  <c:v>646</c:v>
                </c:pt>
                <c:pt idx="68">
                  <c:v>1149</c:v>
                </c:pt>
                <c:pt idx="69">
                  <c:v>1310</c:v>
                </c:pt>
                <c:pt idx="72">
                  <c:v>1467</c:v>
                </c:pt>
                <c:pt idx="73">
                  <c:v>1527</c:v>
                </c:pt>
                <c:pt idx="74">
                  <c:v>1519</c:v>
                </c:pt>
                <c:pt idx="75">
                  <c:v>1444</c:v>
                </c:pt>
                <c:pt idx="76">
                  <c:v>1112</c:v>
                </c:pt>
                <c:pt idx="81">
                  <c:v>3698</c:v>
                </c:pt>
                <c:pt idx="82">
                  <c:v>3878</c:v>
                </c:pt>
                <c:pt idx="83">
                  <c:v>3608</c:v>
                </c:pt>
                <c:pt idx="84">
                  <c:v>3130</c:v>
                </c:pt>
                <c:pt idx="85">
                  <c:v>2954</c:v>
                </c:pt>
                <c:pt idx="86">
                  <c:v>4325</c:v>
                </c:pt>
                <c:pt idx="87">
                  <c:v>4032</c:v>
                </c:pt>
                <c:pt idx="88">
                  <c:v>3096</c:v>
                </c:pt>
                <c:pt idx="93">
                  <c:v>4090</c:v>
                </c:pt>
                <c:pt idx="96">
                  <c:v>2672</c:v>
                </c:pt>
                <c:pt idx="97">
                  <c:v>2761</c:v>
                </c:pt>
                <c:pt idx="98">
                  <c:v>3662</c:v>
                </c:pt>
                <c:pt idx="99">
                  <c:v>3629</c:v>
                </c:pt>
                <c:pt idx="100">
                  <c:v>3554</c:v>
                </c:pt>
                <c:pt idx="101">
                  <c:v>982</c:v>
                </c:pt>
                <c:pt idx="106">
                  <c:v>1600</c:v>
                </c:pt>
                <c:pt idx="109">
                  <c:v>3209</c:v>
                </c:pt>
                <c:pt idx="110">
                  <c:v>2731</c:v>
                </c:pt>
                <c:pt idx="111">
                  <c:v>8</c:v>
                </c:pt>
              </c:numCache>
            </c:numRef>
          </c:xVal>
          <c:yVal>
            <c:numRef>
              <c:f>'After instal'!$D$6:$D$117</c:f>
              <c:numCache>
                <c:formatCode>General</c:formatCode>
                <c:ptCount val="112"/>
                <c:pt idx="0">
                  <c:v>1.768</c:v>
                </c:pt>
                <c:pt idx="1">
                  <c:v>1.8859999999999999</c:v>
                </c:pt>
                <c:pt idx="2">
                  <c:v>1.8240000000000001</c:v>
                </c:pt>
                <c:pt idx="3">
                  <c:v>1.9370000000000001</c:v>
                </c:pt>
                <c:pt idx="4">
                  <c:v>1.869</c:v>
                </c:pt>
                <c:pt idx="5">
                  <c:v>1.917</c:v>
                </c:pt>
                <c:pt idx="6">
                  <c:v>1.859</c:v>
                </c:pt>
                <c:pt idx="7">
                  <c:v>1.988</c:v>
                </c:pt>
                <c:pt idx="10">
                  <c:v>1.841</c:v>
                </c:pt>
                <c:pt idx="11">
                  <c:v>1.756</c:v>
                </c:pt>
                <c:pt idx="12">
                  <c:v>1.8580000000000001</c:v>
                </c:pt>
                <c:pt idx="13">
                  <c:v>1.8420000000000001</c:v>
                </c:pt>
                <c:pt idx="14">
                  <c:v>1.87</c:v>
                </c:pt>
                <c:pt idx="15">
                  <c:v>1.8240000000000001</c:v>
                </c:pt>
                <c:pt idx="16">
                  <c:v>1.7470000000000001</c:v>
                </c:pt>
                <c:pt idx="17">
                  <c:v>1.8080000000000001</c:v>
                </c:pt>
                <c:pt idx="18">
                  <c:v>1.8660000000000001</c:v>
                </c:pt>
                <c:pt idx="19">
                  <c:v>1.8</c:v>
                </c:pt>
                <c:pt idx="20">
                  <c:v>1.8540000000000001</c:v>
                </c:pt>
                <c:pt idx="21">
                  <c:v>1.87</c:v>
                </c:pt>
                <c:pt idx="24">
                  <c:v>-12.292</c:v>
                </c:pt>
                <c:pt idx="27">
                  <c:v>1.7430000000000001</c:v>
                </c:pt>
                <c:pt idx="28">
                  <c:v>1.865</c:v>
                </c:pt>
                <c:pt idx="29">
                  <c:v>1.867</c:v>
                </c:pt>
                <c:pt idx="32">
                  <c:v>1.8420000000000001</c:v>
                </c:pt>
                <c:pt idx="33">
                  <c:v>1.86</c:v>
                </c:pt>
                <c:pt idx="34">
                  <c:v>1.87</c:v>
                </c:pt>
                <c:pt idx="35">
                  <c:v>1.9350000000000001</c:v>
                </c:pt>
                <c:pt idx="36">
                  <c:v>1.8360000000000001</c:v>
                </c:pt>
                <c:pt idx="37">
                  <c:v>1.8560000000000001</c:v>
                </c:pt>
                <c:pt idx="40">
                  <c:v>1.873</c:v>
                </c:pt>
                <c:pt idx="41">
                  <c:v>1.8759999999999999</c:v>
                </c:pt>
                <c:pt idx="42">
                  <c:v>1.847</c:v>
                </c:pt>
                <c:pt idx="43">
                  <c:v>1.8779999999999999</c:v>
                </c:pt>
                <c:pt idx="44">
                  <c:v>1.861</c:v>
                </c:pt>
                <c:pt idx="45">
                  <c:v>1.9350000000000001</c:v>
                </c:pt>
                <c:pt idx="48">
                  <c:v>1.7909999999999999</c:v>
                </c:pt>
                <c:pt idx="49">
                  <c:v>1.9379999999999999</c:v>
                </c:pt>
                <c:pt idx="50">
                  <c:v>1.9019999999999999</c:v>
                </c:pt>
                <c:pt idx="51">
                  <c:v>1.917</c:v>
                </c:pt>
                <c:pt idx="52">
                  <c:v>1.847</c:v>
                </c:pt>
                <c:pt idx="53">
                  <c:v>1.931</c:v>
                </c:pt>
                <c:pt idx="56">
                  <c:v>0</c:v>
                </c:pt>
                <c:pt idx="58">
                  <c:v>4.1189999999999998</c:v>
                </c:pt>
                <c:pt idx="59">
                  <c:v>-6.5049999999999999</c:v>
                </c:pt>
                <c:pt idx="60">
                  <c:v>0.78</c:v>
                </c:pt>
                <c:pt idx="61">
                  <c:v>0.42199999999999999</c:v>
                </c:pt>
                <c:pt idx="62">
                  <c:v>0.97699999999999998</c:v>
                </c:pt>
                <c:pt idx="65">
                  <c:v>1.859</c:v>
                </c:pt>
                <c:pt idx="66">
                  <c:v>1.764</c:v>
                </c:pt>
                <c:pt idx="67">
                  <c:v>1.4370000000000001</c:v>
                </c:pt>
                <c:pt idx="68">
                  <c:v>1.76</c:v>
                </c:pt>
                <c:pt idx="69">
                  <c:v>1.617</c:v>
                </c:pt>
                <c:pt idx="72">
                  <c:v>1.899</c:v>
                </c:pt>
                <c:pt idx="73">
                  <c:v>1.8049999999999999</c:v>
                </c:pt>
                <c:pt idx="74">
                  <c:v>1.8580000000000001</c:v>
                </c:pt>
                <c:pt idx="75">
                  <c:v>1.76</c:v>
                </c:pt>
                <c:pt idx="76">
                  <c:v>1.9059999999999999</c:v>
                </c:pt>
                <c:pt idx="79">
                  <c:v>0</c:v>
                </c:pt>
                <c:pt idx="81">
                  <c:v>1.84</c:v>
                </c:pt>
                <c:pt idx="82">
                  <c:v>1.792</c:v>
                </c:pt>
                <c:pt idx="83">
                  <c:v>1.847</c:v>
                </c:pt>
                <c:pt idx="84">
                  <c:v>1.7989999999999999</c:v>
                </c:pt>
                <c:pt idx="85">
                  <c:v>1.865</c:v>
                </c:pt>
                <c:pt idx="86">
                  <c:v>1.8340000000000001</c:v>
                </c:pt>
                <c:pt idx="87">
                  <c:v>1.8340000000000001</c:v>
                </c:pt>
                <c:pt idx="88">
                  <c:v>1.8069999999999999</c:v>
                </c:pt>
                <c:pt idx="91">
                  <c:v>0</c:v>
                </c:pt>
                <c:pt idx="93">
                  <c:v>1.8240000000000001</c:v>
                </c:pt>
                <c:pt idx="96">
                  <c:v>1.831</c:v>
                </c:pt>
                <c:pt idx="97">
                  <c:v>1.839</c:v>
                </c:pt>
                <c:pt idx="98">
                  <c:v>1.8140000000000001</c:v>
                </c:pt>
                <c:pt idx="99">
                  <c:v>1.8280000000000001</c:v>
                </c:pt>
                <c:pt idx="100">
                  <c:v>1.8049999999999999</c:v>
                </c:pt>
                <c:pt idx="101">
                  <c:v>1.915</c:v>
                </c:pt>
                <c:pt idx="104">
                  <c:v>0</c:v>
                </c:pt>
                <c:pt idx="106">
                  <c:v>4.0209999999999999</c:v>
                </c:pt>
                <c:pt idx="109">
                  <c:v>1.8480000000000001</c:v>
                </c:pt>
                <c:pt idx="110">
                  <c:v>1.833</c:v>
                </c:pt>
                <c:pt idx="111">
                  <c:v>-27.681999999999999</c:v>
                </c:pt>
              </c:numCache>
            </c:numRef>
          </c:yVal>
          <c:smooth val="0"/>
        </c:ser>
        <c:ser>
          <c:idx val="2"/>
          <c:order val="1"/>
          <c:tx>
            <c:v>d13C</c:v>
          </c:tx>
          <c:spPr>
            <a:ln w="19050">
              <a:solidFill>
                <a:schemeClr val="accent1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7000</c:v>
              </c:pt>
            </c:numLit>
          </c:xVal>
          <c:yVal>
            <c:numRef>
              <c:f>'After instal'!$D$2:$D$3</c:f>
              <c:numCache>
                <c:formatCode>General</c:formatCode>
                <c:ptCount val="2"/>
                <c:pt idx="0">
                  <c:v>1.95</c:v>
                </c:pt>
                <c:pt idx="1">
                  <c:v>1.95</c:v>
                </c:pt>
              </c:numCache>
            </c:numRef>
          </c:yVal>
          <c:smooth val="0"/>
        </c:ser>
        <c:ser>
          <c:idx val="1"/>
          <c:order val="2"/>
          <c:tx>
            <c:v>01/jun</c:v>
          </c:tx>
          <c:spPr>
            <a:ln w="28575">
              <a:noFill/>
            </a:ln>
          </c:spPr>
          <c:marker>
            <c:symbol val="star"/>
            <c:size val="7"/>
            <c:spPr>
              <a:ln>
                <a:solidFill>
                  <a:srgbClr val="00B050"/>
                </a:solidFill>
              </a:ln>
            </c:spPr>
          </c:marker>
          <c:xVal>
            <c:numRef>
              <c:f>'After Oring 29May'!$AG$4:$AG$49</c:f>
              <c:numCache>
                <c:formatCode>General</c:formatCode>
                <c:ptCount val="46"/>
                <c:pt idx="0">
                  <c:v>3187</c:v>
                </c:pt>
                <c:pt idx="1">
                  <c:v>2276</c:v>
                </c:pt>
                <c:pt idx="2">
                  <c:v>3361</c:v>
                </c:pt>
                <c:pt idx="3">
                  <c:v>3756</c:v>
                </c:pt>
                <c:pt idx="4">
                  <c:v>4649</c:v>
                </c:pt>
                <c:pt idx="5">
                  <c:v>3734</c:v>
                </c:pt>
                <c:pt idx="6">
                  <c:v>3920</c:v>
                </c:pt>
                <c:pt idx="7">
                  <c:v>3279</c:v>
                </c:pt>
                <c:pt idx="8">
                  <c:v>2857</c:v>
                </c:pt>
                <c:pt idx="9">
                  <c:v>4190</c:v>
                </c:pt>
                <c:pt idx="10">
                  <c:v>4582</c:v>
                </c:pt>
                <c:pt idx="11">
                  <c:v>4602</c:v>
                </c:pt>
                <c:pt idx="12">
                  <c:v>4556</c:v>
                </c:pt>
                <c:pt idx="13">
                  <c:v>3870</c:v>
                </c:pt>
                <c:pt idx="14">
                  <c:v>2820</c:v>
                </c:pt>
                <c:pt idx="15">
                  <c:v>3237</c:v>
                </c:pt>
                <c:pt idx="16">
                  <c:v>2787</c:v>
                </c:pt>
                <c:pt idx="17">
                  <c:v>4010</c:v>
                </c:pt>
                <c:pt idx="18">
                  <c:v>3366</c:v>
                </c:pt>
                <c:pt idx="19">
                  <c:v>3748</c:v>
                </c:pt>
                <c:pt idx="20">
                  <c:v>3558</c:v>
                </c:pt>
                <c:pt idx="21">
                  <c:v>3089</c:v>
                </c:pt>
                <c:pt idx="22">
                  <c:v>3068</c:v>
                </c:pt>
                <c:pt idx="23">
                  <c:v>3506</c:v>
                </c:pt>
                <c:pt idx="24">
                  <c:v>3927</c:v>
                </c:pt>
                <c:pt idx="25">
                  <c:v>3865</c:v>
                </c:pt>
                <c:pt idx="26">
                  <c:v>3021</c:v>
                </c:pt>
                <c:pt idx="27">
                  <c:v>2555</c:v>
                </c:pt>
                <c:pt idx="28">
                  <c:v>2776</c:v>
                </c:pt>
                <c:pt idx="29">
                  <c:v>4017</c:v>
                </c:pt>
                <c:pt idx="30">
                  <c:v>3580</c:v>
                </c:pt>
                <c:pt idx="31">
                  <c:v>3514</c:v>
                </c:pt>
                <c:pt idx="32">
                  <c:v>3075</c:v>
                </c:pt>
                <c:pt idx="33">
                  <c:v>2042</c:v>
                </c:pt>
                <c:pt idx="34">
                  <c:v>3403</c:v>
                </c:pt>
                <c:pt idx="35">
                  <c:v>3284</c:v>
                </c:pt>
                <c:pt idx="36">
                  <c:v>3719</c:v>
                </c:pt>
                <c:pt idx="37">
                  <c:v>3622</c:v>
                </c:pt>
                <c:pt idx="38">
                  <c:v>2559</c:v>
                </c:pt>
                <c:pt idx="39">
                  <c:v>3535</c:v>
                </c:pt>
                <c:pt idx="40">
                  <c:v>3580</c:v>
                </c:pt>
                <c:pt idx="41">
                  <c:v>2058</c:v>
                </c:pt>
                <c:pt idx="42">
                  <c:v>3723</c:v>
                </c:pt>
                <c:pt idx="43">
                  <c:v>3219</c:v>
                </c:pt>
                <c:pt idx="44">
                  <c:v>3946</c:v>
                </c:pt>
                <c:pt idx="45">
                  <c:v>3720</c:v>
                </c:pt>
              </c:numCache>
            </c:numRef>
          </c:xVal>
          <c:yVal>
            <c:numRef>
              <c:f>'After Oring 29May'!$D$4:$D$49</c:f>
              <c:numCache>
                <c:formatCode>General</c:formatCode>
                <c:ptCount val="46"/>
                <c:pt idx="0">
                  <c:v>1.206</c:v>
                </c:pt>
                <c:pt idx="1">
                  <c:v>2.4929999999999999</c:v>
                </c:pt>
                <c:pt idx="2">
                  <c:v>1.671</c:v>
                </c:pt>
                <c:pt idx="3">
                  <c:v>1.75</c:v>
                </c:pt>
                <c:pt idx="4">
                  <c:v>1.8520000000000001</c:v>
                </c:pt>
                <c:pt idx="5">
                  <c:v>1.738</c:v>
                </c:pt>
                <c:pt idx="6">
                  <c:v>1.794</c:v>
                </c:pt>
                <c:pt idx="7">
                  <c:v>1.8919999999999999</c:v>
                </c:pt>
                <c:pt idx="8">
                  <c:v>1.69</c:v>
                </c:pt>
                <c:pt idx="9">
                  <c:v>1.7849999999999999</c:v>
                </c:pt>
                <c:pt idx="10">
                  <c:v>1.843</c:v>
                </c:pt>
                <c:pt idx="11">
                  <c:v>1.82</c:v>
                </c:pt>
                <c:pt idx="12">
                  <c:v>1.8220000000000001</c:v>
                </c:pt>
                <c:pt idx="13">
                  <c:v>1.845</c:v>
                </c:pt>
                <c:pt idx="14">
                  <c:v>1.7549999999999999</c:v>
                </c:pt>
                <c:pt idx="15">
                  <c:v>1.744</c:v>
                </c:pt>
                <c:pt idx="16">
                  <c:v>1.7749999999999999</c:v>
                </c:pt>
                <c:pt idx="17">
                  <c:v>1.7809999999999999</c:v>
                </c:pt>
                <c:pt idx="18">
                  <c:v>1.7310000000000001</c:v>
                </c:pt>
                <c:pt idx="19">
                  <c:v>1.845</c:v>
                </c:pt>
                <c:pt idx="20">
                  <c:v>1.756</c:v>
                </c:pt>
                <c:pt idx="21">
                  <c:v>1.7749999999999999</c:v>
                </c:pt>
                <c:pt idx="22">
                  <c:v>1.784</c:v>
                </c:pt>
                <c:pt idx="23">
                  <c:v>1.762</c:v>
                </c:pt>
                <c:pt idx="24">
                  <c:v>1.7949999999999999</c:v>
                </c:pt>
                <c:pt idx="25">
                  <c:v>1.8240000000000001</c:v>
                </c:pt>
                <c:pt idx="26">
                  <c:v>1.679</c:v>
                </c:pt>
                <c:pt idx="27">
                  <c:v>1.6619999999999999</c:v>
                </c:pt>
                <c:pt idx="28">
                  <c:v>1.851</c:v>
                </c:pt>
                <c:pt idx="29">
                  <c:v>1.7809999999999999</c:v>
                </c:pt>
                <c:pt idx="30">
                  <c:v>1.78</c:v>
                </c:pt>
                <c:pt idx="31">
                  <c:v>1.776</c:v>
                </c:pt>
                <c:pt idx="32">
                  <c:v>1.841</c:v>
                </c:pt>
                <c:pt idx="33">
                  <c:v>1.647</c:v>
                </c:pt>
                <c:pt idx="34">
                  <c:v>1.7410000000000001</c:v>
                </c:pt>
                <c:pt idx="35">
                  <c:v>1.8720000000000001</c:v>
                </c:pt>
                <c:pt idx="36">
                  <c:v>1.7569999999999999</c:v>
                </c:pt>
                <c:pt idx="37">
                  <c:v>1.7849999999999999</c:v>
                </c:pt>
                <c:pt idx="38">
                  <c:v>1.77</c:v>
                </c:pt>
                <c:pt idx="39">
                  <c:v>1.7769999999999999</c:v>
                </c:pt>
                <c:pt idx="40">
                  <c:v>1.72</c:v>
                </c:pt>
                <c:pt idx="41">
                  <c:v>1.6839999999999999</c:v>
                </c:pt>
                <c:pt idx="42">
                  <c:v>1.8839999999999999</c:v>
                </c:pt>
                <c:pt idx="43">
                  <c:v>1.776</c:v>
                </c:pt>
                <c:pt idx="44">
                  <c:v>1.9139999999999999</c:v>
                </c:pt>
                <c:pt idx="45">
                  <c:v>1.7909999999999999</c:v>
                </c:pt>
              </c:numCache>
            </c:numRef>
          </c:yVal>
          <c:smooth val="0"/>
        </c:ser>
        <c:ser>
          <c:idx val="3"/>
          <c:order val="3"/>
          <c:tx>
            <c:v>03/jun</c:v>
          </c:tx>
          <c:spPr>
            <a:ln w="28575">
              <a:noFill/>
            </a:ln>
          </c:spPr>
          <c:marker>
            <c:spPr>
              <a:noFill/>
              <a:ln w="25400">
                <a:solidFill>
                  <a:srgbClr val="92D050"/>
                </a:solidFill>
              </a:ln>
            </c:spPr>
          </c:marker>
          <c:xVal>
            <c:numRef>
              <c:f>'After Oring 29May'!$AK$54:$AK$61</c:f>
              <c:numCache>
                <c:formatCode>General</c:formatCode>
                <c:ptCount val="8"/>
                <c:pt idx="0">
                  <c:v>3283</c:v>
                </c:pt>
                <c:pt idx="1">
                  <c:v>2571</c:v>
                </c:pt>
                <c:pt idx="2">
                  <c:v>3743</c:v>
                </c:pt>
                <c:pt idx="3">
                  <c:v>4447</c:v>
                </c:pt>
                <c:pt idx="4">
                  <c:v>3055</c:v>
                </c:pt>
                <c:pt idx="5">
                  <c:v>3105</c:v>
                </c:pt>
                <c:pt idx="6">
                  <c:v>2912</c:v>
                </c:pt>
                <c:pt idx="7">
                  <c:v>3751</c:v>
                </c:pt>
              </c:numCache>
            </c:numRef>
          </c:xVal>
          <c:yVal>
            <c:numRef>
              <c:f>'After Oring 29May'!$D$54:$D$61</c:f>
              <c:numCache>
                <c:formatCode>General</c:formatCode>
                <c:ptCount val="8"/>
                <c:pt idx="0">
                  <c:v>1.7490000000000001</c:v>
                </c:pt>
                <c:pt idx="1">
                  <c:v>1.7969999999999999</c:v>
                </c:pt>
                <c:pt idx="2">
                  <c:v>1.7689999999999999</c:v>
                </c:pt>
                <c:pt idx="3">
                  <c:v>1.905</c:v>
                </c:pt>
                <c:pt idx="4">
                  <c:v>1.6819999999999999</c:v>
                </c:pt>
                <c:pt idx="5">
                  <c:v>1.7829999999999999</c:v>
                </c:pt>
                <c:pt idx="6">
                  <c:v>1.6850000000000001</c:v>
                </c:pt>
                <c:pt idx="7">
                  <c:v>1.8160000000000001</c:v>
                </c:pt>
              </c:numCache>
            </c:numRef>
          </c:yVal>
          <c:smooth val="0"/>
        </c:ser>
        <c:ser>
          <c:idx val="5"/>
          <c:order val="4"/>
          <c:tx>
            <c:v>08/jun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5C28A8"/>
              </a:solidFill>
              <a:ln>
                <a:solidFill>
                  <a:srgbClr val="5C28A8"/>
                </a:solidFill>
              </a:ln>
            </c:spPr>
          </c:marker>
          <c:xVal>
            <c:numRef>
              <c:f>'After Oring 29May'!$AJ$66:$AJ$111</c:f>
              <c:numCache>
                <c:formatCode>General</c:formatCode>
                <c:ptCount val="46"/>
                <c:pt idx="0">
                  <c:v>2938</c:v>
                </c:pt>
                <c:pt idx="1">
                  <c:v>3096</c:v>
                </c:pt>
                <c:pt idx="2">
                  <c:v>3024</c:v>
                </c:pt>
                <c:pt idx="3">
                  <c:v>3249</c:v>
                </c:pt>
                <c:pt idx="4">
                  <c:v>2774</c:v>
                </c:pt>
                <c:pt idx="5">
                  <c:v>2110</c:v>
                </c:pt>
                <c:pt idx="6">
                  <c:v>2785</c:v>
                </c:pt>
                <c:pt idx="7">
                  <c:v>2472</c:v>
                </c:pt>
                <c:pt idx="8">
                  <c:v>2662</c:v>
                </c:pt>
                <c:pt idx="9">
                  <c:v>2638</c:v>
                </c:pt>
                <c:pt idx="10">
                  <c:v>2398</c:v>
                </c:pt>
                <c:pt idx="11">
                  <c:v>2451</c:v>
                </c:pt>
                <c:pt idx="12">
                  <c:v>1778</c:v>
                </c:pt>
                <c:pt idx="13">
                  <c:v>3839</c:v>
                </c:pt>
                <c:pt idx="14">
                  <c:v>2154</c:v>
                </c:pt>
                <c:pt idx="15">
                  <c:v>3170</c:v>
                </c:pt>
                <c:pt idx="16">
                  <c:v>3174</c:v>
                </c:pt>
                <c:pt idx="17">
                  <c:v>2307</c:v>
                </c:pt>
                <c:pt idx="18">
                  <c:v>2333</c:v>
                </c:pt>
                <c:pt idx="19">
                  <c:v>2496</c:v>
                </c:pt>
                <c:pt idx="20">
                  <c:v>2646</c:v>
                </c:pt>
                <c:pt idx="21">
                  <c:v>2786</c:v>
                </c:pt>
                <c:pt idx="22">
                  <c:v>2526</c:v>
                </c:pt>
                <c:pt idx="23">
                  <c:v>2829</c:v>
                </c:pt>
                <c:pt idx="24">
                  <c:v>2731</c:v>
                </c:pt>
                <c:pt idx="25">
                  <c:v>2645</c:v>
                </c:pt>
                <c:pt idx="26">
                  <c:v>3003</c:v>
                </c:pt>
                <c:pt idx="27">
                  <c:v>2548</c:v>
                </c:pt>
                <c:pt idx="28">
                  <c:v>2726</c:v>
                </c:pt>
                <c:pt idx="29">
                  <c:v>2605</c:v>
                </c:pt>
                <c:pt idx="30">
                  <c:v>2046</c:v>
                </c:pt>
                <c:pt idx="31">
                  <c:v>3012</c:v>
                </c:pt>
                <c:pt idx="32">
                  <c:v>2629</c:v>
                </c:pt>
                <c:pt idx="33">
                  <c:v>2514</c:v>
                </c:pt>
                <c:pt idx="34">
                  <c:v>2761</c:v>
                </c:pt>
                <c:pt idx="35">
                  <c:v>2059</c:v>
                </c:pt>
                <c:pt idx="36">
                  <c:v>2984</c:v>
                </c:pt>
                <c:pt idx="37">
                  <c:v>2784</c:v>
                </c:pt>
                <c:pt idx="38">
                  <c:v>2229</c:v>
                </c:pt>
                <c:pt idx="39">
                  <c:v>2616</c:v>
                </c:pt>
                <c:pt idx="40">
                  <c:v>2879</c:v>
                </c:pt>
                <c:pt idx="41">
                  <c:v>2423</c:v>
                </c:pt>
                <c:pt idx="42">
                  <c:v>3068</c:v>
                </c:pt>
                <c:pt idx="43">
                  <c:v>2820</c:v>
                </c:pt>
                <c:pt idx="44">
                  <c:v>2997</c:v>
                </c:pt>
                <c:pt idx="45">
                  <c:v>2612</c:v>
                </c:pt>
              </c:numCache>
            </c:numRef>
          </c:xVal>
          <c:yVal>
            <c:numRef>
              <c:f>'After Oring 29May'!$D$66:$D$111</c:f>
              <c:numCache>
                <c:formatCode>General</c:formatCode>
                <c:ptCount val="46"/>
                <c:pt idx="0">
                  <c:v>1.8340000000000001</c:v>
                </c:pt>
                <c:pt idx="1">
                  <c:v>1.8340000000000001</c:v>
                </c:pt>
                <c:pt idx="2">
                  <c:v>1.847</c:v>
                </c:pt>
                <c:pt idx="3">
                  <c:v>1.8149999999999999</c:v>
                </c:pt>
                <c:pt idx="4">
                  <c:v>1.825</c:v>
                </c:pt>
                <c:pt idx="5">
                  <c:v>1.819</c:v>
                </c:pt>
                <c:pt idx="6">
                  <c:v>1.78</c:v>
                </c:pt>
                <c:pt idx="7">
                  <c:v>1.782</c:v>
                </c:pt>
                <c:pt idx="8">
                  <c:v>1.762</c:v>
                </c:pt>
                <c:pt idx="9">
                  <c:v>1.8169999999999999</c:v>
                </c:pt>
                <c:pt idx="10">
                  <c:v>1.786</c:v>
                </c:pt>
                <c:pt idx="11">
                  <c:v>1.802</c:v>
                </c:pt>
                <c:pt idx="12">
                  <c:v>1.8540000000000001</c:v>
                </c:pt>
                <c:pt idx="13">
                  <c:v>1.8580000000000001</c:v>
                </c:pt>
                <c:pt idx="14">
                  <c:v>1.8109999999999999</c:v>
                </c:pt>
                <c:pt idx="15">
                  <c:v>1.8240000000000001</c:v>
                </c:pt>
                <c:pt idx="16">
                  <c:v>1.8260000000000001</c:v>
                </c:pt>
                <c:pt idx="17">
                  <c:v>1.8069999999999999</c:v>
                </c:pt>
                <c:pt idx="18">
                  <c:v>1.835</c:v>
                </c:pt>
                <c:pt idx="19">
                  <c:v>1.788</c:v>
                </c:pt>
                <c:pt idx="20">
                  <c:v>1.7989999999999999</c:v>
                </c:pt>
                <c:pt idx="21">
                  <c:v>1.8149999999999999</c:v>
                </c:pt>
                <c:pt idx="22">
                  <c:v>1.8380000000000001</c:v>
                </c:pt>
                <c:pt idx="23">
                  <c:v>1.87</c:v>
                </c:pt>
                <c:pt idx="24">
                  <c:v>1.8480000000000001</c:v>
                </c:pt>
                <c:pt idx="25">
                  <c:v>1.8759999999999999</c:v>
                </c:pt>
                <c:pt idx="26">
                  <c:v>1.8120000000000001</c:v>
                </c:pt>
                <c:pt idx="27">
                  <c:v>1.7829999999999999</c:v>
                </c:pt>
                <c:pt idx="28">
                  <c:v>1.8560000000000001</c:v>
                </c:pt>
                <c:pt idx="29">
                  <c:v>1.792</c:v>
                </c:pt>
                <c:pt idx="30">
                  <c:v>1.8360000000000001</c:v>
                </c:pt>
                <c:pt idx="31">
                  <c:v>1.8680000000000001</c:v>
                </c:pt>
                <c:pt idx="32">
                  <c:v>1.794</c:v>
                </c:pt>
                <c:pt idx="33">
                  <c:v>1.7909999999999999</c:v>
                </c:pt>
                <c:pt idx="34">
                  <c:v>1.929</c:v>
                </c:pt>
                <c:pt idx="35">
                  <c:v>1.784</c:v>
                </c:pt>
                <c:pt idx="36">
                  <c:v>1.885</c:v>
                </c:pt>
                <c:pt idx="37">
                  <c:v>1.7569999999999999</c:v>
                </c:pt>
                <c:pt idx="38">
                  <c:v>1.853</c:v>
                </c:pt>
                <c:pt idx="39">
                  <c:v>1.7949999999999999</c:v>
                </c:pt>
                <c:pt idx="40">
                  <c:v>1.8779999999999999</c:v>
                </c:pt>
                <c:pt idx="41">
                  <c:v>1.8049999999999999</c:v>
                </c:pt>
                <c:pt idx="42">
                  <c:v>1.865</c:v>
                </c:pt>
                <c:pt idx="43">
                  <c:v>1.89</c:v>
                </c:pt>
                <c:pt idx="44">
                  <c:v>1.8340000000000001</c:v>
                </c:pt>
                <c:pt idx="45">
                  <c:v>1.83</c:v>
                </c:pt>
              </c:numCache>
            </c:numRef>
          </c:yVal>
          <c:smooth val="0"/>
        </c:ser>
        <c:ser>
          <c:idx val="4"/>
          <c:order val="5"/>
          <c:tx>
            <c:v>19/jun</c:v>
          </c:tx>
          <c:spPr>
            <a:ln w="28575">
              <a:noFill/>
            </a:ln>
          </c:spPr>
          <c:marker>
            <c:symbol val="triangle"/>
            <c:size val="6"/>
            <c:spPr>
              <a:solidFill>
                <a:schemeClr val="tx2">
                  <a:lumMod val="75000"/>
                </a:schemeClr>
              </a:solidFill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xVal>
            <c:numRef>
              <c:f>'After capilar 19Jun'!$AN$4:$AN$43</c:f>
              <c:numCache>
                <c:formatCode>General</c:formatCode>
                <c:ptCount val="40"/>
                <c:pt idx="0">
                  <c:v>5471</c:v>
                </c:pt>
                <c:pt idx="1">
                  <c:v>8727</c:v>
                </c:pt>
                <c:pt idx="2">
                  <c:v>8433</c:v>
                </c:pt>
                <c:pt idx="3">
                  <c:v>4395</c:v>
                </c:pt>
                <c:pt idx="4">
                  <c:v>5296</c:v>
                </c:pt>
                <c:pt idx="5">
                  <c:v>5051</c:v>
                </c:pt>
                <c:pt idx="6">
                  <c:v>5144</c:v>
                </c:pt>
                <c:pt idx="7">
                  <c:v>4999</c:v>
                </c:pt>
                <c:pt idx="8">
                  <c:v>4682</c:v>
                </c:pt>
                <c:pt idx="9">
                  <c:v>5607</c:v>
                </c:pt>
                <c:pt idx="10">
                  <c:v>5281</c:v>
                </c:pt>
                <c:pt idx="11">
                  <c:v>6380</c:v>
                </c:pt>
                <c:pt idx="12">
                  <c:v>5950</c:v>
                </c:pt>
                <c:pt idx="13">
                  <c:v>4592</c:v>
                </c:pt>
                <c:pt idx="14">
                  <c:v>5738</c:v>
                </c:pt>
                <c:pt idx="15">
                  <c:v>4905</c:v>
                </c:pt>
                <c:pt idx="16">
                  <c:v>4938</c:v>
                </c:pt>
                <c:pt idx="17">
                  <c:v>4271</c:v>
                </c:pt>
                <c:pt idx="18">
                  <c:v>4987</c:v>
                </c:pt>
                <c:pt idx="19">
                  <c:v>5986</c:v>
                </c:pt>
                <c:pt idx="20">
                  <c:v>5115</c:v>
                </c:pt>
                <c:pt idx="21">
                  <c:v>5301</c:v>
                </c:pt>
                <c:pt idx="22">
                  <c:v>4712</c:v>
                </c:pt>
                <c:pt idx="23">
                  <c:v>4041</c:v>
                </c:pt>
                <c:pt idx="24">
                  <c:v>5191</c:v>
                </c:pt>
                <c:pt idx="25">
                  <c:v>4405</c:v>
                </c:pt>
                <c:pt idx="26">
                  <c:v>4494</c:v>
                </c:pt>
                <c:pt idx="27">
                  <c:v>5411</c:v>
                </c:pt>
                <c:pt idx="28">
                  <c:v>7484</c:v>
                </c:pt>
                <c:pt idx="29">
                  <c:v>6238</c:v>
                </c:pt>
                <c:pt idx="30">
                  <c:v>7053</c:v>
                </c:pt>
                <c:pt idx="33">
                  <c:v>8603</c:v>
                </c:pt>
                <c:pt idx="34">
                  <c:v>7581</c:v>
                </c:pt>
                <c:pt idx="35">
                  <c:v>9678</c:v>
                </c:pt>
                <c:pt idx="36">
                  <c:v>7884</c:v>
                </c:pt>
                <c:pt idx="37">
                  <c:v>8791</c:v>
                </c:pt>
                <c:pt idx="38">
                  <c:v>8101</c:v>
                </c:pt>
                <c:pt idx="39">
                  <c:v>5202</c:v>
                </c:pt>
              </c:numCache>
            </c:numRef>
          </c:xVal>
          <c:yVal>
            <c:numRef>
              <c:f>'After capilar 19Jun'!$F$4:$F$43</c:f>
              <c:numCache>
                <c:formatCode>General</c:formatCode>
                <c:ptCount val="40"/>
                <c:pt idx="0">
                  <c:v>1.871</c:v>
                </c:pt>
                <c:pt idx="1">
                  <c:v>1.8560000000000001</c:v>
                </c:pt>
                <c:pt idx="2">
                  <c:v>1.8839999999999999</c:v>
                </c:pt>
                <c:pt idx="3">
                  <c:v>1.87</c:v>
                </c:pt>
                <c:pt idx="4">
                  <c:v>2.468</c:v>
                </c:pt>
                <c:pt idx="5">
                  <c:v>1.8580000000000001</c:v>
                </c:pt>
                <c:pt idx="6">
                  <c:v>1.8640000000000001</c:v>
                </c:pt>
                <c:pt idx="7">
                  <c:v>1.909</c:v>
                </c:pt>
                <c:pt idx="8">
                  <c:v>1.84</c:v>
                </c:pt>
                <c:pt idx="9">
                  <c:v>1.8919999999999999</c:v>
                </c:pt>
                <c:pt idx="10">
                  <c:v>1.889</c:v>
                </c:pt>
                <c:pt idx="11">
                  <c:v>1.911</c:v>
                </c:pt>
                <c:pt idx="12">
                  <c:v>1.919</c:v>
                </c:pt>
                <c:pt idx="13">
                  <c:v>1.845</c:v>
                </c:pt>
                <c:pt idx="14">
                  <c:v>1.9039999999999999</c:v>
                </c:pt>
                <c:pt idx="15">
                  <c:v>1.806</c:v>
                </c:pt>
                <c:pt idx="16">
                  <c:v>1.857</c:v>
                </c:pt>
                <c:pt idx="17">
                  <c:v>1.877</c:v>
                </c:pt>
                <c:pt idx="18">
                  <c:v>1.8959999999999999</c:v>
                </c:pt>
                <c:pt idx="19">
                  <c:v>1.8580000000000001</c:v>
                </c:pt>
                <c:pt idx="20">
                  <c:v>1.8939999999999999</c:v>
                </c:pt>
                <c:pt idx="21">
                  <c:v>1.879</c:v>
                </c:pt>
                <c:pt idx="22">
                  <c:v>1.845</c:v>
                </c:pt>
                <c:pt idx="23">
                  <c:v>1.907</c:v>
                </c:pt>
                <c:pt idx="24">
                  <c:v>1.879</c:v>
                </c:pt>
                <c:pt idx="25">
                  <c:v>1.8660000000000001</c:v>
                </c:pt>
                <c:pt idx="26">
                  <c:v>1.8560000000000001</c:v>
                </c:pt>
                <c:pt idx="27">
                  <c:v>1.915</c:v>
                </c:pt>
                <c:pt idx="28">
                  <c:v>1.923</c:v>
                </c:pt>
                <c:pt idx="29">
                  <c:v>1.931</c:v>
                </c:pt>
                <c:pt idx="30">
                  <c:v>1.891</c:v>
                </c:pt>
                <c:pt idx="32">
                  <c:v>0</c:v>
                </c:pt>
                <c:pt idx="33">
                  <c:v>1.8520000000000001</c:v>
                </c:pt>
                <c:pt idx="34">
                  <c:v>1.93</c:v>
                </c:pt>
                <c:pt idx="35">
                  <c:v>2.0230000000000001</c:v>
                </c:pt>
                <c:pt idx="36">
                  <c:v>1.9570000000000001</c:v>
                </c:pt>
                <c:pt idx="37">
                  <c:v>1.925</c:v>
                </c:pt>
                <c:pt idx="38">
                  <c:v>1.9359999999999999</c:v>
                </c:pt>
                <c:pt idx="39">
                  <c:v>1.804</c:v>
                </c:pt>
              </c:numCache>
            </c:numRef>
          </c:yVal>
          <c:smooth val="0"/>
        </c:ser>
        <c:ser>
          <c:idx val="6"/>
          <c:order val="6"/>
          <c:tx>
            <c:v>24/jun</c:v>
          </c:tx>
          <c:spPr>
            <a:ln w="28575">
              <a:noFill/>
            </a:ln>
          </c:spPr>
          <c:marker>
            <c:symbol val="diamond"/>
            <c:size val="7"/>
            <c:spPr>
              <a:noFill/>
              <a:ln w="15875"/>
            </c:spPr>
          </c:marker>
          <c:xVal>
            <c:numRef>
              <c:f>'After capilar 19Jun'!$AN$49:$AN$89</c:f>
              <c:numCache>
                <c:formatCode>General</c:formatCode>
                <c:ptCount val="41"/>
                <c:pt idx="0">
                  <c:v>796</c:v>
                </c:pt>
                <c:pt idx="1">
                  <c:v>2879</c:v>
                </c:pt>
                <c:pt idx="2">
                  <c:v>1270</c:v>
                </c:pt>
                <c:pt idx="3">
                  <c:v>1277</c:v>
                </c:pt>
                <c:pt idx="4">
                  <c:v>1432</c:v>
                </c:pt>
                <c:pt idx="5">
                  <c:v>2049</c:v>
                </c:pt>
                <c:pt idx="6">
                  <c:v>1176</c:v>
                </c:pt>
                <c:pt idx="7">
                  <c:v>1490</c:v>
                </c:pt>
                <c:pt idx="8">
                  <c:v>10181</c:v>
                </c:pt>
                <c:pt idx="9">
                  <c:v>5571</c:v>
                </c:pt>
                <c:pt idx="12">
                  <c:v>7929</c:v>
                </c:pt>
                <c:pt idx="13">
                  <c:v>4989</c:v>
                </c:pt>
                <c:pt idx="14">
                  <c:v>6661</c:v>
                </c:pt>
                <c:pt idx="15">
                  <c:v>5039</c:v>
                </c:pt>
                <c:pt idx="16">
                  <c:v>5765</c:v>
                </c:pt>
                <c:pt idx="17">
                  <c:v>5861</c:v>
                </c:pt>
                <c:pt idx="18">
                  <c:v>4076</c:v>
                </c:pt>
                <c:pt idx="19">
                  <c:v>3360</c:v>
                </c:pt>
                <c:pt idx="22">
                  <c:v>7922</c:v>
                </c:pt>
                <c:pt idx="23">
                  <c:v>6557</c:v>
                </c:pt>
                <c:pt idx="24">
                  <c:v>2815</c:v>
                </c:pt>
                <c:pt idx="25">
                  <c:v>6225</c:v>
                </c:pt>
                <c:pt idx="26">
                  <c:v>11260</c:v>
                </c:pt>
                <c:pt idx="27">
                  <c:v>6664</c:v>
                </c:pt>
                <c:pt idx="28">
                  <c:v>12256</c:v>
                </c:pt>
                <c:pt idx="29">
                  <c:v>10563</c:v>
                </c:pt>
                <c:pt idx="30">
                  <c:v>5387</c:v>
                </c:pt>
                <c:pt idx="31">
                  <c:v>11312</c:v>
                </c:pt>
                <c:pt idx="32">
                  <c:v>10347</c:v>
                </c:pt>
                <c:pt idx="33">
                  <c:v>11198</c:v>
                </c:pt>
                <c:pt idx="34">
                  <c:v>12166</c:v>
                </c:pt>
                <c:pt idx="35">
                  <c:v>7196</c:v>
                </c:pt>
                <c:pt idx="36">
                  <c:v>6617</c:v>
                </c:pt>
                <c:pt idx="37">
                  <c:v>8394</c:v>
                </c:pt>
                <c:pt idx="38">
                  <c:v>6031</c:v>
                </c:pt>
                <c:pt idx="39">
                  <c:v>8146</c:v>
                </c:pt>
                <c:pt idx="40">
                  <c:v>6557</c:v>
                </c:pt>
              </c:numCache>
            </c:numRef>
          </c:xVal>
          <c:yVal>
            <c:numRef>
              <c:f>'After capilar 19Jun'!$F$49:$F$89</c:f>
              <c:numCache>
                <c:formatCode>General</c:formatCode>
                <c:ptCount val="41"/>
                <c:pt idx="0">
                  <c:v>1.145</c:v>
                </c:pt>
                <c:pt idx="1">
                  <c:v>1.629</c:v>
                </c:pt>
                <c:pt idx="2">
                  <c:v>1.3340000000000001</c:v>
                </c:pt>
                <c:pt idx="3">
                  <c:v>1.304</c:v>
                </c:pt>
                <c:pt idx="4">
                  <c:v>1.3879999999999999</c:v>
                </c:pt>
                <c:pt idx="5">
                  <c:v>1.496</c:v>
                </c:pt>
                <c:pt idx="6">
                  <c:v>1.321</c:v>
                </c:pt>
                <c:pt idx="7">
                  <c:v>1.3220000000000001</c:v>
                </c:pt>
                <c:pt idx="8">
                  <c:v>1.9850000000000001</c:v>
                </c:pt>
                <c:pt idx="9">
                  <c:v>1.87</c:v>
                </c:pt>
                <c:pt idx="11">
                  <c:v>0</c:v>
                </c:pt>
                <c:pt idx="12">
                  <c:v>1.855</c:v>
                </c:pt>
                <c:pt idx="13">
                  <c:v>1.8620000000000001</c:v>
                </c:pt>
                <c:pt idx="14">
                  <c:v>1.877</c:v>
                </c:pt>
                <c:pt idx="15">
                  <c:v>1.653</c:v>
                </c:pt>
                <c:pt idx="16">
                  <c:v>1.8180000000000001</c:v>
                </c:pt>
                <c:pt idx="17">
                  <c:v>1.8620000000000001</c:v>
                </c:pt>
                <c:pt idx="18">
                  <c:v>1.8089999999999999</c:v>
                </c:pt>
                <c:pt idx="19">
                  <c:v>1.6619999999999999</c:v>
                </c:pt>
                <c:pt idx="21">
                  <c:v>0</c:v>
                </c:pt>
                <c:pt idx="22">
                  <c:v>1.9359999999999999</c:v>
                </c:pt>
                <c:pt idx="23">
                  <c:v>1.913</c:v>
                </c:pt>
                <c:pt idx="24">
                  <c:v>1.625</c:v>
                </c:pt>
                <c:pt idx="25">
                  <c:v>1.962</c:v>
                </c:pt>
                <c:pt idx="26">
                  <c:v>1.9990000000000001</c:v>
                </c:pt>
                <c:pt idx="27">
                  <c:v>1.9610000000000001</c:v>
                </c:pt>
                <c:pt idx="28">
                  <c:v>1.944</c:v>
                </c:pt>
                <c:pt idx="29">
                  <c:v>1.923</c:v>
                </c:pt>
                <c:pt idx="30">
                  <c:v>1.9259999999999999</c:v>
                </c:pt>
                <c:pt idx="31">
                  <c:v>1.974</c:v>
                </c:pt>
                <c:pt idx="32">
                  <c:v>1.9510000000000001</c:v>
                </c:pt>
                <c:pt idx="33">
                  <c:v>1.968</c:v>
                </c:pt>
                <c:pt idx="34">
                  <c:v>2</c:v>
                </c:pt>
                <c:pt idx="35">
                  <c:v>1.9119999999999999</c:v>
                </c:pt>
                <c:pt idx="36">
                  <c:v>1.911</c:v>
                </c:pt>
                <c:pt idx="37">
                  <c:v>1.8440000000000001</c:v>
                </c:pt>
                <c:pt idx="38">
                  <c:v>1.865</c:v>
                </c:pt>
                <c:pt idx="39">
                  <c:v>1.9079999999999999</c:v>
                </c:pt>
                <c:pt idx="40">
                  <c:v>2</c:v>
                </c:pt>
              </c:numCache>
            </c:numRef>
          </c:yVal>
          <c:smooth val="0"/>
        </c:ser>
        <c:ser>
          <c:idx val="7"/>
          <c:order val="7"/>
          <c:tx>
            <c:v>29/jun</c:v>
          </c:tx>
          <c:spPr>
            <a:ln w="28575">
              <a:noFill/>
            </a:ln>
          </c:spPr>
          <c:marker>
            <c:symbol val="circle"/>
            <c:size val="5"/>
            <c:spPr>
              <a:noFill/>
              <a:ln w="15875">
                <a:solidFill>
                  <a:schemeClr val="accent3">
                    <a:lumMod val="75000"/>
                  </a:schemeClr>
                </a:solidFill>
              </a:ln>
            </c:spPr>
          </c:marker>
          <c:xVal>
            <c:numRef>
              <c:f>'After capilar 19Jun'!$AM$95:$AM$136</c:f>
              <c:numCache>
                <c:formatCode>General</c:formatCode>
                <c:ptCount val="42"/>
                <c:pt idx="0">
                  <c:v>1490</c:v>
                </c:pt>
                <c:pt idx="1">
                  <c:v>1543</c:v>
                </c:pt>
                <c:pt idx="2">
                  <c:v>1581</c:v>
                </c:pt>
                <c:pt idx="3">
                  <c:v>1075</c:v>
                </c:pt>
                <c:pt idx="4">
                  <c:v>5794</c:v>
                </c:pt>
                <c:pt idx="5">
                  <c:v>5765</c:v>
                </c:pt>
                <c:pt idx="6">
                  <c:v>5307</c:v>
                </c:pt>
                <c:pt idx="7">
                  <c:v>10168</c:v>
                </c:pt>
                <c:pt idx="8">
                  <c:v>5000</c:v>
                </c:pt>
                <c:pt idx="9">
                  <c:v>5378</c:v>
                </c:pt>
                <c:pt idx="10">
                  <c:v>5803</c:v>
                </c:pt>
                <c:pt idx="11">
                  <c:v>4929</c:v>
                </c:pt>
                <c:pt idx="12">
                  <c:v>10369</c:v>
                </c:pt>
                <c:pt idx="13">
                  <c:v>10687</c:v>
                </c:pt>
                <c:pt idx="14">
                  <c:v>9707</c:v>
                </c:pt>
                <c:pt idx="15">
                  <c:v>10278</c:v>
                </c:pt>
                <c:pt idx="16">
                  <c:v>8799</c:v>
                </c:pt>
                <c:pt idx="17">
                  <c:v>4711</c:v>
                </c:pt>
                <c:pt idx="18">
                  <c:v>5995</c:v>
                </c:pt>
                <c:pt idx="19">
                  <c:v>8204</c:v>
                </c:pt>
                <c:pt idx="20">
                  <c:v>7327</c:v>
                </c:pt>
                <c:pt idx="21">
                  <c:v>7508</c:v>
                </c:pt>
                <c:pt idx="22">
                  <c:v>8780</c:v>
                </c:pt>
                <c:pt idx="23">
                  <c:v>4182</c:v>
                </c:pt>
                <c:pt idx="24">
                  <c:v>5678</c:v>
                </c:pt>
                <c:pt idx="25">
                  <c:v>4950</c:v>
                </c:pt>
                <c:pt idx="26">
                  <c:v>6226</c:v>
                </c:pt>
                <c:pt idx="27">
                  <c:v>4482</c:v>
                </c:pt>
                <c:pt idx="28">
                  <c:v>6107</c:v>
                </c:pt>
                <c:pt idx="29">
                  <c:v>2576</c:v>
                </c:pt>
                <c:pt idx="30">
                  <c:v>2573</c:v>
                </c:pt>
                <c:pt idx="31">
                  <c:v>3924</c:v>
                </c:pt>
                <c:pt idx="33">
                  <c:v>3521</c:v>
                </c:pt>
                <c:pt idx="34">
                  <c:v>3972</c:v>
                </c:pt>
                <c:pt idx="35">
                  <c:v>2890</c:v>
                </c:pt>
                <c:pt idx="36">
                  <c:v>1293</c:v>
                </c:pt>
                <c:pt idx="38">
                  <c:v>969</c:v>
                </c:pt>
                <c:pt idx="39">
                  <c:v>1347</c:v>
                </c:pt>
                <c:pt idx="40">
                  <c:v>2816</c:v>
                </c:pt>
                <c:pt idx="41">
                  <c:v>2138</c:v>
                </c:pt>
              </c:numCache>
            </c:numRef>
          </c:xVal>
          <c:yVal>
            <c:numRef>
              <c:f>'After capilar 19Jun'!$F$95:$F$136</c:f>
              <c:numCache>
                <c:formatCode>General</c:formatCode>
                <c:ptCount val="42"/>
                <c:pt idx="0">
                  <c:v>1.484</c:v>
                </c:pt>
                <c:pt idx="1">
                  <c:v>1.472</c:v>
                </c:pt>
                <c:pt idx="2">
                  <c:v>1.4850000000000001</c:v>
                </c:pt>
                <c:pt idx="3">
                  <c:v>1.4119999999999999</c:v>
                </c:pt>
                <c:pt idx="4">
                  <c:v>1.954</c:v>
                </c:pt>
                <c:pt idx="5">
                  <c:v>1.954</c:v>
                </c:pt>
                <c:pt idx="6">
                  <c:v>1.899</c:v>
                </c:pt>
                <c:pt idx="7">
                  <c:v>1.9490000000000001</c:v>
                </c:pt>
                <c:pt idx="8">
                  <c:v>1.9</c:v>
                </c:pt>
                <c:pt idx="9">
                  <c:v>1.905</c:v>
                </c:pt>
                <c:pt idx="10">
                  <c:v>1.8959999999999999</c:v>
                </c:pt>
                <c:pt idx="11">
                  <c:v>1.907</c:v>
                </c:pt>
                <c:pt idx="12">
                  <c:v>1.9419999999999999</c:v>
                </c:pt>
                <c:pt idx="13">
                  <c:v>1.9359999999999999</c:v>
                </c:pt>
                <c:pt idx="14">
                  <c:v>1.9730000000000001</c:v>
                </c:pt>
                <c:pt idx="15">
                  <c:v>1.9850000000000001</c:v>
                </c:pt>
                <c:pt idx="16">
                  <c:v>1.956</c:v>
                </c:pt>
                <c:pt idx="17">
                  <c:v>1.8879999999999999</c:v>
                </c:pt>
                <c:pt idx="18">
                  <c:v>1.9179999999999999</c:v>
                </c:pt>
                <c:pt idx="19">
                  <c:v>1.988</c:v>
                </c:pt>
                <c:pt idx="20">
                  <c:v>1.913</c:v>
                </c:pt>
                <c:pt idx="21">
                  <c:v>1.8440000000000001</c:v>
                </c:pt>
                <c:pt idx="22">
                  <c:v>1.873</c:v>
                </c:pt>
                <c:pt idx="23">
                  <c:v>1.847</c:v>
                </c:pt>
                <c:pt idx="24">
                  <c:v>1.885</c:v>
                </c:pt>
                <c:pt idx="25">
                  <c:v>1.853</c:v>
                </c:pt>
                <c:pt idx="26">
                  <c:v>1.94</c:v>
                </c:pt>
                <c:pt idx="27">
                  <c:v>1.774</c:v>
                </c:pt>
                <c:pt idx="28">
                  <c:v>1.75</c:v>
                </c:pt>
                <c:pt idx="29">
                  <c:v>2.726</c:v>
                </c:pt>
                <c:pt idx="30">
                  <c:v>1.202</c:v>
                </c:pt>
                <c:pt idx="31">
                  <c:v>1.8069999999999999</c:v>
                </c:pt>
                <c:pt idx="32">
                  <c:v>0.47699999999999998</c:v>
                </c:pt>
                <c:pt idx="33">
                  <c:v>1.748</c:v>
                </c:pt>
                <c:pt idx="34">
                  <c:v>1.546</c:v>
                </c:pt>
                <c:pt idx="35">
                  <c:v>1.6619999999999999</c:v>
                </c:pt>
                <c:pt idx="36">
                  <c:v>1.28</c:v>
                </c:pt>
                <c:pt idx="38">
                  <c:v>0.66800000000000004</c:v>
                </c:pt>
                <c:pt idx="39">
                  <c:v>1.4219999999999999</c:v>
                </c:pt>
                <c:pt idx="40">
                  <c:v>1.6180000000000001</c:v>
                </c:pt>
                <c:pt idx="41">
                  <c:v>1.6559999999999999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376704"/>
        <c:axId val="124377280"/>
      </c:scatterChart>
      <c:valAx>
        <c:axId val="124376704"/>
        <c:scaling>
          <c:orientation val="minMax"/>
          <c:max val="7000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Initial intensity (mV)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377280"/>
        <c:crosses val="max"/>
        <c:crossBetween val="midCat"/>
      </c:valAx>
      <c:valAx>
        <c:axId val="124377280"/>
        <c:scaling>
          <c:orientation val="minMax"/>
          <c:max val="3"/>
          <c:min val="1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Isotope ratio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376704"/>
        <c:crosses val="autoZero"/>
        <c:crossBetween val="midCat"/>
      </c:valAx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7.4393251584089562E-2"/>
          <c:y val="0.87110672972534531"/>
          <c:w val="0.8184660855216932"/>
          <c:h val="7.678519484427504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" l="0.70000000000000095" r="0.70000000000000095" t="0.750000000000001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d13C means</a:t>
            </a:r>
          </a:p>
        </c:rich>
      </c:tx>
      <c:layout>
        <c:manualLayout>
          <c:xMode val="edge"/>
          <c:yMode val="edge"/>
          <c:x val="0.75873380596108764"/>
          <c:y val="0.73231716405819647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15323647112699"/>
          <c:y val="0.13720599042766712"/>
          <c:w val="0.85793892667917104"/>
          <c:h val="0.61984400185270949"/>
        </c:manualLayout>
      </c:layout>
      <c:scatterChart>
        <c:scatterStyle val="lineMarker"/>
        <c:varyColors val="0"/>
        <c:ser>
          <c:idx val="0"/>
          <c:order val="0"/>
          <c:tx>
            <c:v>Previous d13C</c:v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'After instal'!$AJ$6:$AJ$117</c:f>
              <c:numCache>
                <c:formatCode>General</c:formatCode>
                <c:ptCount val="112"/>
                <c:pt idx="0">
                  <c:v>1775</c:v>
                </c:pt>
                <c:pt idx="1">
                  <c:v>1729</c:v>
                </c:pt>
                <c:pt idx="2">
                  <c:v>1375</c:v>
                </c:pt>
                <c:pt idx="3">
                  <c:v>1177</c:v>
                </c:pt>
                <c:pt idx="4">
                  <c:v>1187</c:v>
                </c:pt>
                <c:pt idx="5">
                  <c:v>1195</c:v>
                </c:pt>
                <c:pt idx="6">
                  <c:v>1652</c:v>
                </c:pt>
                <c:pt idx="7">
                  <c:v>1146</c:v>
                </c:pt>
                <c:pt idx="10">
                  <c:v>1321</c:v>
                </c:pt>
                <c:pt idx="11">
                  <c:v>903</c:v>
                </c:pt>
                <c:pt idx="12">
                  <c:v>1068</c:v>
                </c:pt>
                <c:pt idx="13">
                  <c:v>1558</c:v>
                </c:pt>
                <c:pt idx="14">
                  <c:v>1676</c:v>
                </c:pt>
                <c:pt idx="15">
                  <c:v>1427</c:v>
                </c:pt>
                <c:pt idx="16">
                  <c:v>917</c:v>
                </c:pt>
                <c:pt idx="17">
                  <c:v>1532</c:v>
                </c:pt>
                <c:pt idx="18">
                  <c:v>1593</c:v>
                </c:pt>
                <c:pt idx="19">
                  <c:v>1711</c:v>
                </c:pt>
                <c:pt idx="20">
                  <c:v>1635</c:v>
                </c:pt>
                <c:pt idx="21">
                  <c:v>1641</c:v>
                </c:pt>
                <c:pt idx="24">
                  <c:v>9</c:v>
                </c:pt>
                <c:pt idx="27">
                  <c:v>1355</c:v>
                </c:pt>
                <c:pt idx="28">
                  <c:v>1513</c:v>
                </c:pt>
                <c:pt idx="29">
                  <c:v>1748</c:v>
                </c:pt>
                <c:pt idx="32">
                  <c:v>967</c:v>
                </c:pt>
                <c:pt idx="33">
                  <c:v>1496</c:v>
                </c:pt>
                <c:pt idx="34">
                  <c:v>1185</c:v>
                </c:pt>
                <c:pt idx="35">
                  <c:v>1097</c:v>
                </c:pt>
                <c:pt idx="36">
                  <c:v>1386</c:v>
                </c:pt>
                <c:pt idx="37">
                  <c:v>942</c:v>
                </c:pt>
                <c:pt idx="40">
                  <c:v>1201</c:v>
                </c:pt>
                <c:pt idx="41">
                  <c:v>1540</c:v>
                </c:pt>
                <c:pt idx="42">
                  <c:v>2014</c:v>
                </c:pt>
                <c:pt idx="43">
                  <c:v>1622</c:v>
                </c:pt>
                <c:pt idx="44">
                  <c:v>1696</c:v>
                </c:pt>
                <c:pt idx="45">
                  <c:v>1644</c:v>
                </c:pt>
                <c:pt idx="48">
                  <c:v>1614</c:v>
                </c:pt>
                <c:pt idx="49">
                  <c:v>1382</c:v>
                </c:pt>
                <c:pt idx="50">
                  <c:v>1399</c:v>
                </c:pt>
                <c:pt idx="51">
                  <c:v>1679</c:v>
                </c:pt>
                <c:pt idx="52">
                  <c:v>1809</c:v>
                </c:pt>
                <c:pt idx="53">
                  <c:v>1454</c:v>
                </c:pt>
                <c:pt idx="58">
                  <c:v>631</c:v>
                </c:pt>
                <c:pt idx="59">
                  <c:v>12</c:v>
                </c:pt>
                <c:pt idx="60">
                  <c:v>407</c:v>
                </c:pt>
                <c:pt idx="61">
                  <c:v>245</c:v>
                </c:pt>
                <c:pt idx="62">
                  <c:v>435</c:v>
                </c:pt>
                <c:pt idx="65">
                  <c:v>1061</c:v>
                </c:pt>
                <c:pt idx="66">
                  <c:v>888</c:v>
                </c:pt>
                <c:pt idx="67">
                  <c:v>646</c:v>
                </c:pt>
                <c:pt idx="68">
                  <c:v>1149</c:v>
                </c:pt>
                <c:pt idx="69">
                  <c:v>1310</c:v>
                </c:pt>
                <c:pt idx="72">
                  <c:v>1467</c:v>
                </c:pt>
                <c:pt idx="73">
                  <c:v>1527</c:v>
                </c:pt>
                <c:pt idx="74">
                  <c:v>1519</c:v>
                </c:pt>
                <c:pt idx="75">
                  <c:v>1444</c:v>
                </c:pt>
                <c:pt idx="76">
                  <c:v>1112</c:v>
                </c:pt>
                <c:pt idx="81">
                  <c:v>3698</c:v>
                </c:pt>
                <c:pt idx="82">
                  <c:v>3878</c:v>
                </c:pt>
                <c:pt idx="83">
                  <c:v>3608</c:v>
                </c:pt>
                <c:pt idx="84">
                  <c:v>3130</c:v>
                </c:pt>
                <c:pt idx="85">
                  <c:v>2954</c:v>
                </c:pt>
                <c:pt idx="86">
                  <c:v>4325</c:v>
                </c:pt>
                <c:pt idx="87">
                  <c:v>4032</c:v>
                </c:pt>
                <c:pt idx="88">
                  <c:v>3096</c:v>
                </c:pt>
                <c:pt idx="93">
                  <c:v>4090</c:v>
                </c:pt>
                <c:pt idx="96">
                  <c:v>2672</c:v>
                </c:pt>
                <c:pt idx="97">
                  <c:v>2761</c:v>
                </c:pt>
                <c:pt idx="98">
                  <c:v>3662</c:v>
                </c:pt>
                <c:pt idx="99">
                  <c:v>3629</c:v>
                </c:pt>
                <c:pt idx="100">
                  <c:v>3554</c:v>
                </c:pt>
                <c:pt idx="101">
                  <c:v>982</c:v>
                </c:pt>
                <c:pt idx="106">
                  <c:v>1600</c:v>
                </c:pt>
                <c:pt idx="109">
                  <c:v>3209</c:v>
                </c:pt>
                <c:pt idx="110">
                  <c:v>2731</c:v>
                </c:pt>
                <c:pt idx="111">
                  <c:v>8</c:v>
                </c:pt>
              </c:numCache>
            </c:numRef>
          </c:xVal>
          <c:yVal>
            <c:numRef>
              <c:f>'After instal'!$D$6:$D$117</c:f>
              <c:numCache>
                <c:formatCode>General</c:formatCode>
                <c:ptCount val="112"/>
                <c:pt idx="0">
                  <c:v>1.768</c:v>
                </c:pt>
                <c:pt idx="1">
                  <c:v>1.8859999999999999</c:v>
                </c:pt>
                <c:pt idx="2">
                  <c:v>1.8240000000000001</c:v>
                </c:pt>
                <c:pt idx="3">
                  <c:v>1.9370000000000001</c:v>
                </c:pt>
                <c:pt idx="4">
                  <c:v>1.869</c:v>
                </c:pt>
                <c:pt idx="5">
                  <c:v>1.917</c:v>
                </c:pt>
                <c:pt idx="6">
                  <c:v>1.859</c:v>
                </c:pt>
                <c:pt idx="7">
                  <c:v>1.988</c:v>
                </c:pt>
                <c:pt idx="10">
                  <c:v>1.841</c:v>
                </c:pt>
                <c:pt idx="11">
                  <c:v>1.756</c:v>
                </c:pt>
                <c:pt idx="12">
                  <c:v>1.8580000000000001</c:v>
                </c:pt>
                <c:pt idx="13">
                  <c:v>1.8420000000000001</c:v>
                </c:pt>
                <c:pt idx="14">
                  <c:v>1.87</c:v>
                </c:pt>
                <c:pt idx="15">
                  <c:v>1.8240000000000001</c:v>
                </c:pt>
                <c:pt idx="16">
                  <c:v>1.7470000000000001</c:v>
                </c:pt>
                <c:pt idx="17">
                  <c:v>1.8080000000000001</c:v>
                </c:pt>
                <c:pt idx="18">
                  <c:v>1.8660000000000001</c:v>
                </c:pt>
                <c:pt idx="19">
                  <c:v>1.8</c:v>
                </c:pt>
                <c:pt idx="20">
                  <c:v>1.8540000000000001</c:v>
                </c:pt>
                <c:pt idx="21">
                  <c:v>1.87</c:v>
                </c:pt>
                <c:pt idx="24">
                  <c:v>-12.292</c:v>
                </c:pt>
                <c:pt idx="27">
                  <c:v>1.7430000000000001</c:v>
                </c:pt>
                <c:pt idx="28">
                  <c:v>1.865</c:v>
                </c:pt>
                <c:pt idx="29">
                  <c:v>1.867</c:v>
                </c:pt>
                <c:pt idx="32">
                  <c:v>1.8420000000000001</c:v>
                </c:pt>
                <c:pt idx="33">
                  <c:v>1.86</c:v>
                </c:pt>
                <c:pt idx="34">
                  <c:v>1.87</c:v>
                </c:pt>
                <c:pt idx="35">
                  <c:v>1.9350000000000001</c:v>
                </c:pt>
                <c:pt idx="36">
                  <c:v>1.8360000000000001</c:v>
                </c:pt>
                <c:pt idx="37">
                  <c:v>1.8560000000000001</c:v>
                </c:pt>
                <c:pt idx="40">
                  <c:v>1.873</c:v>
                </c:pt>
                <c:pt idx="41">
                  <c:v>1.8759999999999999</c:v>
                </c:pt>
                <c:pt idx="42">
                  <c:v>1.847</c:v>
                </c:pt>
                <c:pt idx="43">
                  <c:v>1.8779999999999999</c:v>
                </c:pt>
                <c:pt idx="44">
                  <c:v>1.861</c:v>
                </c:pt>
                <c:pt idx="45">
                  <c:v>1.9350000000000001</c:v>
                </c:pt>
                <c:pt idx="48">
                  <c:v>1.7909999999999999</c:v>
                </c:pt>
                <c:pt idx="49">
                  <c:v>1.9379999999999999</c:v>
                </c:pt>
                <c:pt idx="50">
                  <c:v>1.9019999999999999</c:v>
                </c:pt>
                <c:pt idx="51">
                  <c:v>1.917</c:v>
                </c:pt>
                <c:pt idx="52">
                  <c:v>1.847</c:v>
                </c:pt>
                <c:pt idx="53">
                  <c:v>1.931</c:v>
                </c:pt>
                <c:pt idx="56">
                  <c:v>0</c:v>
                </c:pt>
                <c:pt idx="58">
                  <c:v>4.1189999999999998</c:v>
                </c:pt>
                <c:pt idx="59">
                  <c:v>-6.5049999999999999</c:v>
                </c:pt>
                <c:pt idx="60">
                  <c:v>0.78</c:v>
                </c:pt>
                <c:pt idx="61">
                  <c:v>0.42199999999999999</c:v>
                </c:pt>
                <c:pt idx="62">
                  <c:v>0.97699999999999998</c:v>
                </c:pt>
                <c:pt idx="65">
                  <c:v>1.859</c:v>
                </c:pt>
                <c:pt idx="66">
                  <c:v>1.764</c:v>
                </c:pt>
                <c:pt idx="67">
                  <c:v>1.4370000000000001</c:v>
                </c:pt>
                <c:pt idx="68">
                  <c:v>1.76</c:v>
                </c:pt>
                <c:pt idx="69">
                  <c:v>1.617</c:v>
                </c:pt>
                <c:pt idx="72">
                  <c:v>1.899</c:v>
                </c:pt>
                <c:pt idx="73">
                  <c:v>1.8049999999999999</c:v>
                </c:pt>
                <c:pt idx="74">
                  <c:v>1.8580000000000001</c:v>
                </c:pt>
                <c:pt idx="75">
                  <c:v>1.76</c:v>
                </c:pt>
                <c:pt idx="76">
                  <c:v>1.9059999999999999</c:v>
                </c:pt>
                <c:pt idx="79">
                  <c:v>0</c:v>
                </c:pt>
                <c:pt idx="81">
                  <c:v>1.84</c:v>
                </c:pt>
                <c:pt idx="82">
                  <c:v>1.792</c:v>
                </c:pt>
                <c:pt idx="83">
                  <c:v>1.847</c:v>
                </c:pt>
                <c:pt idx="84">
                  <c:v>1.7989999999999999</c:v>
                </c:pt>
                <c:pt idx="85">
                  <c:v>1.865</c:v>
                </c:pt>
                <c:pt idx="86">
                  <c:v>1.8340000000000001</c:v>
                </c:pt>
                <c:pt idx="87">
                  <c:v>1.8340000000000001</c:v>
                </c:pt>
                <c:pt idx="88">
                  <c:v>1.8069999999999999</c:v>
                </c:pt>
                <c:pt idx="91">
                  <c:v>0</c:v>
                </c:pt>
                <c:pt idx="93">
                  <c:v>1.8240000000000001</c:v>
                </c:pt>
                <c:pt idx="96">
                  <c:v>1.831</c:v>
                </c:pt>
                <c:pt idx="97">
                  <c:v>1.839</c:v>
                </c:pt>
                <c:pt idx="98">
                  <c:v>1.8140000000000001</c:v>
                </c:pt>
                <c:pt idx="99">
                  <c:v>1.8280000000000001</c:v>
                </c:pt>
                <c:pt idx="100">
                  <c:v>1.8049999999999999</c:v>
                </c:pt>
                <c:pt idx="101">
                  <c:v>1.915</c:v>
                </c:pt>
                <c:pt idx="104">
                  <c:v>0</c:v>
                </c:pt>
                <c:pt idx="106">
                  <c:v>4.0209999999999999</c:v>
                </c:pt>
                <c:pt idx="109">
                  <c:v>1.8480000000000001</c:v>
                </c:pt>
                <c:pt idx="110">
                  <c:v>1.833</c:v>
                </c:pt>
                <c:pt idx="111">
                  <c:v>-27.681999999999999</c:v>
                </c:pt>
              </c:numCache>
            </c:numRef>
          </c:yVal>
          <c:smooth val="0"/>
        </c:ser>
        <c:ser>
          <c:idx val="2"/>
          <c:order val="1"/>
          <c:tx>
            <c:v>d13C</c:v>
          </c:tx>
          <c:spPr>
            <a:ln w="19050">
              <a:solidFill>
                <a:schemeClr val="accent1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7000</c:v>
              </c:pt>
            </c:numLit>
          </c:xVal>
          <c:yVal>
            <c:numRef>
              <c:f>'After instal'!$D$2:$D$3</c:f>
              <c:numCache>
                <c:formatCode>General</c:formatCode>
                <c:ptCount val="2"/>
                <c:pt idx="0">
                  <c:v>1.95</c:v>
                </c:pt>
                <c:pt idx="1">
                  <c:v>1.95</c:v>
                </c:pt>
              </c:numCache>
            </c:numRef>
          </c:yVal>
          <c:smooth val="0"/>
        </c:ser>
        <c:ser>
          <c:idx val="6"/>
          <c:order val="2"/>
          <c:tx>
            <c:v>24/jun</c:v>
          </c:tx>
          <c:spPr>
            <a:ln w="28575">
              <a:noFill/>
            </a:ln>
          </c:spPr>
          <c:marker>
            <c:symbol val="diamond"/>
            <c:size val="7"/>
            <c:spPr>
              <a:noFill/>
              <a:ln w="15875"/>
            </c:spPr>
          </c:marker>
          <c:xVal>
            <c:numRef>
              <c:f>'After capilar 19Jun'!$AN$49:$AN$89</c:f>
              <c:numCache>
                <c:formatCode>General</c:formatCode>
                <c:ptCount val="41"/>
                <c:pt idx="0">
                  <c:v>796</c:v>
                </c:pt>
                <c:pt idx="1">
                  <c:v>2879</c:v>
                </c:pt>
                <c:pt idx="2">
                  <c:v>1270</c:v>
                </c:pt>
                <c:pt idx="3">
                  <c:v>1277</c:v>
                </c:pt>
                <c:pt idx="4">
                  <c:v>1432</c:v>
                </c:pt>
                <c:pt idx="5">
                  <c:v>2049</c:v>
                </c:pt>
                <c:pt idx="6">
                  <c:v>1176</c:v>
                </c:pt>
                <c:pt idx="7">
                  <c:v>1490</c:v>
                </c:pt>
                <c:pt idx="8">
                  <c:v>10181</c:v>
                </c:pt>
                <c:pt idx="9">
                  <c:v>5571</c:v>
                </c:pt>
                <c:pt idx="12">
                  <c:v>7929</c:v>
                </c:pt>
                <c:pt idx="13">
                  <c:v>4989</c:v>
                </c:pt>
                <c:pt idx="14">
                  <c:v>6661</c:v>
                </c:pt>
                <c:pt idx="15">
                  <c:v>5039</c:v>
                </c:pt>
                <c:pt idx="16">
                  <c:v>5765</c:v>
                </c:pt>
                <c:pt idx="17">
                  <c:v>5861</c:v>
                </c:pt>
                <c:pt idx="18">
                  <c:v>4076</c:v>
                </c:pt>
                <c:pt idx="19">
                  <c:v>3360</c:v>
                </c:pt>
                <c:pt idx="22">
                  <c:v>7922</c:v>
                </c:pt>
                <c:pt idx="23">
                  <c:v>6557</c:v>
                </c:pt>
                <c:pt idx="24">
                  <c:v>2815</c:v>
                </c:pt>
                <c:pt idx="25">
                  <c:v>6225</c:v>
                </c:pt>
                <c:pt idx="26">
                  <c:v>11260</c:v>
                </c:pt>
                <c:pt idx="27">
                  <c:v>6664</c:v>
                </c:pt>
                <c:pt idx="28">
                  <c:v>12256</c:v>
                </c:pt>
                <c:pt idx="29">
                  <c:v>10563</c:v>
                </c:pt>
                <c:pt idx="30">
                  <c:v>5387</c:v>
                </c:pt>
                <c:pt idx="31">
                  <c:v>11312</c:v>
                </c:pt>
                <c:pt idx="32">
                  <c:v>10347</c:v>
                </c:pt>
                <c:pt idx="33">
                  <c:v>11198</c:v>
                </c:pt>
                <c:pt idx="34">
                  <c:v>12166</c:v>
                </c:pt>
                <c:pt idx="35">
                  <c:v>7196</c:v>
                </c:pt>
                <c:pt idx="36">
                  <c:v>6617</c:v>
                </c:pt>
                <c:pt idx="37">
                  <c:v>8394</c:v>
                </c:pt>
                <c:pt idx="38">
                  <c:v>6031</c:v>
                </c:pt>
                <c:pt idx="39">
                  <c:v>8146</c:v>
                </c:pt>
                <c:pt idx="40">
                  <c:v>6557</c:v>
                </c:pt>
              </c:numCache>
            </c:numRef>
          </c:xVal>
          <c:yVal>
            <c:numRef>
              <c:f>'After capilar 19Jun'!$F$49:$F$89</c:f>
              <c:numCache>
                <c:formatCode>General</c:formatCode>
                <c:ptCount val="41"/>
                <c:pt idx="0">
                  <c:v>1.145</c:v>
                </c:pt>
                <c:pt idx="1">
                  <c:v>1.629</c:v>
                </c:pt>
                <c:pt idx="2">
                  <c:v>1.3340000000000001</c:v>
                </c:pt>
                <c:pt idx="3">
                  <c:v>1.304</c:v>
                </c:pt>
                <c:pt idx="4">
                  <c:v>1.3879999999999999</c:v>
                </c:pt>
                <c:pt idx="5">
                  <c:v>1.496</c:v>
                </c:pt>
                <c:pt idx="6">
                  <c:v>1.321</c:v>
                </c:pt>
                <c:pt idx="7">
                  <c:v>1.3220000000000001</c:v>
                </c:pt>
                <c:pt idx="8">
                  <c:v>1.9850000000000001</c:v>
                </c:pt>
                <c:pt idx="9">
                  <c:v>1.87</c:v>
                </c:pt>
                <c:pt idx="11">
                  <c:v>0</c:v>
                </c:pt>
                <c:pt idx="12">
                  <c:v>1.855</c:v>
                </c:pt>
                <c:pt idx="13">
                  <c:v>1.8620000000000001</c:v>
                </c:pt>
                <c:pt idx="14">
                  <c:v>1.877</c:v>
                </c:pt>
                <c:pt idx="15">
                  <c:v>1.653</c:v>
                </c:pt>
                <c:pt idx="16">
                  <c:v>1.8180000000000001</c:v>
                </c:pt>
                <c:pt idx="17">
                  <c:v>1.8620000000000001</c:v>
                </c:pt>
                <c:pt idx="18">
                  <c:v>1.8089999999999999</c:v>
                </c:pt>
                <c:pt idx="19">
                  <c:v>1.6619999999999999</c:v>
                </c:pt>
                <c:pt idx="21">
                  <c:v>0</c:v>
                </c:pt>
                <c:pt idx="22">
                  <c:v>1.9359999999999999</c:v>
                </c:pt>
                <c:pt idx="23">
                  <c:v>1.913</c:v>
                </c:pt>
                <c:pt idx="24">
                  <c:v>1.625</c:v>
                </c:pt>
                <c:pt idx="25">
                  <c:v>1.962</c:v>
                </c:pt>
                <c:pt idx="26">
                  <c:v>1.9990000000000001</c:v>
                </c:pt>
                <c:pt idx="27">
                  <c:v>1.9610000000000001</c:v>
                </c:pt>
                <c:pt idx="28">
                  <c:v>1.944</c:v>
                </c:pt>
                <c:pt idx="29">
                  <c:v>1.923</c:v>
                </c:pt>
                <c:pt idx="30">
                  <c:v>1.9259999999999999</c:v>
                </c:pt>
                <c:pt idx="31">
                  <c:v>1.974</c:v>
                </c:pt>
                <c:pt idx="32">
                  <c:v>1.9510000000000001</c:v>
                </c:pt>
                <c:pt idx="33">
                  <c:v>1.968</c:v>
                </c:pt>
                <c:pt idx="34">
                  <c:v>2</c:v>
                </c:pt>
                <c:pt idx="35">
                  <c:v>1.9119999999999999</c:v>
                </c:pt>
                <c:pt idx="36">
                  <c:v>1.911</c:v>
                </c:pt>
                <c:pt idx="37">
                  <c:v>1.8440000000000001</c:v>
                </c:pt>
                <c:pt idx="38">
                  <c:v>1.865</c:v>
                </c:pt>
                <c:pt idx="39">
                  <c:v>1.9079999999999999</c:v>
                </c:pt>
                <c:pt idx="40">
                  <c:v>2</c:v>
                </c:pt>
              </c:numCache>
            </c:numRef>
          </c:yVal>
          <c:smooth val="0"/>
        </c:ser>
        <c:ser>
          <c:idx val="7"/>
          <c:order val="3"/>
          <c:tx>
            <c:v>29/jun</c:v>
          </c:tx>
          <c:spPr>
            <a:ln w="28575">
              <a:noFill/>
            </a:ln>
          </c:spPr>
          <c:marker>
            <c:symbol val="circle"/>
            <c:size val="5"/>
            <c:spPr>
              <a:noFill/>
              <a:ln w="15875">
                <a:solidFill>
                  <a:schemeClr val="accent3">
                    <a:lumMod val="75000"/>
                  </a:schemeClr>
                </a:solidFill>
              </a:ln>
            </c:spPr>
          </c:marker>
          <c:xVal>
            <c:numRef>
              <c:f>'After capilar 19Jun'!$AM$95:$AM$136</c:f>
              <c:numCache>
                <c:formatCode>General</c:formatCode>
                <c:ptCount val="42"/>
                <c:pt idx="0">
                  <c:v>1490</c:v>
                </c:pt>
                <c:pt idx="1">
                  <c:v>1543</c:v>
                </c:pt>
                <c:pt idx="2">
                  <c:v>1581</c:v>
                </c:pt>
                <c:pt idx="3">
                  <c:v>1075</c:v>
                </c:pt>
                <c:pt idx="4">
                  <c:v>5794</c:v>
                </c:pt>
                <c:pt idx="5">
                  <c:v>5765</c:v>
                </c:pt>
                <c:pt idx="6">
                  <c:v>5307</c:v>
                </c:pt>
                <c:pt idx="7">
                  <c:v>10168</c:v>
                </c:pt>
                <c:pt idx="8">
                  <c:v>5000</c:v>
                </c:pt>
                <c:pt idx="9">
                  <c:v>5378</c:v>
                </c:pt>
                <c:pt idx="10">
                  <c:v>5803</c:v>
                </c:pt>
                <c:pt idx="11">
                  <c:v>4929</c:v>
                </c:pt>
                <c:pt idx="12">
                  <c:v>10369</c:v>
                </c:pt>
                <c:pt idx="13">
                  <c:v>10687</c:v>
                </c:pt>
                <c:pt idx="14">
                  <c:v>9707</c:v>
                </c:pt>
                <c:pt idx="15">
                  <c:v>10278</c:v>
                </c:pt>
                <c:pt idx="16">
                  <c:v>8799</c:v>
                </c:pt>
                <c:pt idx="17">
                  <c:v>4711</c:v>
                </c:pt>
                <c:pt idx="18">
                  <c:v>5995</c:v>
                </c:pt>
                <c:pt idx="19">
                  <c:v>8204</c:v>
                </c:pt>
                <c:pt idx="20">
                  <c:v>7327</c:v>
                </c:pt>
                <c:pt idx="21">
                  <c:v>7508</c:v>
                </c:pt>
                <c:pt idx="22">
                  <c:v>8780</c:v>
                </c:pt>
                <c:pt idx="23">
                  <c:v>4182</c:v>
                </c:pt>
                <c:pt idx="24">
                  <c:v>5678</c:v>
                </c:pt>
                <c:pt idx="25">
                  <c:v>4950</c:v>
                </c:pt>
                <c:pt idx="26">
                  <c:v>6226</c:v>
                </c:pt>
                <c:pt idx="27">
                  <c:v>4482</c:v>
                </c:pt>
                <c:pt idx="28">
                  <c:v>6107</c:v>
                </c:pt>
                <c:pt idx="29">
                  <c:v>2576</c:v>
                </c:pt>
                <c:pt idx="30">
                  <c:v>2573</c:v>
                </c:pt>
                <c:pt idx="31">
                  <c:v>3924</c:v>
                </c:pt>
                <c:pt idx="33">
                  <c:v>3521</c:v>
                </c:pt>
                <c:pt idx="34">
                  <c:v>3972</c:v>
                </c:pt>
                <c:pt idx="35">
                  <c:v>2890</c:v>
                </c:pt>
                <c:pt idx="36">
                  <c:v>1293</c:v>
                </c:pt>
                <c:pt idx="38">
                  <c:v>969</c:v>
                </c:pt>
                <c:pt idx="39">
                  <c:v>1347</c:v>
                </c:pt>
                <c:pt idx="40">
                  <c:v>2816</c:v>
                </c:pt>
                <c:pt idx="41">
                  <c:v>2138</c:v>
                </c:pt>
              </c:numCache>
            </c:numRef>
          </c:xVal>
          <c:yVal>
            <c:numRef>
              <c:f>'After capilar 19Jun'!$F$95:$F$136</c:f>
              <c:numCache>
                <c:formatCode>General</c:formatCode>
                <c:ptCount val="42"/>
                <c:pt idx="0">
                  <c:v>1.484</c:v>
                </c:pt>
                <c:pt idx="1">
                  <c:v>1.472</c:v>
                </c:pt>
                <c:pt idx="2">
                  <c:v>1.4850000000000001</c:v>
                </c:pt>
                <c:pt idx="3">
                  <c:v>1.4119999999999999</c:v>
                </c:pt>
                <c:pt idx="4">
                  <c:v>1.954</c:v>
                </c:pt>
                <c:pt idx="5">
                  <c:v>1.954</c:v>
                </c:pt>
                <c:pt idx="6">
                  <c:v>1.899</c:v>
                </c:pt>
                <c:pt idx="7">
                  <c:v>1.9490000000000001</c:v>
                </c:pt>
                <c:pt idx="8">
                  <c:v>1.9</c:v>
                </c:pt>
                <c:pt idx="9">
                  <c:v>1.905</c:v>
                </c:pt>
                <c:pt idx="10">
                  <c:v>1.8959999999999999</c:v>
                </c:pt>
                <c:pt idx="11">
                  <c:v>1.907</c:v>
                </c:pt>
                <c:pt idx="12">
                  <c:v>1.9419999999999999</c:v>
                </c:pt>
                <c:pt idx="13">
                  <c:v>1.9359999999999999</c:v>
                </c:pt>
                <c:pt idx="14">
                  <c:v>1.9730000000000001</c:v>
                </c:pt>
                <c:pt idx="15">
                  <c:v>1.9850000000000001</c:v>
                </c:pt>
                <c:pt idx="16">
                  <c:v>1.956</c:v>
                </c:pt>
                <c:pt idx="17">
                  <c:v>1.8879999999999999</c:v>
                </c:pt>
                <c:pt idx="18">
                  <c:v>1.9179999999999999</c:v>
                </c:pt>
                <c:pt idx="19">
                  <c:v>1.988</c:v>
                </c:pt>
                <c:pt idx="20">
                  <c:v>1.913</c:v>
                </c:pt>
                <c:pt idx="21">
                  <c:v>1.8440000000000001</c:v>
                </c:pt>
                <c:pt idx="22">
                  <c:v>1.873</c:v>
                </c:pt>
                <c:pt idx="23">
                  <c:v>1.847</c:v>
                </c:pt>
                <c:pt idx="24">
                  <c:v>1.885</c:v>
                </c:pt>
                <c:pt idx="25">
                  <c:v>1.853</c:v>
                </c:pt>
                <c:pt idx="26">
                  <c:v>1.94</c:v>
                </c:pt>
                <c:pt idx="27">
                  <c:v>1.774</c:v>
                </c:pt>
                <c:pt idx="28">
                  <c:v>1.75</c:v>
                </c:pt>
                <c:pt idx="29">
                  <c:v>2.726</c:v>
                </c:pt>
                <c:pt idx="30">
                  <c:v>1.202</c:v>
                </c:pt>
                <c:pt idx="31">
                  <c:v>1.8069999999999999</c:v>
                </c:pt>
                <c:pt idx="32">
                  <c:v>0.47699999999999998</c:v>
                </c:pt>
                <c:pt idx="33">
                  <c:v>1.748</c:v>
                </c:pt>
                <c:pt idx="34">
                  <c:v>1.546</c:v>
                </c:pt>
                <c:pt idx="35">
                  <c:v>1.6619999999999999</c:v>
                </c:pt>
                <c:pt idx="36">
                  <c:v>1.28</c:v>
                </c:pt>
                <c:pt idx="38">
                  <c:v>0.66800000000000004</c:v>
                </c:pt>
                <c:pt idx="39">
                  <c:v>1.4219999999999999</c:v>
                </c:pt>
                <c:pt idx="40">
                  <c:v>1.6180000000000001</c:v>
                </c:pt>
                <c:pt idx="41">
                  <c:v>1.6559999999999999</c:v>
                </c:pt>
              </c:numCache>
            </c:numRef>
          </c:yVal>
          <c:smooth val="0"/>
        </c:ser>
        <c:ser>
          <c:idx val="1"/>
          <c:order val="4"/>
          <c:tx>
            <c:v>07/jul</c:v>
          </c:tx>
          <c:spPr>
            <a:ln w="28575">
              <a:noFill/>
            </a:ln>
          </c:spPr>
          <c:marker>
            <c:symbol val="triangle"/>
            <c:size val="6"/>
            <c:spPr>
              <a:solidFill>
                <a:schemeClr val="accent5"/>
              </a:solidFill>
              <a:ln>
                <a:solidFill>
                  <a:schemeClr val="accent5"/>
                </a:solidFill>
              </a:ln>
            </c:spPr>
          </c:marker>
          <c:xVal>
            <c:numRef>
              <c:f>'After capilar 19Jun'!$AM$148:$AM$154</c:f>
              <c:numCache>
                <c:formatCode>General</c:formatCode>
                <c:ptCount val="7"/>
                <c:pt idx="0">
                  <c:v>5337</c:v>
                </c:pt>
                <c:pt idx="1">
                  <c:v>4512</c:v>
                </c:pt>
                <c:pt idx="2">
                  <c:v>4257</c:v>
                </c:pt>
                <c:pt idx="3">
                  <c:v>4013</c:v>
                </c:pt>
                <c:pt idx="4">
                  <c:v>3610</c:v>
                </c:pt>
                <c:pt idx="5">
                  <c:v>4211</c:v>
                </c:pt>
                <c:pt idx="6">
                  <c:v>3844</c:v>
                </c:pt>
              </c:numCache>
            </c:numRef>
          </c:xVal>
          <c:yVal>
            <c:numRef>
              <c:f>'After capilar 19Jun'!$F$148:$F$154</c:f>
              <c:numCache>
                <c:formatCode>General</c:formatCode>
                <c:ptCount val="7"/>
                <c:pt idx="0">
                  <c:v>1.821</c:v>
                </c:pt>
                <c:pt idx="1">
                  <c:v>1.8580000000000001</c:v>
                </c:pt>
                <c:pt idx="2">
                  <c:v>1.82</c:v>
                </c:pt>
                <c:pt idx="3">
                  <c:v>1.7669999999999999</c:v>
                </c:pt>
                <c:pt idx="4">
                  <c:v>1.7869999999999999</c:v>
                </c:pt>
                <c:pt idx="5">
                  <c:v>1.7210000000000001</c:v>
                </c:pt>
                <c:pt idx="6">
                  <c:v>1.8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48064"/>
        <c:axId val="126248640"/>
      </c:scatterChart>
      <c:valAx>
        <c:axId val="126248064"/>
        <c:scaling>
          <c:orientation val="minMax"/>
          <c:max val="7000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Initial intensity (mV)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6248640"/>
        <c:crosses val="max"/>
        <c:crossBetween val="midCat"/>
      </c:valAx>
      <c:valAx>
        <c:axId val="126248640"/>
        <c:scaling>
          <c:orientation val="minMax"/>
          <c:max val="3"/>
          <c:min val="1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Isotope ratio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6248064"/>
        <c:crosses val="autoZero"/>
        <c:crossBetween val="midCat"/>
      </c:valAx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7.4393251584089562E-2"/>
          <c:y val="0.87110672972534531"/>
          <c:w val="0.49617577595546669"/>
          <c:h val="7.678519484427504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" l="0.70000000000000095" r="0.70000000000000095" t="0.750000000000001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d18O</a:t>
            </a:r>
            <a:r>
              <a:rPr lang="en-US" baseline="0"/>
              <a:t> </a:t>
            </a:r>
            <a:r>
              <a:rPr lang="en-US"/>
              <a:t>means</a:t>
            </a:r>
          </a:p>
        </c:rich>
      </c:tx>
      <c:layout>
        <c:manualLayout>
          <c:xMode val="edge"/>
          <c:yMode val="edge"/>
          <c:x val="0.77748915271213759"/>
          <c:y val="0.76521675175218484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15323647112699"/>
          <c:y val="0.13089185280411378"/>
          <c:w val="0.85793892667917104"/>
          <c:h val="0.62615804892520299"/>
        </c:manualLayout>
      </c:layout>
      <c:scatterChart>
        <c:scatterStyle val="lineMarker"/>
        <c:varyColors val="0"/>
        <c:ser>
          <c:idx val="1"/>
          <c:order val="0"/>
          <c:tx>
            <c:v>Previous d18O</c:v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'After instal'!$AJ$6:$AJ$117</c:f>
              <c:numCache>
                <c:formatCode>General</c:formatCode>
                <c:ptCount val="112"/>
                <c:pt idx="0">
                  <c:v>1775</c:v>
                </c:pt>
                <c:pt idx="1">
                  <c:v>1729</c:v>
                </c:pt>
                <c:pt idx="2">
                  <c:v>1375</c:v>
                </c:pt>
                <c:pt idx="3">
                  <c:v>1177</c:v>
                </c:pt>
                <c:pt idx="4">
                  <c:v>1187</c:v>
                </c:pt>
                <c:pt idx="5">
                  <c:v>1195</c:v>
                </c:pt>
                <c:pt idx="6">
                  <c:v>1652</c:v>
                </c:pt>
                <c:pt idx="7">
                  <c:v>1146</c:v>
                </c:pt>
                <c:pt idx="10">
                  <c:v>1321</c:v>
                </c:pt>
                <c:pt idx="11">
                  <c:v>903</c:v>
                </c:pt>
                <c:pt idx="12">
                  <c:v>1068</c:v>
                </c:pt>
                <c:pt idx="13">
                  <c:v>1558</c:v>
                </c:pt>
                <c:pt idx="14">
                  <c:v>1676</c:v>
                </c:pt>
                <c:pt idx="15">
                  <c:v>1427</c:v>
                </c:pt>
                <c:pt idx="16">
                  <c:v>917</c:v>
                </c:pt>
                <c:pt idx="17">
                  <c:v>1532</c:v>
                </c:pt>
                <c:pt idx="18">
                  <c:v>1593</c:v>
                </c:pt>
                <c:pt idx="19">
                  <c:v>1711</c:v>
                </c:pt>
                <c:pt idx="20">
                  <c:v>1635</c:v>
                </c:pt>
                <c:pt idx="21">
                  <c:v>1641</c:v>
                </c:pt>
                <c:pt idx="24">
                  <c:v>9</c:v>
                </c:pt>
                <c:pt idx="27">
                  <c:v>1355</c:v>
                </c:pt>
                <c:pt idx="28">
                  <c:v>1513</c:v>
                </c:pt>
                <c:pt idx="29">
                  <c:v>1748</c:v>
                </c:pt>
                <c:pt idx="32">
                  <c:v>967</c:v>
                </c:pt>
                <c:pt idx="33">
                  <c:v>1496</c:v>
                </c:pt>
                <c:pt idx="34">
                  <c:v>1185</c:v>
                </c:pt>
                <c:pt idx="35">
                  <c:v>1097</c:v>
                </c:pt>
                <c:pt idx="36">
                  <c:v>1386</c:v>
                </c:pt>
                <c:pt idx="37">
                  <c:v>942</c:v>
                </c:pt>
                <c:pt idx="40">
                  <c:v>1201</c:v>
                </c:pt>
                <c:pt idx="41">
                  <c:v>1540</c:v>
                </c:pt>
                <c:pt idx="42">
                  <c:v>2014</c:v>
                </c:pt>
                <c:pt idx="43">
                  <c:v>1622</c:v>
                </c:pt>
                <c:pt idx="44">
                  <c:v>1696</c:v>
                </c:pt>
                <c:pt idx="45">
                  <c:v>1644</c:v>
                </c:pt>
                <c:pt idx="48">
                  <c:v>1614</c:v>
                </c:pt>
                <c:pt idx="49">
                  <c:v>1382</c:v>
                </c:pt>
                <c:pt idx="50">
                  <c:v>1399</c:v>
                </c:pt>
                <c:pt idx="51">
                  <c:v>1679</c:v>
                </c:pt>
                <c:pt idx="52">
                  <c:v>1809</c:v>
                </c:pt>
                <c:pt idx="53">
                  <c:v>1454</c:v>
                </c:pt>
                <c:pt idx="58">
                  <c:v>631</c:v>
                </c:pt>
                <c:pt idx="59">
                  <c:v>12</c:v>
                </c:pt>
                <c:pt idx="60">
                  <c:v>407</c:v>
                </c:pt>
                <c:pt idx="61">
                  <c:v>245</c:v>
                </c:pt>
                <c:pt idx="62">
                  <c:v>435</c:v>
                </c:pt>
                <c:pt idx="65">
                  <c:v>1061</c:v>
                </c:pt>
                <c:pt idx="66">
                  <c:v>888</c:v>
                </c:pt>
                <c:pt idx="67">
                  <c:v>646</c:v>
                </c:pt>
                <c:pt idx="68">
                  <c:v>1149</c:v>
                </c:pt>
                <c:pt idx="69">
                  <c:v>1310</c:v>
                </c:pt>
                <c:pt idx="72">
                  <c:v>1467</c:v>
                </c:pt>
                <c:pt idx="73">
                  <c:v>1527</c:v>
                </c:pt>
                <c:pt idx="74">
                  <c:v>1519</c:v>
                </c:pt>
                <c:pt idx="75">
                  <c:v>1444</c:v>
                </c:pt>
                <c:pt idx="76">
                  <c:v>1112</c:v>
                </c:pt>
                <c:pt idx="81">
                  <c:v>3698</c:v>
                </c:pt>
                <c:pt idx="82">
                  <c:v>3878</c:v>
                </c:pt>
                <c:pt idx="83">
                  <c:v>3608</c:v>
                </c:pt>
                <c:pt idx="84">
                  <c:v>3130</c:v>
                </c:pt>
                <c:pt idx="85">
                  <c:v>2954</c:v>
                </c:pt>
                <c:pt idx="86">
                  <c:v>4325</c:v>
                </c:pt>
                <c:pt idx="87">
                  <c:v>4032</c:v>
                </c:pt>
                <c:pt idx="88">
                  <c:v>3096</c:v>
                </c:pt>
                <c:pt idx="93">
                  <c:v>4090</c:v>
                </c:pt>
                <c:pt idx="96">
                  <c:v>2672</c:v>
                </c:pt>
                <c:pt idx="97">
                  <c:v>2761</c:v>
                </c:pt>
                <c:pt idx="98">
                  <c:v>3662</c:v>
                </c:pt>
                <c:pt idx="99">
                  <c:v>3629</c:v>
                </c:pt>
                <c:pt idx="100">
                  <c:v>3554</c:v>
                </c:pt>
                <c:pt idx="101">
                  <c:v>982</c:v>
                </c:pt>
                <c:pt idx="106">
                  <c:v>1600</c:v>
                </c:pt>
                <c:pt idx="109">
                  <c:v>3209</c:v>
                </c:pt>
                <c:pt idx="110">
                  <c:v>2731</c:v>
                </c:pt>
                <c:pt idx="111">
                  <c:v>8</c:v>
                </c:pt>
              </c:numCache>
            </c:numRef>
          </c:xVal>
          <c:yVal>
            <c:numRef>
              <c:f>'After instal'!$F$6:$F$117</c:f>
              <c:numCache>
                <c:formatCode>General</c:formatCode>
                <c:ptCount val="112"/>
                <c:pt idx="0">
                  <c:v>-2.4319999999999999</c:v>
                </c:pt>
                <c:pt idx="1">
                  <c:v>-2.1040000000000001</c:v>
                </c:pt>
                <c:pt idx="2">
                  <c:v>-2.339</c:v>
                </c:pt>
                <c:pt idx="3">
                  <c:v>-2.0630000000000002</c:v>
                </c:pt>
                <c:pt idx="4">
                  <c:v>-2.2970000000000002</c:v>
                </c:pt>
                <c:pt idx="5">
                  <c:v>-2.1259999999999999</c:v>
                </c:pt>
                <c:pt idx="6">
                  <c:v>-2.3029999999999999</c:v>
                </c:pt>
                <c:pt idx="7">
                  <c:v>-2.2480000000000002</c:v>
                </c:pt>
                <c:pt idx="10">
                  <c:v>-2.4569999999999999</c:v>
                </c:pt>
                <c:pt idx="11">
                  <c:v>-3.0129999999999999</c:v>
                </c:pt>
                <c:pt idx="12">
                  <c:v>-3.0680000000000001</c:v>
                </c:pt>
                <c:pt idx="13">
                  <c:v>-2.177</c:v>
                </c:pt>
                <c:pt idx="14">
                  <c:v>-2.3730000000000002</c:v>
                </c:pt>
                <c:pt idx="15">
                  <c:v>-2.1789999999999998</c:v>
                </c:pt>
                <c:pt idx="16">
                  <c:v>-3.3929999999999998</c:v>
                </c:pt>
                <c:pt idx="17">
                  <c:v>-2.17</c:v>
                </c:pt>
                <c:pt idx="18">
                  <c:v>-2.5099999999999998</c:v>
                </c:pt>
                <c:pt idx="19">
                  <c:v>-2.278</c:v>
                </c:pt>
                <c:pt idx="20">
                  <c:v>-2.4969999999999999</c:v>
                </c:pt>
                <c:pt idx="21">
                  <c:v>-2.2120000000000002</c:v>
                </c:pt>
                <c:pt idx="24">
                  <c:v>-18.856999999999999</c:v>
                </c:pt>
                <c:pt idx="27">
                  <c:v>-2.6890000000000001</c:v>
                </c:pt>
                <c:pt idx="28">
                  <c:v>-2.3610000000000002</c:v>
                </c:pt>
                <c:pt idx="29">
                  <c:v>-2.2730000000000001</c:v>
                </c:pt>
                <c:pt idx="32">
                  <c:v>-3.4609999999999999</c:v>
                </c:pt>
                <c:pt idx="33">
                  <c:v>-2.1840000000000002</c:v>
                </c:pt>
                <c:pt idx="34">
                  <c:v>-2.633</c:v>
                </c:pt>
                <c:pt idx="35">
                  <c:v>-2.4300000000000002</c:v>
                </c:pt>
                <c:pt idx="36">
                  <c:v>-2.5649999999999999</c:v>
                </c:pt>
                <c:pt idx="37">
                  <c:v>-2.7869999999999999</c:v>
                </c:pt>
                <c:pt idx="40">
                  <c:v>-2.6160000000000001</c:v>
                </c:pt>
                <c:pt idx="41">
                  <c:v>-2.2669999999999999</c:v>
                </c:pt>
                <c:pt idx="42">
                  <c:v>-2.5310000000000001</c:v>
                </c:pt>
                <c:pt idx="43">
                  <c:v>-2.234</c:v>
                </c:pt>
                <c:pt idx="44">
                  <c:v>-2.5430000000000001</c:v>
                </c:pt>
                <c:pt idx="45">
                  <c:v>-2.1859999999999999</c:v>
                </c:pt>
                <c:pt idx="48">
                  <c:v>-2.5230000000000001</c:v>
                </c:pt>
                <c:pt idx="49">
                  <c:v>-2.2040000000000002</c:v>
                </c:pt>
                <c:pt idx="50">
                  <c:v>-2.4950000000000001</c:v>
                </c:pt>
                <c:pt idx="51">
                  <c:v>-2.1560000000000001</c:v>
                </c:pt>
                <c:pt idx="52">
                  <c:v>-2.4500000000000002</c:v>
                </c:pt>
                <c:pt idx="53">
                  <c:v>-2.0950000000000002</c:v>
                </c:pt>
                <c:pt idx="56">
                  <c:v>0</c:v>
                </c:pt>
                <c:pt idx="58">
                  <c:v>-9.7859999999999996</c:v>
                </c:pt>
                <c:pt idx="59">
                  <c:v>-26.547999999999998</c:v>
                </c:pt>
                <c:pt idx="60">
                  <c:v>-8.968</c:v>
                </c:pt>
                <c:pt idx="61">
                  <c:v>-30.312000000000001</c:v>
                </c:pt>
                <c:pt idx="62">
                  <c:v>-9.1479999999999997</c:v>
                </c:pt>
                <c:pt idx="65">
                  <c:v>-3.6779999999999999</c:v>
                </c:pt>
                <c:pt idx="66">
                  <c:v>-2.9660000000000002</c:v>
                </c:pt>
                <c:pt idx="67">
                  <c:v>-4.5949999999999998</c:v>
                </c:pt>
                <c:pt idx="68">
                  <c:v>-2.7040000000000002</c:v>
                </c:pt>
                <c:pt idx="69">
                  <c:v>-3.3490000000000002</c:v>
                </c:pt>
                <c:pt idx="72">
                  <c:v>-2.3839999999999999</c:v>
                </c:pt>
                <c:pt idx="73">
                  <c:v>-2.1669999999999998</c:v>
                </c:pt>
                <c:pt idx="74">
                  <c:v>-2.3959999999999999</c:v>
                </c:pt>
                <c:pt idx="75">
                  <c:v>-2.157</c:v>
                </c:pt>
                <c:pt idx="76">
                  <c:v>-2.847</c:v>
                </c:pt>
                <c:pt idx="79">
                  <c:v>0</c:v>
                </c:pt>
                <c:pt idx="81">
                  <c:v>-2.0939999999999999</c:v>
                </c:pt>
                <c:pt idx="82">
                  <c:v>-2.258</c:v>
                </c:pt>
                <c:pt idx="83">
                  <c:v>-2.3119999999999998</c:v>
                </c:pt>
                <c:pt idx="84">
                  <c:v>-2.4209999999999998</c:v>
                </c:pt>
                <c:pt idx="85">
                  <c:v>-2.2679999999999998</c:v>
                </c:pt>
                <c:pt idx="86">
                  <c:v>-2.3879999999999999</c:v>
                </c:pt>
                <c:pt idx="87">
                  <c:v>-2.3090000000000002</c:v>
                </c:pt>
                <c:pt idx="88">
                  <c:v>-2.6080000000000001</c:v>
                </c:pt>
                <c:pt idx="91">
                  <c:v>0</c:v>
                </c:pt>
                <c:pt idx="93">
                  <c:v>-2.2930000000000001</c:v>
                </c:pt>
                <c:pt idx="96">
                  <c:v>-2.2879999999999998</c:v>
                </c:pt>
                <c:pt idx="97">
                  <c:v>-2.2949999999999999</c:v>
                </c:pt>
                <c:pt idx="98">
                  <c:v>-2.347</c:v>
                </c:pt>
                <c:pt idx="99">
                  <c:v>-2.2309999999999999</c:v>
                </c:pt>
                <c:pt idx="100">
                  <c:v>-2.35</c:v>
                </c:pt>
                <c:pt idx="101">
                  <c:v>-2.7120000000000002</c:v>
                </c:pt>
                <c:pt idx="104">
                  <c:v>0</c:v>
                </c:pt>
                <c:pt idx="106">
                  <c:v>1.123</c:v>
                </c:pt>
                <c:pt idx="109">
                  <c:v>-2.2789999999999999</c:v>
                </c:pt>
                <c:pt idx="110">
                  <c:v>-2.367</c:v>
                </c:pt>
                <c:pt idx="111">
                  <c:v>-14.964</c:v>
                </c:pt>
              </c:numCache>
            </c:numRef>
          </c:yVal>
          <c:smooth val="0"/>
        </c:ser>
        <c:ser>
          <c:idx val="3"/>
          <c:order val="1"/>
          <c:tx>
            <c:v>d18O</c:v>
          </c:tx>
          <c:spPr>
            <a:ln w="19050">
              <a:solidFill>
                <a:schemeClr val="accent2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7000</c:v>
              </c:pt>
            </c:numLit>
          </c:xVal>
          <c:yVal>
            <c:numRef>
              <c:f>'After instal'!$F$2:$F$3</c:f>
              <c:numCache>
                <c:formatCode>General</c:formatCode>
                <c:ptCount val="2"/>
                <c:pt idx="0">
                  <c:v>-2.2000000000000002</c:v>
                </c:pt>
                <c:pt idx="1">
                  <c:v>-2.2000000000000002</c:v>
                </c:pt>
              </c:numCache>
            </c:numRef>
          </c:yVal>
          <c:smooth val="0"/>
        </c:ser>
        <c:ser>
          <c:idx val="6"/>
          <c:order val="2"/>
          <c:tx>
            <c:v>24/jun</c:v>
          </c:tx>
          <c:spPr>
            <a:ln w="28575">
              <a:noFill/>
            </a:ln>
          </c:spPr>
          <c:marker>
            <c:symbol val="diamond"/>
            <c:size val="7"/>
            <c:spPr>
              <a:noFill/>
              <a:ln w="15875">
                <a:solidFill>
                  <a:srgbClr val="C41249"/>
                </a:solidFill>
              </a:ln>
            </c:spPr>
          </c:marker>
          <c:xVal>
            <c:numRef>
              <c:f>'After capilar 19Jun'!$AN$49:$AN$89</c:f>
              <c:numCache>
                <c:formatCode>General</c:formatCode>
                <c:ptCount val="41"/>
                <c:pt idx="0">
                  <c:v>796</c:v>
                </c:pt>
                <c:pt idx="1">
                  <c:v>2879</c:v>
                </c:pt>
                <c:pt idx="2">
                  <c:v>1270</c:v>
                </c:pt>
                <c:pt idx="3">
                  <c:v>1277</c:v>
                </c:pt>
                <c:pt idx="4">
                  <c:v>1432</c:v>
                </c:pt>
                <c:pt idx="5">
                  <c:v>2049</c:v>
                </c:pt>
                <c:pt idx="6">
                  <c:v>1176</c:v>
                </c:pt>
                <c:pt idx="7">
                  <c:v>1490</c:v>
                </c:pt>
                <c:pt idx="8">
                  <c:v>10181</c:v>
                </c:pt>
                <c:pt idx="9">
                  <c:v>5571</c:v>
                </c:pt>
                <c:pt idx="12">
                  <c:v>7929</c:v>
                </c:pt>
                <c:pt idx="13">
                  <c:v>4989</c:v>
                </c:pt>
                <c:pt idx="14">
                  <c:v>6661</c:v>
                </c:pt>
                <c:pt idx="15">
                  <c:v>5039</c:v>
                </c:pt>
                <c:pt idx="16">
                  <c:v>5765</c:v>
                </c:pt>
                <c:pt idx="17">
                  <c:v>5861</c:v>
                </c:pt>
                <c:pt idx="18">
                  <c:v>4076</c:v>
                </c:pt>
                <c:pt idx="19">
                  <c:v>3360</c:v>
                </c:pt>
                <c:pt idx="22">
                  <c:v>7922</c:v>
                </c:pt>
                <c:pt idx="23">
                  <c:v>6557</c:v>
                </c:pt>
                <c:pt idx="24">
                  <c:v>2815</c:v>
                </c:pt>
                <c:pt idx="25">
                  <c:v>6225</c:v>
                </c:pt>
                <c:pt idx="26">
                  <c:v>11260</c:v>
                </c:pt>
                <c:pt idx="27">
                  <c:v>6664</c:v>
                </c:pt>
                <c:pt idx="28">
                  <c:v>12256</c:v>
                </c:pt>
                <c:pt idx="29">
                  <c:v>10563</c:v>
                </c:pt>
                <c:pt idx="30">
                  <c:v>5387</c:v>
                </c:pt>
                <c:pt idx="31">
                  <c:v>11312</c:v>
                </c:pt>
                <c:pt idx="32">
                  <c:v>10347</c:v>
                </c:pt>
                <c:pt idx="33">
                  <c:v>11198</c:v>
                </c:pt>
                <c:pt idx="34">
                  <c:v>12166</c:v>
                </c:pt>
                <c:pt idx="35">
                  <c:v>7196</c:v>
                </c:pt>
                <c:pt idx="36">
                  <c:v>6617</c:v>
                </c:pt>
                <c:pt idx="37">
                  <c:v>8394</c:v>
                </c:pt>
                <c:pt idx="38">
                  <c:v>6031</c:v>
                </c:pt>
                <c:pt idx="39">
                  <c:v>8146</c:v>
                </c:pt>
                <c:pt idx="40">
                  <c:v>6557</c:v>
                </c:pt>
              </c:numCache>
            </c:numRef>
          </c:xVal>
          <c:yVal>
            <c:numRef>
              <c:f>'After capilar 19Jun'!$I$49:$I$89</c:f>
              <c:numCache>
                <c:formatCode>General</c:formatCode>
                <c:ptCount val="41"/>
                <c:pt idx="0">
                  <c:v>-6.2539999999999996</c:v>
                </c:pt>
                <c:pt idx="1">
                  <c:v>-3.331</c:v>
                </c:pt>
                <c:pt idx="2">
                  <c:v>-4.1210000000000004</c:v>
                </c:pt>
                <c:pt idx="3">
                  <c:v>-4.4470000000000001</c:v>
                </c:pt>
                <c:pt idx="4">
                  <c:v>-3.8050000000000002</c:v>
                </c:pt>
                <c:pt idx="5">
                  <c:v>-3.5739999999999998</c:v>
                </c:pt>
                <c:pt idx="6">
                  <c:v>-4.7030000000000003</c:v>
                </c:pt>
                <c:pt idx="7">
                  <c:v>-3.794</c:v>
                </c:pt>
                <c:pt idx="8">
                  <c:v>-2.4689999999999999</c:v>
                </c:pt>
                <c:pt idx="9">
                  <c:v>-2.6680000000000001</c:v>
                </c:pt>
                <c:pt idx="11">
                  <c:v>0</c:v>
                </c:pt>
                <c:pt idx="12">
                  <c:v>-2.6480000000000001</c:v>
                </c:pt>
                <c:pt idx="13">
                  <c:v>-2.819</c:v>
                </c:pt>
                <c:pt idx="14">
                  <c:v>-2.738</c:v>
                </c:pt>
                <c:pt idx="15">
                  <c:v>-2.262</c:v>
                </c:pt>
                <c:pt idx="16">
                  <c:v>-2.8210000000000002</c:v>
                </c:pt>
                <c:pt idx="17">
                  <c:v>-2.819</c:v>
                </c:pt>
                <c:pt idx="18">
                  <c:v>-3.0030000000000001</c:v>
                </c:pt>
                <c:pt idx="19">
                  <c:v>-3.1160000000000001</c:v>
                </c:pt>
                <c:pt idx="21">
                  <c:v>0</c:v>
                </c:pt>
                <c:pt idx="22">
                  <c:v>-2.5579999999999998</c:v>
                </c:pt>
                <c:pt idx="23">
                  <c:v>-2.6829999999999998</c:v>
                </c:pt>
                <c:pt idx="24">
                  <c:v>-1.365</c:v>
                </c:pt>
                <c:pt idx="25">
                  <c:v>-2.6909999999999998</c:v>
                </c:pt>
                <c:pt idx="26">
                  <c:v>-2.4740000000000002</c:v>
                </c:pt>
                <c:pt idx="27">
                  <c:v>-2.6829999999999998</c:v>
                </c:pt>
                <c:pt idx="28">
                  <c:v>-2.6349999999999998</c:v>
                </c:pt>
                <c:pt idx="29">
                  <c:v>-1.899</c:v>
                </c:pt>
                <c:pt idx="30">
                  <c:v>-2.7290000000000001</c:v>
                </c:pt>
                <c:pt idx="31">
                  <c:v>-2.383</c:v>
                </c:pt>
                <c:pt idx="32">
                  <c:v>-2.5659999999999998</c:v>
                </c:pt>
                <c:pt idx="33">
                  <c:v>-2.4420000000000002</c:v>
                </c:pt>
                <c:pt idx="34">
                  <c:v>-2.2189999999999999</c:v>
                </c:pt>
                <c:pt idx="35">
                  <c:v>-2.6640000000000001</c:v>
                </c:pt>
                <c:pt idx="36">
                  <c:v>-2.629</c:v>
                </c:pt>
                <c:pt idx="37">
                  <c:v>-2.4089999999999998</c:v>
                </c:pt>
                <c:pt idx="38">
                  <c:v>-2.7589999999999999</c:v>
                </c:pt>
                <c:pt idx="39">
                  <c:v>-2.5390000000000001</c:v>
                </c:pt>
                <c:pt idx="40">
                  <c:v>-2.4039999999999999</c:v>
                </c:pt>
              </c:numCache>
            </c:numRef>
          </c:yVal>
          <c:smooth val="0"/>
        </c:ser>
        <c:ser>
          <c:idx val="7"/>
          <c:order val="3"/>
          <c:tx>
            <c:v>29/jun</c:v>
          </c:tx>
          <c:spPr>
            <a:ln w="28575">
              <a:noFill/>
            </a:ln>
          </c:spPr>
          <c:marker>
            <c:symbol val="circle"/>
            <c:size val="5"/>
            <c:spPr>
              <a:noFill/>
              <a:ln w="15875">
                <a:solidFill>
                  <a:schemeClr val="accent6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'After capilar 19Jun'!$AM$95:$AM$136</c:f>
              <c:numCache>
                <c:formatCode>General</c:formatCode>
                <c:ptCount val="42"/>
                <c:pt idx="0">
                  <c:v>1490</c:v>
                </c:pt>
                <c:pt idx="1">
                  <c:v>1543</c:v>
                </c:pt>
                <c:pt idx="2">
                  <c:v>1581</c:v>
                </c:pt>
                <c:pt idx="3">
                  <c:v>1075</c:v>
                </c:pt>
                <c:pt idx="4">
                  <c:v>5794</c:v>
                </c:pt>
                <c:pt idx="5">
                  <c:v>5765</c:v>
                </c:pt>
                <c:pt idx="6">
                  <c:v>5307</c:v>
                </c:pt>
                <c:pt idx="7">
                  <c:v>10168</c:v>
                </c:pt>
                <c:pt idx="8">
                  <c:v>5000</c:v>
                </c:pt>
                <c:pt idx="9">
                  <c:v>5378</c:v>
                </c:pt>
                <c:pt idx="10">
                  <c:v>5803</c:v>
                </c:pt>
                <c:pt idx="11">
                  <c:v>4929</c:v>
                </c:pt>
                <c:pt idx="12">
                  <c:v>10369</c:v>
                </c:pt>
                <c:pt idx="13">
                  <c:v>10687</c:v>
                </c:pt>
                <c:pt idx="14">
                  <c:v>9707</c:v>
                </c:pt>
                <c:pt idx="15">
                  <c:v>10278</c:v>
                </c:pt>
                <c:pt idx="16">
                  <c:v>8799</c:v>
                </c:pt>
                <c:pt idx="17">
                  <c:v>4711</c:v>
                </c:pt>
                <c:pt idx="18">
                  <c:v>5995</c:v>
                </c:pt>
                <c:pt idx="19">
                  <c:v>8204</c:v>
                </c:pt>
                <c:pt idx="20">
                  <c:v>7327</c:v>
                </c:pt>
                <c:pt idx="21">
                  <c:v>7508</c:v>
                </c:pt>
                <c:pt idx="22">
                  <c:v>8780</c:v>
                </c:pt>
                <c:pt idx="23">
                  <c:v>4182</c:v>
                </c:pt>
                <c:pt idx="24">
                  <c:v>5678</c:v>
                </c:pt>
                <c:pt idx="25">
                  <c:v>4950</c:v>
                </c:pt>
                <c:pt idx="26">
                  <c:v>6226</c:v>
                </c:pt>
                <c:pt idx="27">
                  <c:v>4482</c:v>
                </c:pt>
                <c:pt idx="28">
                  <c:v>6107</c:v>
                </c:pt>
                <c:pt idx="29">
                  <c:v>2576</c:v>
                </c:pt>
                <c:pt idx="30">
                  <c:v>2573</c:v>
                </c:pt>
                <c:pt idx="31">
                  <c:v>3924</c:v>
                </c:pt>
                <c:pt idx="33">
                  <c:v>3521</c:v>
                </c:pt>
                <c:pt idx="34">
                  <c:v>3972</c:v>
                </c:pt>
                <c:pt idx="35">
                  <c:v>2890</c:v>
                </c:pt>
                <c:pt idx="36">
                  <c:v>1293</c:v>
                </c:pt>
                <c:pt idx="38">
                  <c:v>969</c:v>
                </c:pt>
                <c:pt idx="39">
                  <c:v>1347</c:v>
                </c:pt>
                <c:pt idx="40">
                  <c:v>2816</c:v>
                </c:pt>
                <c:pt idx="41">
                  <c:v>2138</c:v>
                </c:pt>
              </c:numCache>
            </c:numRef>
          </c:xVal>
          <c:yVal>
            <c:numRef>
              <c:f>'After capilar 19Jun'!$I$95:$I$136</c:f>
              <c:numCache>
                <c:formatCode>General</c:formatCode>
                <c:ptCount val="42"/>
                <c:pt idx="0">
                  <c:v>-3.9129999999999998</c:v>
                </c:pt>
                <c:pt idx="1">
                  <c:v>-4.18</c:v>
                </c:pt>
                <c:pt idx="2">
                  <c:v>-3.8879999999999999</c:v>
                </c:pt>
                <c:pt idx="3">
                  <c:v>-5.0549999999999997</c:v>
                </c:pt>
                <c:pt idx="4">
                  <c:v>-2.7589999999999999</c:v>
                </c:pt>
                <c:pt idx="5">
                  <c:v>-2.835</c:v>
                </c:pt>
                <c:pt idx="6">
                  <c:v>-2.7909999999999999</c:v>
                </c:pt>
                <c:pt idx="7">
                  <c:v>-2.532</c:v>
                </c:pt>
                <c:pt idx="8">
                  <c:v>-2.8359999999999999</c:v>
                </c:pt>
                <c:pt idx="9">
                  <c:v>-2.85</c:v>
                </c:pt>
                <c:pt idx="10">
                  <c:v>-2.754</c:v>
                </c:pt>
                <c:pt idx="11">
                  <c:v>-2.8140000000000001</c:v>
                </c:pt>
                <c:pt idx="12">
                  <c:v>-2.57</c:v>
                </c:pt>
                <c:pt idx="13">
                  <c:v>-2.5649999999999999</c:v>
                </c:pt>
                <c:pt idx="14">
                  <c:v>-2.5430000000000001</c:v>
                </c:pt>
                <c:pt idx="15">
                  <c:v>-2.532</c:v>
                </c:pt>
                <c:pt idx="16">
                  <c:v>-2.5870000000000002</c:v>
                </c:pt>
                <c:pt idx="17">
                  <c:v>-2.88</c:v>
                </c:pt>
                <c:pt idx="18">
                  <c:v>-2.6779999999999999</c:v>
                </c:pt>
                <c:pt idx="19">
                  <c:v>-2.4820000000000002</c:v>
                </c:pt>
                <c:pt idx="20">
                  <c:v>-2.6480000000000001</c:v>
                </c:pt>
                <c:pt idx="21">
                  <c:v>-2.8839999999999999</c:v>
                </c:pt>
                <c:pt idx="22">
                  <c:v>-2.7610000000000001</c:v>
                </c:pt>
                <c:pt idx="23">
                  <c:v>-2.8929999999999998</c:v>
                </c:pt>
                <c:pt idx="24">
                  <c:v>-2.7770000000000001</c:v>
                </c:pt>
                <c:pt idx="25">
                  <c:v>-2.7450000000000001</c:v>
                </c:pt>
                <c:pt idx="26">
                  <c:v>-2.6880000000000002</c:v>
                </c:pt>
                <c:pt idx="27">
                  <c:v>-2.98</c:v>
                </c:pt>
                <c:pt idx="28">
                  <c:v>-2.8029999999999999</c:v>
                </c:pt>
                <c:pt idx="29">
                  <c:v>-0.56799999999999995</c:v>
                </c:pt>
                <c:pt idx="30">
                  <c:v>-4.0129999999999999</c:v>
                </c:pt>
                <c:pt idx="31">
                  <c:v>-2.8180000000000001</c:v>
                </c:pt>
                <c:pt idx="32">
                  <c:v>-4.6879999999999997</c:v>
                </c:pt>
                <c:pt idx="33">
                  <c:v>-3.0819999999999999</c:v>
                </c:pt>
                <c:pt idx="34">
                  <c:v>-3.286</c:v>
                </c:pt>
                <c:pt idx="35">
                  <c:v>-3.2480000000000002</c:v>
                </c:pt>
                <c:pt idx="36">
                  <c:v>-3.907</c:v>
                </c:pt>
                <c:pt idx="38">
                  <c:v>-5.1230000000000002</c:v>
                </c:pt>
                <c:pt idx="39">
                  <c:v>-3.7120000000000002</c:v>
                </c:pt>
                <c:pt idx="40">
                  <c:v>-3.1219999999999999</c:v>
                </c:pt>
                <c:pt idx="41">
                  <c:v>-3.3039999999999998</c:v>
                </c:pt>
              </c:numCache>
            </c:numRef>
          </c:yVal>
          <c:smooth val="0"/>
        </c:ser>
        <c:ser>
          <c:idx val="0"/>
          <c:order val="4"/>
          <c:tx>
            <c:v>07/jul</c:v>
          </c:tx>
          <c:spPr>
            <a:ln w="28575">
              <a:noFill/>
            </a:ln>
          </c:spPr>
          <c:marker>
            <c:symbol val="triang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'After capilar 19Jun'!$AM$148:$AM$154</c:f>
              <c:numCache>
                <c:formatCode>General</c:formatCode>
                <c:ptCount val="7"/>
                <c:pt idx="0">
                  <c:v>5337</c:v>
                </c:pt>
                <c:pt idx="1">
                  <c:v>4512</c:v>
                </c:pt>
                <c:pt idx="2">
                  <c:v>4257</c:v>
                </c:pt>
                <c:pt idx="3">
                  <c:v>4013</c:v>
                </c:pt>
                <c:pt idx="4">
                  <c:v>3610</c:v>
                </c:pt>
                <c:pt idx="5">
                  <c:v>4211</c:v>
                </c:pt>
                <c:pt idx="6">
                  <c:v>3844</c:v>
                </c:pt>
              </c:numCache>
            </c:numRef>
          </c:xVal>
          <c:yVal>
            <c:numRef>
              <c:f>'After capilar 19Jun'!$I$148:$I$154</c:f>
              <c:numCache>
                <c:formatCode>General</c:formatCode>
                <c:ptCount val="7"/>
                <c:pt idx="0">
                  <c:v>-2.8740000000000001</c:v>
                </c:pt>
                <c:pt idx="1">
                  <c:v>-3.028</c:v>
                </c:pt>
                <c:pt idx="2">
                  <c:v>-2.86</c:v>
                </c:pt>
                <c:pt idx="3">
                  <c:v>-3.08</c:v>
                </c:pt>
                <c:pt idx="4">
                  <c:v>-3.0910000000000002</c:v>
                </c:pt>
                <c:pt idx="5">
                  <c:v>-3.0510000000000002</c:v>
                </c:pt>
                <c:pt idx="6">
                  <c:v>-3.073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50944"/>
        <c:axId val="126251520"/>
      </c:scatterChart>
      <c:valAx>
        <c:axId val="126250944"/>
        <c:scaling>
          <c:orientation val="minMax"/>
          <c:max val="7000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Initial intensity (mV)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6251520"/>
        <c:crosses val="max"/>
        <c:crossBetween val="midCat"/>
      </c:valAx>
      <c:valAx>
        <c:axId val="126251520"/>
        <c:scaling>
          <c:orientation val="minMax"/>
          <c:max val="1"/>
          <c:min val="-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Isotope ratio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6250944"/>
        <c:crosses val="autoZero"/>
        <c:crossBetween val="midCat"/>
      </c:valAx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7.4393251584089562E-2"/>
          <c:y val="0.87110672972534531"/>
          <c:w val="0.46394929655706452"/>
          <c:h val="7.6622514346723611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" l="0.70000000000000095" r="0.70000000000000095" t="0.750000000000001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mass x P </a:t>
            </a:r>
            <a:r>
              <a:rPr lang="en-US" sz="1200"/>
              <a:t>(3drops,</a:t>
            </a:r>
            <a:r>
              <a:rPr lang="en-US" sz="1200" baseline="0"/>
              <a:t> 600s)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9335120463197"/>
          <c:y val="3.8350672487182602E-2"/>
          <c:w val="0.84190119244699502"/>
          <c:h val="0.72239720034995625"/>
        </c:manualLayout>
      </c:layout>
      <c:scatterChart>
        <c:scatterStyle val="lineMarker"/>
        <c:varyColors val="0"/>
        <c:ser>
          <c:idx val="0"/>
          <c:order val="0"/>
          <c:tx>
            <c:v>Previous</c:v>
          </c:tx>
          <c:spPr>
            <a:ln w="28575">
              <a:noFill/>
            </a:ln>
          </c:spPr>
          <c:xVal>
            <c:numRef>
              <c:f>('After instal'!$AM$6:$AM$13,'After instal'!$AM$30,'After instal'!$AM$33:$AM$35,'After instal'!$AM$64:$AM$82,'After instal'!$AM$112:$AM$117)</c:f>
              <c:numCache>
                <c:formatCode>General</c:formatCode>
                <c:ptCount val="37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18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36</c:v>
                </c:pt>
                <c:pt idx="34">
                  <c:v>54</c:v>
                </c:pt>
                <c:pt idx="35">
                  <c:v>54</c:v>
                </c:pt>
                <c:pt idx="36">
                  <c:v>54</c:v>
                </c:pt>
              </c:numCache>
            </c:numRef>
          </c:xVal>
          <c:yVal>
            <c:numRef>
              <c:f>('After instal'!$AG$6:$AG$13,'After instal'!$AG$30:$AG$35,'After instal'!$AG$64:$AG$82,'After instal'!$AG$112:$AG$117)</c:f>
              <c:numCache>
                <c:formatCode>General</c:formatCode>
                <c:ptCount val="39"/>
                <c:pt idx="0">
                  <c:v>533</c:v>
                </c:pt>
                <c:pt idx="1">
                  <c:v>538</c:v>
                </c:pt>
                <c:pt idx="2">
                  <c:v>494</c:v>
                </c:pt>
                <c:pt idx="3">
                  <c:v>455</c:v>
                </c:pt>
                <c:pt idx="4">
                  <c:v>467</c:v>
                </c:pt>
                <c:pt idx="5">
                  <c:v>477</c:v>
                </c:pt>
                <c:pt idx="6">
                  <c:v>525</c:v>
                </c:pt>
                <c:pt idx="7">
                  <c:v>445</c:v>
                </c:pt>
                <c:pt idx="8">
                  <c:v>40</c:v>
                </c:pt>
                <c:pt idx="11">
                  <c:v>462</c:v>
                </c:pt>
                <c:pt idx="12">
                  <c:v>486</c:v>
                </c:pt>
                <c:pt idx="13">
                  <c:v>508</c:v>
                </c:pt>
                <c:pt idx="14">
                  <c:v>311</c:v>
                </c:pt>
                <c:pt idx="15">
                  <c:v>30</c:v>
                </c:pt>
                <c:pt idx="16">
                  <c:v>232</c:v>
                </c:pt>
                <c:pt idx="17">
                  <c:v>262</c:v>
                </c:pt>
                <c:pt idx="18">
                  <c:v>250</c:v>
                </c:pt>
                <c:pt idx="21">
                  <c:v>418</c:v>
                </c:pt>
                <c:pt idx="22">
                  <c:v>367</c:v>
                </c:pt>
                <c:pt idx="23">
                  <c:v>311</c:v>
                </c:pt>
                <c:pt idx="24">
                  <c:v>418</c:v>
                </c:pt>
                <c:pt idx="25">
                  <c:v>440</c:v>
                </c:pt>
                <c:pt idx="28">
                  <c:v>469</c:v>
                </c:pt>
                <c:pt idx="29">
                  <c:v>489</c:v>
                </c:pt>
                <c:pt idx="30">
                  <c:v>489</c:v>
                </c:pt>
                <c:pt idx="31">
                  <c:v>469</c:v>
                </c:pt>
                <c:pt idx="32">
                  <c:v>416</c:v>
                </c:pt>
                <c:pt idx="33">
                  <c:v>543</c:v>
                </c:pt>
                <c:pt idx="36">
                  <c:v>670</c:v>
                </c:pt>
                <c:pt idx="37">
                  <c:v>589</c:v>
                </c:pt>
                <c:pt idx="38">
                  <c:v>25</c:v>
                </c:pt>
              </c:numCache>
            </c:numRef>
          </c:yVal>
          <c:smooth val="0"/>
        </c:ser>
        <c:ser>
          <c:idx val="3"/>
          <c:order val="1"/>
          <c:tx>
            <c:v>Expected</c:v>
          </c:tx>
          <c:spPr>
            <a:ln w="28575">
              <a:solidFill>
                <a:srgbClr val="777777">
                  <a:alpha val="50000"/>
                </a:srgbClr>
              </a:solidFill>
            </a:ln>
          </c:spPr>
          <c:marker>
            <c:symbol val="none"/>
          </c:marker>
          <c:trendline>
            <c:spPr>
              <a:ln>
                <a:solidFill>
                  <a:srgbClr val="777777"/>
                </a:solidFill>
              </a:ln>
            </c:spPr>
            <c:trendlineType val="log"/>
            <c:dispRSqr val="0"/>
            <c:dispEq val="0"/>
          </c:trendline>
          <c:xVal>
            <c:numRef>
              <c:f>'After software 19May'!$A$8:$A$14</c:f>
              <c:numCache>
                <c:formatCode>General</c:formatCode>
                <c:ptCount val="7"/>
                <c:pt idx="0">
                  <c:v>2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'After software 19May'!$B$8:$B$14</c:f>
              <c:numCache>
                <c:formatCode>General</c:formatCode>
                <c:ptCount val="7"/>
                <c:pt idx="0">
                  <c:v>140</c:v>
                </c:pt>
                <c:pt idx="1">
                  <c:v>490</c:v>
                </c:pt>
                <c:pt idx="2">
                  <c:v>675</c:v>
                </c:pt>
                <c:pt idx="3">
                  <c:v>760</c:v>
                </c:pt>
                <c:pt idx="4">
                  <c:v>840</c:v>
                </c:pt>
                <c:pt idx="5">
                  <c:v>900</c:v>
                </c:pt>
                <c:pt idx="6">
                  <c:v>950</c:v>
                </c:pt>
              </c:numCache>
            </c:numRef>
          </c:yVal>
          <c:smooth val="0"/>
        </c:ser>
        <c:ser>
          <c:idx val="2"/>
          <c:order val="2"/>
          <c:tx>
            <c:v>20/mai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'After software 19May'!$AM$27:$AM$56</c:f>
              <c:numCache>
                <c:formatCode>General</c:formatCode>
                <c:ptCount val="30"/>
                <c:pt idx="0">
                  <c:v>9</c:v>
                </c:pt>
                <c:pt idx="1">
                  <c:v>9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9</c:v>
                </c:pt>
                <c:pt idx="11">
                  <c:v>9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18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54</c:v>
                </c:pt>
                <c:pt idx="24">
                  <c:v>54</c:v>
                </c:pt>
                <c:pt idx="25">
                  <c:v>63</c:v>
                </c:pt>
                <c:pt idx="26">
                  <c:v>45</c:v>
                </c:pt>
                <c:pt idx="27">
                  <c:v>54</c:v>
                </c:pt>
                <c:pt idx="28">
                  <c:v>63</c:v>
                </c:pt>
                <c:pt idx="29">
                  <c:v>63</c:v>
                </c:pt>
              </c:numCache>
            </c:numRef>
          </c:xVal>
          <c:yVal>
            <c:numRef>
              <c:f>'After software 19May'!$AG$27:$AG$56</c:f>
              <c:numCache>
                <c:formatCode>General</c:formatCode>
                <c:ptCount val="30"/>
                <c:pt idx="0">
                  <c:v>352</c:v>
                </c:pt>
                <c:pt idx="1">
                  <c:v>420</c:v>
                </c:pt>
                <c:pt idx="2">
                  <c:v>820</c:v>
                </c:pt>
                <c:pt idx="3">
                  <c:v>714</c:v>
                </c:pt>
                <c:pt idx="4">
                  <c:v>813</c:v>
                </c:pt>
                <c:pt idx="5">
                  <c:v>866</c:v>
                </c:pt>
                <c:pt idx="6">
                  <c:v>823</c:v>
                </c:pt>
                <c:pt idx="7">
                  <c:v>791</c:v>
                </c:pt>
                <c:pt idx="8">
                  <c:v>848</c:v>
                </c:pt>
                <c:pt idx="9">
                  <c:v>859</c:v>
                </c:pt>
                <c:pt idx="10">
                  <c:v>416</c:v>
                </c:pt>
                <c:pt idx="11">
                  <c:v>349</c:v>
                </c:pt>
                <c:pt idx="12">
                  <c:v>604</c:v>
                </c:pt>
                <c:pt idx="13">
                  <c:v>565</c:v>
                </c:pt>
                <c:pt idx="14">
                  <c:v>533</c:v>
                </c:pt>
                <c:pt idx="15">
                  <c:v>515</c:v>
                </c:pt>
                <c:pt idx="16">
                  <c:v>625</c:v>
                </c:pt>
                <c:pt idx="17">
                  <c:v>742</c:v>
                </c:pt>
                <c:pt idx="18">
                  <c:v>717</c:v>
                </c:pt>
                <c:pt idx="19">
                  <c:v>643</c:v>
                </c:pt>
                <c:pt idx="20">
                  <c:v>830</c:v>
                </c:pt>
                <c:pt idx="21">
                  <c:v>884</c:v>
                </c:pt>
                <c:pt idx="22">
                  <c:v>795</c:v>
                </c:pt>
                <c:pt idx="23">
                  <c:v>887</c:v>
                </c:pt>
                <c:pt idx="24">
                  <c:v>958</c:v>
                </c:pt>
                <c:pt idx="25">
                  <c:v>940</c:v>
                </c:pt>
                <c:pt idx="26">
                  <c:v>781</c:v>
                </c:pt>
                <c:pt idx="27">
                  <c:v>937</c:v>
                </c:pt>
                <c:pt idx="28">
                  <c:v>930</c:v>
                </c:pt>
                <c:pt idx="29">
                  <c:v>894</c:v>
                </c:pt>
              </c:numCache>
            </c:numRef>
          </c:yVal>
          <c:smooth val="0"/>
        </c:ser>
        <c:ser>
          <c:idx val="1"/>
          <c:order val="3"/>
          <c:tx>
            <c:v>19/jun</c:v>
          </c:tx>
          <c:spPr>
            <a:ln w="28575">
              <a:noFill/>
            </a:ln>
          </c:spPr>
          <c:marker>
            <c:symbol val="star"/>
            <c:size val="5"/>
            <c:spPr>
              <a:noFill/>
              <a:ln w="9525">
                <a:solidFill>
                  <a:srgbClr val="5C28A8"/>
                </a:solidFill>
              </a:ln>
            </c:spPr>
          </c:marker>
          <c:xVal>
            <c:numRef>
              <c:f>'After capilar 19Jun'!$AO$4:$AO$43</c:f>
              <c:numCache>
                <c:formatCode>General</c:formatCode>
                <c:ptCount val="40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36</c:v>
                </c:pt>
                <c:pt idx="11">
                  <c:v>36</c:v>
                </c:pt>
                <c:pt idx="12">
                  <c:v>36</c:v>
                </c:pt>
                <c:pt idx="13">
                  <c:v>36</c:v>
                </c:pt>
                <c:pt idx="14">
                  <c:v>36</c:v>
                </c:pt>
                <c:pt idx="15">
                  <c:v>36</c:v>
                </c:pt>
                <c:pt idx="16">
                  <c:v>36</c:v>
                </c:pt>
                <c:pt idx="17">
                  <c:v>36</c:v>
                </c:pt>
                <c:pt idx="18">
                  <c:v>36</c:v>
                </c:pt>
                <c:pt idx="19">
                  <c:v>36</c:v>
                </c:pt>
                <c:pt idx="20">
                  <c:v>36</c:v>
                </c:pt>
                <c:pt idx="21">
                  <c:v>36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36</c:v>
                </c:pt>
                <c:pt idx="28">
                  <c:v>36</c:v>
                </c:pt>
                <c:pt idx="29">
                  <c:v>36</c:v>
                </c:pt>
                <c:pt idx="30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</c:numCache>
            </c:numRef>
          </c:xVal>
          <c:yVal>
            <c:numRef>
              <c:f>'After capilar 19Jun'!$AM$4:$AM$43</c:f>
              <c:numCache>
                <c:formatCode>General</c:formatCode>
                <c:ptCount val="40"/>
                <c:pt idx="0">
                  <c:v>887</c:v>
                </c:pt>
                <c:pt idx="1">
                  <c:v>908</c:v>
                </c:pt>
                <c:pt idx="2">
                  <c:v>884</c:v>
                </c:pt>
                <c:pt idx="3">
                  <c:v>830</c:v>
                </c:pt>
                <c:pt idx="4">
                  <c:v>876</c:v>
                </c:pt>
                <c:pt idx="5">
                  <c:v>862</c:v>
                </c:pt>
                <c:pt idx="6">
                  <c:v>876</c:v>
                </c:pt>
                <c:pt idx="7">
                  <c:v>855</c:v>
                </c:pt>
                <c:pt idx="8">
                  <c:v>841</c:v>
                </c:pt>
                <c:pt idx="9">
                  <c:v>891</c:v>
                </c:pt>
                <c:pt idx="10">
                  <c:v>887</c:v>
                </c:pt>
                <c:pt idx="11">
                  <c:v>926</c:v>
                </c:pt>
                <c:pt idx="12">
                  <c:v>901</c:v>
                </c:pt>
                <c:pt idx="13">
                  <c:v>834</c:v>
                </c:pt>
                <c:pt idx="14">
                  <c:v>880</c:v>
                </c:pt>
                <c:pt idx="15">
                  <c:v>848</c:v>
                </c:pt>
                <c:pt idx="16">
                  <c:v>841</c:v>
                </c:pt>
                <c:pt idx="17">
                  <c:v>816</c:v>
                </c:pt>
                <c:pt idx="18">
                  <c:v>855</c:v>
                </c:pt>
                <c:pt idx="19">
                  <c:v>912</c:v>
                </c:pt>
                <c:pt idx="20">
                  <c:v>859</c:v>
                </c:pt>
                <c:pt idx="21">
                  <c:v>891</c:v>
                </c:pt>
                <c:pt idx="22">
                  <c:v>845</c:v>
                </c:pt>
                <c:pt idx="23">
                  <c:v>791</c:v>
                </c:pt>
                <c:pt idx="24">
                  <c:v>869</c:v>
                </c:pt>
                <c:pt idx="25">
                  <c:v>820</c:v>
                </c:pt>
                <c:pt idx="26">
                  <c:v>830</c:v>
                </c:pt>
                <c:pt idx="27">
                  <c:v>869</c:v>
                </c:pt>
                <c:pt idx="28">
                  <c:v>958</c:v>
                </c:pt>
                <c:pt idx="29">
                  <c:v>869</c:v>
                </c:pt>
                <c:pt idx="30">
                  <c:v>912</c:v>
                </c:pt>
                <c:pt idx="33">
                  <c:v>795</c:v>
                </c:pt>
                <c:pt idx="34">
                  <c:v>791</c:v>
                </c:pt>
                <c:pt idx="35">
                  <c:v>937</c:v>
                </c:pt>
                <c:pt idx="36">
                  <c:v>880</c:v>
                </c:pt>
                <c:pt idx="37">
                  <c:v>912</c:v>
                </c:pt>
                <c:pt idx="38">
                  <c:v>816</c:v>
                </c:pt>
                <c:pt idx="39">
                  <c:v>802</c:v>
                </c:pt>
              </c:numCache>
            </c:numRef>
          </c:yVal>
          <c:smooth val="0"/>
        </c:ser>
        <c:ser>
          <c:idx val="7"/>
          <c:order val="4"/>
          <c:tx>
            <c:v>26/jun</c:v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'After capilar 19Jun'!$AO$49:$AO$89</c:f>
              <c:numCache>
                <c:formatCode>General</c:formatCode>
                <c:ptCount val="41"/>
                <c:pt idx="0">
                  <c:v>18</c:v>
                </c:pt>
                <c:pt idx="1">
                  <c:v>18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36</c:v>
                </c:pt>
                <c:pt idx="9">
                  <c:v>36</c:v>
                </c:pt>
                <c:pt idx="12">
                  <c:v>36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18</c:v>
                </c:pt>
                <c:pt idx="19">
                  <c:v>18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54</c:v>
                </c:pt>
                <c:pt idx="26">
                  <c:v>54</c:v>
                </c:pt>
                <c:pt idx="27">
                  <c:v>54</c:v>
                </c:pt>
                <c:pt idx="28">
                  <c:v>54</c:v>
                </c:pt>
                <c:pt idx="29">
                  <c:v>54</c:v>
                </c:pt>
                <c:pt idx="30">
                  <c:v>54</c:v>
                </c:pt>
                <c:pt idx="31">
                  <c:v>45</c:v>
                </c:pt>
                <c:pt idx="32">
                  <c:v>45</c:v>
                </c:pt>
                <c:pt idx="33">
                  <c:v>45</c:v>
                </c:pt>
                <c:pt idx="34">
                  <c:v>45</c:v>
                </c:pt>
                <c:pt idx="35">
                  <c:v>36</c:v>
                </c:pt>
                <c:pt idx="36">
                  <c:v>36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</c:numCache>
            </c:numRef>
          </c:xVal>
          <c:yVal>
            <c:numRef>
              <c:f>'After capilar 19Jun'!$AM$49:$AM$89</c:f>
              <c:numCache>
                <c:formatCode>General</c:formatCode>
                <c:ptCount val="41"/>
                <c:pt idx="0">
                  <c:v>303</c:v>
                </c:pt>
                <c:pt idx="1">
                  <c:v>600</c:v>
                </c:pt>
                <c:pt idx="2">
                  <c:v>398</c:v>
                </c:pt>
                <c:pt idx="3">
                  <c:v>391</c:v>
                </c:pt>
                <c:pt idx="4">
                  <c:v>420</c:v>
                </c:pt>
                <c:pt idx="5">
                  <c:v>515</c:v>
                </c:pt>
                <c:pt idx="6">
                  <c:v>370</c:v>
                </c:pt>
                <c:pt idx="7">
                  <c:v>413</c:v>
                </c:pt>
                <c:pt idx="8">
                  <c:v>887</c:v>
                </c:pt>
                <c:pt idx="9">
                  <c:v>738</c:v>
                </c:pt>
                <c:pt idx="12">
                  <c:v>866</c:v>
                </c:pt>
                <c:pt idx="13">
                  <c:v>728</c:v>
                </c:pt>
                <c:pt idx="14">
                  <c:v>827</c:v>
                </c:pt>
                <c:pt idx="15">
                  <c:v>770</c:v>
                </c:pt>
                <c:pt idx="16">
                  <c:v>760</c:v>
                </c:pt>
                <c:pt idx="17">
                  <c:v>777</c:v>
                </c:pt>
                <c:pt idx="18">
                  <c:v>671</c:v>
                </c:pt>
                <c:pt idx="19">
                  <c:v>600</c:v>
                </c:pt>
                <c:pt idx="22">
                  <c:v>908</c:v>
                </c:pt>
                <c:pt idx="23">
                  <c:v>855</c:v>
                </c:pt>
                <c:pt idx="24">
                  <c:v>731</c:v>
                </c:pt>
                <c:pt idx="25">
                  <c:v>1068</c:v>
                </c:pt>
                <c:pt idx="26">
                  <c:v>965</c:v>
                </c:pt>
                <c:pt idx="27">
                  <c:v>1022</c:v>
                </c:pt>
                <c:pt idx="28">
                  <c:v>979</c:v>
                </c:pt>
                <c:pt idx="29">
                  <c:v>947</c:v>
                </c:pt>
                <c:pt idx="30">
                  <c:v>1004</c:v>
                </c:pt>
                <c:pt idx="31">
                  <c:v>986</c:v>
                </c:pt>
                <c:pt idx="32">
                  <c:v>915</c:v>
                </c:pt>
                <c:pt idx="33">
                  <c:v>954</c:v>
                </c:pt>
                <c:pt idx="34">
                  <c:v>926</c:v>
                </c:pt>
                <c:pt idx="35">
                  <c:v>830</c:v>
                </c:pt>
                <c:pt idx="36">
                  <c:v>788</c:v>
                </c:pt>
                <c:pt idx="37">
                  <c:v>834</c:v>
                </c:pt>
                <c:pt idx="38">
                  <c:v>752</c:v>
                </c:pt>
                <c:pt idx="39">
                  <c:v>866</c:v>
                </c:pt>
                <c:pt idx="40">
                  <c:v>884</c:v>
                </c:pt>
              </c:numCache>
            </c:numRef>
          </c:yVal>
          <c:smooth val="0"/>
        </c:ser>
        <c:ser>
          <c:idx val="8"/>
          <c:order val="5"/>
          <c:tx>
            <c:v>29/jun</c:v>
          </c:tx>
          <c:spPr>
            <a:ln w="28575">
              <a:noFill/>
            </a:ln>
          </c:spPr>
          <c:marker>
            <c:symbol val="circle"/>
            <c:size val="5"/>
            <c:spPr>
              <a:noFill/>
              <a:ln w="15875">
                <a:solidFill>
                  <a:schemeClr val="accent6">
                    <a:lumMod val="75000"/>
                  </a:schemeClr>
                </a:solidFill>
              </a:ln>
            </c:spPr>
          </c:marker>
          <c:xVal>
            <c:numRef>
              <c:f>'After capilar 19Jun'!$AT$95:$AT$136</c:f>
              <c:numCache>
                <c:formatCode>General</c:formatCode>
                <c:ptCount val="4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54</c:v>
                </c:pt>
                <c:pt idx="5">
                  <c:v>54</c:v>
                </c:pt>
                <c:pt idx="6">
                  <c:v>54</c:v>
                </c:pt>
                <c:pt idx="7">
                  <c:v>54</c:v>
                </c:pt>
                <c:pt idx="8">
                  <c:v>54</c:v>
                </c:pt>
                <c:pt idx="9">
                  <c:v>54</c:v>
                </c:pt>
                <c:pt idx="10">
                  <c:v>54</c:v>
                </c:pt>
                <c:pt idx="11">
                  <c:v>45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45</c:v>
                </c:pt>
                <c:pt idx="17">
                  <c:v>45</c:v>
                </c:pt>
                <c:pt idx="18">
                  <c:v>36</c:v>
                </c:pt>
                <c:pt idx="19">
                  <c:v>36</c:v>
                </c:pt>
                <c:pt idx="20">
                  <c:v>36</c:v>
                </c:pt>
                <c:pt idx="21">
                  <c:v>36</c:v>
                </c:pt>
                <c:pt idx="22">
                  <c:v>36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</c:numCache>
            </c:numRef>
          </c:xVal>
          <c:yVal>
            <c:numRef>
              <c:f>'After capilar 19Jun'!$AL$95:$AL$136</c:f>
              <c:numCache>
                <c:formatCode>General</c:formatCode>
                <c:ptCount val="42"/>
                <c:pt idx="0">
                  <c:v>434</c:v>
                </c:pt>
                <c:pt idx="1">
                  <c:v>430</c:v>
                </c:pt>
                <c:pt idx="2">
                  <c:v>444</c:v>
                </c:pt>
                <c:pt idx="3">
                  <c:v>359</c:v>
                </c:pt>
                <c:pt idx="4">
                  <c:v>1043</c:v>
                </c:pt>
                <c:pt idx="5">
                  <c:v>1032</c:v>
                </c:pt>
                <c:pt idx="6">
                  <c:v>1018</c:v>
                </c:pt>
                <c:pt idx="7">
                  <c:v>979</c:v>
                </c:pt>
                <c:pt idx="8">
                  <c:v>1011</c:v>
                </c:pt>
                <c:pt idx="9">
                  <c:v>1046</c:v>
                </c:pt>
                <c:pt idx="10">
                  <c:v>1068</c:v>
                </c:pt>
                <c:pt idx="11">
                  <c:v>1007</c:v>
                </c:pt>
                <c:pt idx="12">
                  <c:v>993</c:v>
                </c:pt>
                <c:pt idx="13">
                  <c:v>997</c:v>
                </c:pt>
                <c:pt idx="14">
                  <c:v>905</c:v>
                </c:pt>
                <c:pt idx="15">
                  <c:v>919</c:v>
                </c:pt>
                <c:pt idx="16">
                  <c:v>926</c:v>
                </c:pt>
                <c:pt idx="17">
                  <c:v>1018</c:v>
                </c:pt>
                <c:pt idx="18">
                  <c:v>855</c:v>
                </c:pt>
                <c:pt idx="19">
                  <c:v>926</c:v>
                </c:pt>
                <c:pt idx="20">
                  <c:v>901</c:v>
                </c:pt>
                <c:pt idx="21">
                  <c:v>834</c:v>
                </c:pt>
                <c:pt idx="22">
                  <c:v>912</c:v>
                </c:pt>
                <c:pt idx="23">
                  <c:v>710</c:v>
                </c:pt>
                <c:pt idx="24">
                  <c:v>809</c:v>
                </c:pt>
                <c:pt idx="25">
                  <c:v>763</c:v>
                </c:pt>
                <c:pt idx="26">
                  <c:v>823</c:v>
                </c:pt>
                <c:pt idx="27">
                  <c:v>728</c:v>
                </c:pt>
                <c:pt idx="28">
                  <c:v>837</c:v>
                </c:pt>
                <c:pt idx="29">
                  <c:v>568</c:v>
                </c:pt>
                <c:pt idx="30">
                  <c:v>579</c:v>
                </c:pt>
                <c:pt idx="31">
                  <c:v>689</c:v>
                </c:pt>
                <c:pt idx="33">
                  <c:v>650</c:v>
                </c:pt>
                <c:pt idx="34">
                  <c:v>657</c:v>
                </c:pt>
                <c:pt idx="35">
                  <c:v>568</c:v>
                </c:pt>
                <c:pt idx="36">
                  <c:v>441</c:v>
                </c:pt>
                <c:pt idx="38">
                  <c:v>321</c:v>
                </c:pt>
                <c:pt idx="39">
                  <c:v>388</c:v>
                </c:pt>
                <c:pt idx="40">
                  <c:v>547</c:v>
                </c:pt>
                <c:pt idx="41">
                  <c:v>487</c:v>
                </c:pt>
              </c:numCache>
            </c:numRef>
          </c:yVal>
          <c:smooth val="0"/>
        </c:ser>
        <c:ser>
          <c:idx val="4"/>
          <c:order val="6"/>
          <c:tx>
            <c:v>07/jul</c:v>
          </c:tx>
          <c:spPr>
            <a:ln w="28575">
              <a:noFill/>
            </a:ln>
          </c:spPr>
          <c:marker>
            <c:symbol val="diamond"/>
            <c:size val="6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'After capilar 19Jun'!$AP$148:$AP$154</c:f>
              <c:numCache>
                <c:formatCode>General</c:formatCode>
                <c:ptCount val="7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</c:numCache>
            </c:numRef>
          </c:xVal>
          <c:yVal>
            <c:numRef>
              <c:f>'After capilar 19Jun'!$AL$148:$AL$154</c:f>
              <c:numCache>
                <c:formatCode>General</c:formatCode>
                <c:ptCount val="7"/>
                <c:pt idx="0">
                  <c:v>717</c:v>
                </c:pt>
                <c:pt idx="1">
                  <c:v>671</c:v>
                </c:pt>
                <c:pt idx="2">
                  <c:v>653</c:v>
                </c:pt>
                <c:pt idx="3">
                  <c:v>660</c:v>
                </c:pt>
                <c:pt idx="4">
                  <c:v>639</c:v>
                </c:pt>
                <c:pt idx="5">
                  <c:v>664</c:v>
                </c:pt>
                <c:pt idx="6">
                  <c:v>646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53824"/>
        <c:axId val="126254400"/>
      </c:scatterChart>
      <c:valAx>
        <c:axId val="126253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mass (ug)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6254400"/>
        <c:crosses val="autoZero"/>
        <c:crossBetween val="midCat"/>
      </c:valAx>
      <c:valAx>
        <c:axId val="12625440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6253824"/>
        <c:crosses val="autoZero"/>
        <c:crossBetween val="midCat"/>
      </c:valAx>
    </c:plotArea>
    <c:legend>
      <c:legendPos val="b"/>
      <c:legendEntry>
        <c:idx val="7"/>
        <c:delete val="1"/>
      </c:legendEntry>
      <c:layout>
        <c:manualLayout>
          <c:xMode val="edge"/>
          <c:yMode val="edge"/>
          <c:x val="3.2185018583342336E-2"/>
          <c:y val="0.908997375328084"/>
          <c:w val="0.9"/>
          <c:h val="5.7406074240719911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" l="0.70000000000000095" r="0.70000000000000095" t="0.750000000000001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</a:t>
            </a:r>
            <a:r>
              <a:rPr lang="en-US" baseline="0"/>
              <a:t> x Intensity </a:t>
            </a:r>
            <a:r>
              <a:rPr lang="en-US" sz="1200" baseline="0"/>
              <a:t>(3drops, 600s)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4281433956557901"/>
          <c:y val="3.8350672487182602E-2"/>
          <c:w val="0.81842195651469696"/>
          <c:h val="0.71647443279076284"/>
        </c:manualLayout>
      </c:layout>
      <c:scatterChart>
        <c:scatterStyle val="lineMarker"/>
        <c:varyColors val="0"/>
        <c:ser>
          <c:idx val="0"/>
          <c:order val="0"/>
          <c:tx>
            <c:v>Previous</c:v>
          </c:tx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('After instal'!$AG$6:$AG$13,'After instal'!$AG$30:$AG$35,'After instal'!$AG$64:$AG$82,'After instal'!$AG$112:$AG$117)</c:f>
              <c:numCache>
                <c:formatCode>General</c:formatCode>
                <c:ptCount val="39"/>
                <c:pt idx="0">
                  <c:v>533</c:v>
                </c:pt>
                <c:pt idx="1">
                  <c:v>538</c:v>
                </c:pt>
                <c:pt idx="2">
                  <c:v>494</c:v>
                </c:pt>
                <c:pt idx="3">
                  <c:v>455</c:v>
                </c:pt>
                <c:pt idx="4">
                  <c:v>467</c:v>
                </c:pt>
                <c:pt idx="5">
                  <c:v>477</c:v>
                </c:pt>
                <c:pt idx="6">
                  <c:v>525</c:v>
                </c:pt>
                <c:pt idx="7">
                  <c:v>445</c:v>
                </c:pt>
                <c:pt idx="8">
                  <c:v>40</c:v>
                </c:pt>
                <c:pt idx="11">
                  <c:v>462</c:v>
                </c:pt>
                <c:pt idx="12">
                  <c:v>486</c:v>
                </c:pt>
                <c:pt idx="13">
                  <c:v>508</c:v>
                </c:pt>
                <c:pt idx="14">
                  <c:v>311</c:v>
                </c:pt>
                <c:pt idx="15">
                  <c:v>30</c:v>
                </c:pt>
                <c:pt idx="16">
                  <c:v>232</c:v>
                </c:pt>
                <c:pt idx="17">
                  <c:v>262</c:v>
                </c:pt>
                <c:pt idx="18">
                  <c:v>250</c:v>
                </c:pt>
                <c:pt idx="21">
                  <c:v>418</c:v>
                </c:pt>
                <c:pt idx="22">
                  <c:v>367</c:v>
                </c:pt>
                <c:pt idx="23">
                  <c:v>311</c:v>
                </c:pt>
                <c:pt idx="24">
                  <c:v>418</c:v>
                </c:pt>
                <c:pt idx="25">
                  <c:v>440</c:v>
                </c:pt>
                <c:pt idx="28">
                  <c:v>469</c:v>
                </c:pt>
                <c:pt idx="29">
                  <c:v>489</c:v>
                </c:pt>
                <c:pt idx="30">
                  <c:v>489</c:v>
                </c:pt>
                <c:pt idx="31">
                  <c:v>469</c:v>
                </c:pt>
                <c:pt idx="32">
                  <c:v>416</c:v>
                </c:pt>
                <c:pt idx="33">
                  <c:v>543</c:v>
                </c:pt>
                <c:pt idx="36">
                  <c:v>670</c:v>
                </c:pt>
                <c:pt idx="37">
                  <c:v>589</c:v>
                </c:pt>
                <c:pt idx="38">
                  <c:v>25</c:v>
                </c:pt>
              </c:numCache>
            </c:numRef>
          </c:xVal>
          <c:yVal>
            <c:numRef>
              <c:f>('After instal'!$AJ$6:$AJ$13,'After instal'!$AJ$30:$AJ$35,'After instal'!$AJ$64:$AJ$82,'After instal'!$AJ$112:$AJ$117)</c:f>
              <c:numCache>
                <c:formatCode>General</c:formatCode>
                <c:ptCount val="39"/>
                <c:pt idx="0">
                  <c:v>1775</c:v>
                </c:pt>
                <c:pt idx="1">
                  <c:v>1729</c:v>
                </c:pt>
                <c:pt idx="2">
                  <c:v>1375</c:v>
                </c:pt>
                <c:pt idx="3">
                  <c:v>1177</c:v>
                </c:pt>
                <c:pt idx="4">
                  <c:v>1187</c:v>
                </c:pt>
                <c:pt idx="5">
                  <c:v>1195</c:v>
                </c:pt>
                <c:pt idx="6">
                  <c:v>1652</c:v>
                </c:pt>
                <c:pt idx="7">
                  <c:v>1146</c:v>
                </c:pt>
                <c:pt idx="8">
                  <c:v>9</c:v>
                </c:pt>
                <c:pt idx="11">
                  <c:v>1355</c:v>
                </c:pt>
                <c:pt idx="12">
                  <c:v>1513</c:v>
                </c:pt>
                <c:pt idx="13">
                  <c:v>1748</c:v>
                </c:pt>
                <c:pt idx="14">
                  <c:v>631</c:v>
                </c:pt>
                <c:pt idx="15">
                  <c:v>12</c:v>
                </c:pt>
                <c:pt idx="16">
                  <c:v>407</c:v>
                </c:pt>
                <c:pt idx="17">
                  <c:v>245</c:v>
                </c:pt>
                <c:pt idx="18">
                  <c:v>435</c:v>
                </c:pt>
                <c:pt idx="21">
                  <c:v>1061</c:v>
                </c:pt>
                <c:pt idx="22">
                  <c:v>888</c:v>
                </c:pt>
                <c:pt idx="23">
                  <c:v>646</c:v>
                </c:pt>
                <c:pt idx="24">
                  <c:v>1149</c:v>
                </c:pt>
                <c:pt idx="25">
                  <c:v>1310</c:v>
                </c:pt>
                <c:pt idx="28">
                  <c:v>1467</c:v>
                </c:pt>
                <c:pt idx="29">
                  <c:v>1527</c:v>
                </c:pt>
                <c:pt idx="30">
                  <c:v>1519</c:v>
                </c:pt>
                <c:pt idx="31">
                  <c:v>1444</c:v>
                </c:pt>
                <c:pt idx="32">
                  <c:v>1112</c:v>
                </c:pt>
                <c:pt idx="33">
                  <c:v>1600</c:v>
                </c:pt>
                <c:pt idx="36">
                  <c:v>3209</c:v>
                </c:pt>
                <c:pt idx="37">
                  <c:v>2731</c:v>
                </c:pt>
                <c:pt idx="38">
                  <c:v>8</c:v>
                </c:pt>
              </c:numCache>
            </c:numRef>
          </c:yVal>
          <c:smooth val="0"/>
        </c:ser>
        <c:ser>
          <c:idx val="3"/>
          <c:order val="1"/>
          <c:tx>
            <c:v>Expected</c:v>
          </c:tx>
          <c:spPr>
            <a:ln w="28575">
              <a:solidFill>
                <a:srgbClr val="777777">
                  <a:alpha val="50000"/>
                </a:srgbClr>
              </a:solidFill>
            </a:ln>
          </c:spPr>
          <c:marker>
            <c:symbol val="none"/>
          </c:marker>
          <c:trendline>
            <c:spPr>
              <a:ln>
                <a:solidFill>
                  <a:srgbClr val="777777"/>
                </a:solidFill>
              </a:ln>
            </c:spPr>
            <c:trendlineType val="poly"/>
            <c:order val="2"/>
            <c:dispRSqr val="0"/>
            <c:dispEq val="0"/>
          </c:trendline>
          <c:xVal>
            <c:numRef>
              <c:f>'After software 19May'!$D$8:$D$17</c:f>
              <c:numCache>
                <c:formatCode>General</c:formatCode>
                <c:ptCount val="10"/>
                <c:pt idx="0">
                  <c:v>100</c:v>
                </c:pt>
                <c:pt idx="1">
                  <c:v>300</c:v>
                </c:pt>
                <c:pt idx="2">
                  <c:v>200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950</c:v>
                </c:pt>
              </c:numCache>
            </c:numRef>
          </c:xVal>
          <c:yVal>
            <c:numRef>
              <c:f>'After software 19May'!$E$8:$E$17</c:f>
              <c:numCache>
                <c:formatCode>General</c:formatCode>
                <c:ptCount val="10"/>
                <c:pt idx="0">
                  <c:v>0</c:v>
                </c:pt>
                <c:pt idx="1">
                  <c:v>900</c:v>
                </c:pt>
                <c:pt idx="2">
                  <c:v>440</c:v>
                </c:pt>
                <c:pt idx="3">
                  <c:v>1600</c:v>
                </c:pt>
                <c:pt idx="4">
                  <c:v>2400</c:v>
                </c:pt>
                <c:pt idx="5">
                  <c:v>3400</c:v>
                </c:pt>
                <c:pt idx="6">
                  <c:v>4500</c:v>
                </c:pt>
                <c:pt idx="7">
                  <c:v>5800</c:v>
                </c:pt>
                <c:pt idx="8">
                  <c:v>7000</c:v>
                </c:pt>
                <c:pt idx="9">
                  <c:v>8000</c:v>
                </c:pt>
              </c:numCache>
            </c:numRef>
          </c:yVal>
          <c:smooth val="0"/>
        </c:ser>
        <c:ser>
          <c:idx val="2"/>
          <c:order val="2"/>
          <c:tx>
            <c:v>20/mai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'After software 19May'!$AG$27:$AG$56</c:f>
              <c:numCache>
                <c:formatCode>General</c:formatCode>
                <c:ptCount val="30"/>
                <c:pt idx="0">
                  <c:v>352</c:v>
                </c:pt>
                <c:pt idx="1">
                  <c:v>420</c:v>
                </c:pt>
                <c:pt idx="2">
                  <c:v>820</c:v>
                </c:pt>
                <c:pt idx="3">
                  <c:v>714</c:v>
                </c:pt>
                <c:pt idx="4">
                  <c:v>813</c:v>
                </c:pt>
                <c:pt idx="5">
                  <c:v>866</c:v>
                </c:pt>
                <c:pt idx="6">
                  <c:v>823</c:v>
                </c:pt>
                <c:pt idx="7">
                  <c:v>791</c:v>
                </c:pt>
                <c:pt idx="8">
                  <c:v>848</c:v>
                </c:pt>
                <c:pt idx="9">
                  <c:v>859</c:v>
                </c:pt>
                <c:pt idx="10">
                  <c:v>416</c:v>
                </c:pt>
                <c:pt idx="11">
                  <c:v>349</c:v>
                </c:pt>
                <c:pt idx="12">
                  <c:v>604</c:v>
                </c:pt>
                <c:pt idx="13">
                  <c:v>565</c:v>
                </c:pt>
                <c:pt idx="14">
                  <c:v>533</c:v>
                </c:pt>
                <c:pt idx="15">
                  <c:v>515</c:v>
                </c:pt>
                <c:pt idx="16">
                  <c:v>625</c:v>
                </c:pt>
                <c:pt idx="17">
                  <c:v>742</c:v>
                </c:pt>
                <c:pt idx="18">
                  <c:v>717</c:v>
                </c:pt>
                <c:pt idx="19">
                  <c:v>643</c:v>
                </c:pt>
                <c:pt idx="20">
                  <c:v>830</c:v>
                </c:pt>
                <c:pt idx="21">
                  <c:v>884</c:v>
                </c:pt>
                <c:pt idx="22">
                  <c:v>795</c:v>
                </c:pt>
                <c:pt idx="23">
                  <c:v>887</c:v>
                </c:pt>
                <c:pt idx="24">
                  <c:v>958</c:v>
                </c:pt>
                <c:pt idx="25">
                  <c:v>940</c:v>
                </c:pt>
                <c:pt idx="26">
                  <c:v>781</c:v>
                </c:pt>
                <c:pt idx="27">
                  <c:v>937</c:v>
                </c:pt>
                <c:pt idx="28">
                  <c:v>930</c:v>
                </c:pt>
                <c:pt idx="29">
                  <c:v>894</c:v>
                </c:pt>
              </c:numCache>
            </c:numRef>
          </c:xVal>
          <c:yVal>
            <c:numRef>
              <c:f>'After software 19May'!$AJ$27:$AJ$56</c:f>
              <c:numCache>
                <c:formatCode>General</c:formatCode>
                <c:ptCount val="30"/>
                <c:pt idx="0">
                  <c:v>911</c:v>
                </c:pt>
                <c:pt idx="1">
                  <c:v>1396</c:v>
                </c:pt>
                <c:pt idx="2">
                  <c:v>4528</c:v>
                </c:pt>
                <c:pt idx="3">
                  <c:v>3564</c:v>
                </c:pt>
                <c:pt idx="4">
                  <c:v>4926</c:v>
                </c:pt>
                <c:pt idx="5">
                  <c:v>5536</c:v>
                </c:pt>
                <c:pt idx="6">
                  <c:v>5235</c:v>
                </c:pt>
                <c:pt idx="7">
                  <c:v>4657</c:v>
                </c:pt>
                <c:pt idx="8">
                  <c:v>4947</c:v>
                </c:pt>
                <c:pt idx="9">
                  <c:v>5676</c:v>
                </c:pt>
                <c:pt idx="10">
                  <c:v>1154</c:v>
                </c:pt>
                <c:pt idx="11">
                  <c:v>898</c:v>
                </c:pt>
                <c:pt idx="12">
                  <c:v>2447</c:v>
                </c:pt>
                <c:pt idx="13">
                  <c:v>1987</c:v>
                </c:pt>
                <c:pt idx="14">
                  <c:v>1686</c:v>
                </c:pt>
                <c:pt idx="15">
                  <c:v>1728</c:v>
                </c:pt>
                <c:pt idx="16">
                  <c:v>2366</c:v>
                </c:pt>
                <c:pt idx="17">
                  <c:v>3404</c:v>
                </c:pt>
                <c:pt idx="18">
                  <c:v>3373</c:v>
                </c:pt>
                <c:pt idx="19">
                  <c:v>2600</c:v>
                </c:pt>
                <c:pt idx="20">
                  <c:v>4586</c:v>
                </c:pt>
                <c:pt idx="21">
                  <c:v>6009</c:v>
                </c:pt>
                <c:pt idx="22">
                  <c:v>4339</c:v>
                </c:pt>
                <c:pt idx="23">
                  <c:v>6357</c:v>
                </c:pt>
                <c:pt idx="24">
                  <c:v>7750</c:v>
                </c:pt>
                <c:pt idx="25">
                  <c:v>8073</c:v>
                </c:pt>
                <c:pt idx="26">
                  <c:v>5264</c:v>
                </c:pt>
                <c:pt idx="27">
                  <c:v>7602</c:v>
                </c:pt>
                <c:pt idx="28">
                  <c:v>7957</c:v>
                </c:pt>
                <c:pt idx="29">
                  <c:v>7509</c:v>
                </c:pt>
              </c:numCache>
            </c:numRef>
          </c:yVal>
          <c:smooth val="0"/>
        </c:ser>
        <c:ser>
          <c:idx val="6"/>
          <c:order val="3"/>
          <c:tx>
            <c:v>08/jun</c:v>
          </c:tx>
          <c:spPr>
            <a:ln w="28575">
              <a:noFill/>
            </a:ln>
          </c:spPr>
          <c:marker>
            <c:symbol val="triangle"/>
            <c:size val="5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xVal>
            <c:numRef>
              <c:f>'After Oring 29May'!$AI$66:$AI$111</c:f>
              <c:numCache>
                <c:formatCode>General</c:formatCode>
                <c:ptCount val="46"/>
                <c:pt idx="0">
                  <c:v>922</c:v>
                </c:pt>
                <c:pt idx="1">
                  <c:v>891</c:v>
                </c:pt>
                <c:pt idx="2">
                  <c:v>891</c:v>
                </c:pt>
                <c:pt idx="3">
                  <c:v>937</c:v>
                </c:pt>
                <c:pt idx="4">
                  <c:v>884</c:v>
                </c:pt>
                <c:pt idx="5">
                  <c:v>784</c:v>
                </c:pt>
                <c:pt idx="6">
                  <c:v>919</c:v>
                </c:pt>
                <c:pt idx="7">
                  <c:v>862</c:v>
                </c:pt>
                <c:pt idx="8">
                  <c:v>979</c:v>
                </c:pt>
                <c:pt idx="9">
                  <c:v>997</c:v>
                </c:pt>
                <c:pt idx="10">
                  <c:v>944</c:v>
                </c:pt>
                <c:pt idx="11">
                  <c:v>915</c:v>
                </c:pt>
                <c:pt idx="12">
                  <c:v>820</c:v>
                </c:pt>
                <c:pt idx="13">
                  <c:v>983</c:v>
                </c:pt>
                <c:pt idx="14">
                  <c:v>837</c:v>
                </c:pt>
                <c:pt idx="15">
                  <c:v>919</c:v>
                </c:pt>
                <c:pt idx="16">
                  <c:v>912</c:v>
                </c:pt>
                <c:pt idx="17">
                  <c:v>848</c:v>
                </c:pt>
                <c:pt idx="18">
                  <c:v>837</c:v>
                </c:pt>
                <c:pt idx="19">
                  <c:v>873</c:v>
                </c:pt>
                <c:pt idx="20">
                  <c:v>908</c:v>
                </c:pt>
                <c:pt idx="21">
                  <c:v>884</c:v>
                </c:pt>
                <c:pt idx="22">
                  <c:v>841</c:v>
                </c:pt>
                <c:pt idx="23">
                  <c:v>905</c:v>
                </c:pt>
                <c:pt idx="24">
                  <c:v>859</c:v>
                </c:pt>
                <c:pt idx="25">
                  <c:v>891</c:v>
                </c:pt>
                <c:pt idx="26">
                  <c:v>926</c:v>
                </c:pt>
                <c:pt idx="27">
                  <c:v>845</c:v>
                </c:pt>
                <c:pt idx="28">
                  <c:v>876</c:v>
                </c:pt>
                <c:pt idx="29">
                  <c:v>908</c:v>
                </c:pt>
                <c:pt idx="30">
                  <c:v>784</c:v>
                </c:pt>
                <c:pt idx="31">
                  <c:v>884</c:v>
                </c:pt>
                <c:pt idx="32">
                  <c:v>901</c:v>
                </c:pt>
                <c:pt idx="33">
                  <c:v>845</c:v>
                </c:pt>
                <c:pt idx="34">
                  <c:v>873</c:v>
                </c:pt>
                <c:pt idx="35">
                  <c:v>806</c:v>
                </c:pt>
                <c:pt idx="36">
                  <c:v>940</c:v>
                </c:pt>
                <c:pt idx="37">
                  <c:v>908</c:v>
                </c:pt>
                <c:pt idx="38">
                  <c:v>841</c:v>
                </c:pt>
                <c:pt idx="39">
                  <c:v>898</c:v>
                </c:pt>
                <c:pt idx="40">
                  <c:v>905</c:v>
                </c:pt>
                <c:pt idx="41">
                  <c:v>876</c:v>
                </c:pt>
                <c:pt idx="42">
                  <c:v>933</c:v>
                </c:pt>
                <c:pt idx="43">
                  <c:v>884</c:v>
                </c:pt>
                <c:pt idx="44">
                  <c:v>930</c:v>
                </c:pt>
                <c:pt idx="45">
                  <c:v>859</c:v>
                </c:pt>
              </c:numCache>
            </c:numRef>
          </c:xVal>
          <c:yVal>
            <c:numRef>
              <c:f>'After Oring 29May'!$AJ$66:$AJ$111</c:f>
              <c:numCache>
                <c:formatCode>General</c:formatCode>
                <c:ptCount val="46"/>
                <c:pt idx="0">
                  <c:v>2938</c:v>
                </c:pt>
                <c:pt idx="1">
                  <c:v>3096</c:v>
                </c:pt>
                <c:pt idx="2">
                  <c:v>3024</c:v>
                </c:pt>
                <c:pt idx="3">
                  <c:v>3249</c:v>
                </c:pt>
                <c:pt idx="4">
                  <c:v>2774</c:v>
                </c:pt>
                <c:pt idx="5">
                  <c:v>2110</c:v>
                </c:pt>
                <c:pt idx="6">
                  <c:v>2785</c:v>
                </c:pt>
                <c:pt idx="7">
                  <c:v>2472</c:v>
                </c:pt>
                <c:pt idx="8">
                  <c:v>2662</c:v>
                </c:pt>
                <c:pt idx="9">
                  <c:v>2638</c:v>
                </c:pt>
                <c:pt idx="10">
                  <c:v>2398</c:v>
                </c:pt>
                <c:pt idx="11">
                  <c:v>2451</c:v>
                </c:pt>
                <c:pt idx="12">
                  <c:v>1778</c:v>
                </c:pt>
                <c:pt idx="13">
                  <c:v>3839</c:v>
                </c:pt>
                <c:pt idx="14">
                  <c:v>2154</c:v>
                </c:pt>
                <c:pt idx="15">
                  <c:v>3170</c:v>
                </c:pt>
                <c:pt idx="16">
                  <c:v>3174</c:v>
                </c:pt>
                <c:pt idx="17">
                  <c:v>2307</c:v>
                </c:pt>
                <c:pt idx="18">
                  <c:v>2333</c:v>
                </c:pt>
                <c:pt idx="19">
                  <c:v>2496</c:v>
                </c:pt>
                <c:pt idx="20">
                  <c:v>2646</c:v>
                </c:pt>
                <c:pt idx="21">
                  <c:v>2786</c:v>
                </c:pt>
                <c:pt idx="22">
                  <c:v>2526</c:v>
                </c:pt>
                <c:pt idx="23">
                  <c:v>2829</c:v>
                </c:pt>
                <c:pt idx="24">
                  <c:v>2731</c:v>
                </c:pt>
                <c:pt idx="25">
                  <c:v>2645</c:v>
                </c:pt>
                <c:pt idx="26">
                  <c:v>3003</c:v>
                </c:pt>
                <c:pt idx="27">
                  <c:v>2548</c:v>
                </c:pt>
                <c:pt idx="28">
                  <c:v>2726</c:v>
                </c:pt>
                <c:pt idx="29">
                  <c:v>2605</c:v>
                </c:pt>
                <c:pt idx="30">
                  <c:v>2046</c:v>
                </c:pt>
                <c:pt idx="31">
                  <c:v>3012</c:v>
                </c:pt>
                <c:pt idx="32">
                  <c:v>2629</c:v>
                </c:pt>
                <c:pt idx="33">
                  <c:v>2514</c:v>
                </c:pt>
                <c:pt idx="34">
                  <c:v>2761</c:v>
                </c:pt>
                <c:pt idx="35">
                  <c:v>2059</c:v>
                </c:pt>
                <c:pt idx="36">
                  <c:v>2984</c:v>
                </c:pt>
                <c:pt idx="37">
                  <c:v>2784</c:v>
                </c:pt>
                <c:pt idx="38">
                  <c:v>2229</c:v>
                </c:pt>
                <c:pt idx="39">
                  <c:v>2616</c:v>
                </c:pt>
                <c:pt idx="40">
                  <c:v>2879</c:v>
                </c:pt>
                <c:pt idx="41">
                  <c:v>2423</c:v>
                </c:pt>
                <c:pt idx="42">
                  <c:v>3068</c:v>
                </c:pt>
                <c:pt idx="43">
                  <c:v>2820</c:v>
                </c:pt>
                <c:pt idx="44">
                  <c:v>2997</c:v>
                </c:pt>
                <c:pt idx="45">
                  <c:v>2612</c:v>
                </c:pt>
              </c:numCache>
            </c:numRef>
          </c:yVal>
          <c:smooth val="0"/>
        </c:ser>
        <c:ser>
          <c:idx val="1"/>
          <c:order val="4"/>
          <c:tx>
            <c:v>19/jun</c:v>
          </c:tx>
          <c:spPr>
            <a:ln w="28575">
              <a:noFill/>
            </a:ln>
          </c:spPr>
          <c:marker>
            <c:symbol val="star"/>
            <c:size val="5"/>
            <c:spPr>
              <a:noFill/>
              <a:ln>
                <a:solidFill>
                  <a:srgbClr val="5C28A8"/>
                </a:solidFill>
              </a:ln>
            </c:spPr>
          </c:marker>
          <c:xVal>
            <c:numRef>
              <c:f>'After capilar 19Jun'!$AM$4:$AM$43</c:f>
              <c:numCache>
                <c:formatCode>General</c:formatCode>
                <c:ptCount val="40"/>
                <c:pt idx="0">
                  <c:v>887</c:v>
                </c:pt>
                <c:pt idx="1">
                  <c:v>908</c:v>
                </c:pt>
                <c:pt idx="2">
                  <c:v>884</c:v>
                </c:pt>
                <c:pt idx="3">
                  <c:v>830</c:v>
                </c:pt>
                <c:pt idx="4">
                  <c:v>876</c:v>
                </c:pt>
                <c:pt idx="5">
                  <c:v>862</c:v>
                </c:pt>
                <c:pt idx="6">
                  <c:v>876</c:v>
                </c:pt>
                <c:pt idx="7">
                  <c:v>855</c:v>
                </c:pt>
                <c:pt idx="8">
                  <c:v>841</c:v>
                </c:pt>
                <c:pt idx="9">
                  <c:v>891</c:v>
                </c:pt>
                <c:pt idx="10">
                  <c:v>887</c:v>
                </c:pt>
                <c:pt idx="11">
                  <c:v>926</c:v>
                </c:pt>
                <c:pt idx="12">
                  <c:v>901</c:v>
                </c:pt>
                <c:pt idx="13">
                  <c:v>834</c:v>
                </c:pt>
                <c:pt idx="14">
                  <c:v>880</c:v>
                </c:pt>
                <c:pt idx="15">
                  <c:v>848</c:v>
                </c:pt>
                <c:pt idx="16">
                  <c:v>841</c:v>
                </c:pt>
                <c:pt idx="17">
                  <c:v>816</c:v>
                </c:pt>
                <c:pt idx="18">
                  <c:v>855</c:v>
                </c:pt>
                <c:pt idx="19">
                  <c:v>912</c:v>
                </c:pt>
                <c:pt idx="20">
                  <c:v>859</c:v>
                </c:pt>
                <c:pt idx="21">
                  <c:v>891</c:v>
                </c:pt>
                <c:pt idx="22">
                  <c:v>845</c:v>
                </c:pt>
                <c:pt idx="23">
                  <c:v>791</c:v>
                </c:pt>
                <c:pt idx="24">
                  <c:v>869</c:v>
                </c:pt>
                <c:pt idx="25">
                  <c:v>820</c:v>
                </c:pt>
                <c:pt idx="26">
                  <c:v>830</c:v>
                </c:pt>
                <c:pt idx="27">
                  <c:v>869</c:v>
                </c:pt>
                <c:pt idx="28">
                  <c:v>958</c:v>
                </c:pt>
                <c:pt idx="29">
                  <c:v>869</c:v>
                </c:pt>
                <c:pt idx="30">
                  <c:v>912</c:v>
                </c:pt>
                <c:pt idx="33">
                  <c:v>795</c:v>
                </c:pt>
                <c:pt idx="34">
                  <c:v>791</c:v>
                </c:pt>
                <c:pt idx="35">
                  <c:v>937</c:v>
                </c:pt>
                <c:pt idx="36">
                  <c:v>880</c:v>
                </c:pt>
                <c:pt idx="37">
                  <c:v>912</c:v>
                </c:pt>
                <c:pt idx="38">
                  <c:v>816</c:v>
                </c:pt>
                <c:pt idx="39">
                  <c:v>802</c:v>
                </c:pt>
              </c:numCache>
            </c:numRef>
          </c:xVal>
          <c:yVal>
            <c:numRef>
              <c:f>'After capilar 19Jun'!$AN$4:$AN$43</c:f>
              <c:numCache>
                <c:formatCode>General</c:formatCode>
                <c:ptCount val="40"/>
                <c:pt idx="0">
                  <c:v>5471</c:v>
                </c:pt>
                <c:pt idx="1">
                  <c:v>8727</c:v>
                </c:pt>
                <c:pt idx="2">
                  <c:v>8433</c:v>
                </c:pt>
                <c:pt idx="3">
                  <c:v>4395</c:v>
                </c:pt>
                <c:pt idx="4">
                  <c:v>5296</c:v>
                </c:pt>
                <c:pt idx="5">
                  <c:v>5051</c:v>
                </c:pt>
                <c:pt idx="6">
                  <c:v>5144</c:v>
                </c:pt>
                <c:pt idx="7">
                  <c:v>4999</c:v>
                </c:pt>
                <c:pt idx="8">
                  <c:v>4682</c:v>
                </c:pt>
                <c:pt idx="9">
                  <c:v>5607</c:v>
                </c:pt>
                <c:pt idx="10">
                  <c:v>5281</c:v>
                </c:pt>
                <c:pt idx="11">
                  <c:v>6380</c:v>
                </c:pt>
                <c:pt idx="12">
                  <c:v>5950</c:v>
                </c:pt>
                <c:pt idx="13">
                  <c:v>4592</c:v>
                </c:pt>
                <c:pt idx="14">
                  <c:v>5738</c:v>
                </c:pt>
                <c:pt idx="15">
                  <c:v>4905</c:v>
                </c:pt>
                <c:pt idx="16">
                  <c:v>4938</c:v>
                </c:pt>
                <c:pt idx="17">
                  <c:v>4271</c:v>
                </c:pt>
                <c:pt idx="18">
                  <c:v>4987</c:v>
                </c:pt>
                <c:pt idx="19">
                  <c:v>5986</c:v>
                </c:pt>
                <c:pt idx="20">
                  <c:v>5115</c:v>
                </c:pt>
                <c:pt idx="21">
                  <c:v>5301</c:v>
                </c:pt>
                <c:pt idx="22">
                  <c:v>4712</c:v>
                </c:pt>
                <c:pt idx="23">
                  <c:v>4041</c:v>
                </c:pt>
                <c:pt idx="24">
                  <c:v>5191</c:v>
                </c:pt>
                <c:pt idx="25">
                  <c:v>4405</c:v>
                </c:pt>
                <c:pt idx="26">
                  <c:v>4494</c:v>
                </c:pt>
                <c:pt idx="27">
                  <c:v>5411</c:v>
                </c:pt>
                <c:pt idx="28">
                  <c:v>7484</c:v>
                </c:pt>
                <c:pt idx="29">
                  <c:v>6238</c:v>
                </c:pt>
                <c:pt idx="30">
                  <c:v>7053</c:v>
                </c:pt>
                <c:pt idx="33">
                  <c:v>8603</c:v>
                </c:pt>
                <c:pt idx="34">
                  <c:v>7581</c:v>
                </c:pt>
                <c:pt idx="35">
                  <c:v>9678</c:v>
                </c:pt>
                <c:pt idx="36">
                  <c:v>7884</c:v>
                </c:pt>
                <c:pt idx="37">
                  <c:v>8791</c:v>
                </c:pt>
                <c:pt idx="38">
                  <c:v>8101</c:v>
                </c:pt>
                <c:pt idx="39">
                  <c:v>5202</c:v>
                </c:pt>
              </c:numCache>
            </c:numRef>
          </c:yVal>
          <c:smooth val="0"/>
        </c:ser>
        <c:ser>
          <c:idx val="7"/>
          <c:order val="5"/>
          <c:tx>
            <c:v>26/jun</c:v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('After capilar 19Jun'!$AM$49:$AM$68,'After capilar 19Jun'!$AQ$71:$AQ$89)</c:f>
              <c:numCache>
                <c:formatCode>General</c:formatCode>
                <c:ptCount val="39"/>
                <c:pt idx="0">
                  <c:v>303</c:v>
                </c:pt>
                <c:pt idx="1">
                  <c:v>600</c:v>
                </c:pt>
                <c:pt idx="2">
                  <c:v>398</c:v>
                </c:pt>
                <c:pt idx="3">
                  <c:v>391</c:v>
                </c:pt>
                <c:pt idx="4">
                  <c:v>420</c:v>
                </c:pt>
                <c:pt idx="5">
                  <c:v>515</c:v>
                </c:pt>
                <c:pt idx="6">
                  <c:v>370</c:v>
                </c:pt>
                <c:pt idx="7">
                  <c:v>413</c:v>
                </c:pt>
                <c:pt idx="8">
                  <c:v>887</c:v>
                </c:pt>
                <c:pt idx="9">
                  <c:v>738</c:v>
                </c:pt>
                <c:pt idx="12">
                  <c:v>866</c:v>
                </c:pt>
                <c:pt idx="13">
                  <c:v>728</c:v>
                </c:pt>
                <c:pt idx="14">
                  <c:v>827</c:v>
                </c:pt>
                <c:pt idx="15">
                  <c:v>770</c:v>
                </c:pt>
                <c:pt idx="16">
                  <c:v>760</c:v>
                </c:pt>
                <c:pt idx="17">
                  <c:v>777</c:v>
                </c:pt>
                <c:pt idx="18">
                  <c:v>671</c:v>
                </c:pt>
                <c:pt idx="19">
                  <c:v>600</c:v>
                </c:pt>
                <c:pt idx="20">
                  <c:v>908</c:v>
                </c:pt>
                <c:pt idx="21">
                  <c:v>855</c:v>
                </c:pt>
                <c:pt idx="22">
                  <c:v>731</c:v>
                </c:pt>
                <c:pt idx="23">
                  <c:v>837</c:v>
                </c:pt>
                <c:pt idx="24">
                  <c:v>965</c:v>
                </c:pt>
                <c:pt idx="25">
                  <c:v>802</c:v>
                </c:pt>
                <c:pt idx="26">
                  <c:v>979</c:v>
                </c:pt>
                <c:pt idx="27">
                  <c:v>947</c:v>
                </c:pt>
                <c:pt idx="28">
                  <c:v>763</c:v>
                </c:pt>
                <c:pt idx="29">
                  <c:v>986</c:v>
                </c:pt>
                <c:pt idx="30">
                  <c:v>915</c:v>
                </c:pt>
                <c:pt idx="31">
                  <c:v>954</c:v>
                </c:pt>
                <c:pt idx="32">
                  <c:v>926</c:v>
                </c:pt>
                <c:pt idx="33">
                  <c:v>830</c:v>
                </c:pt>
                <c:pt idx="34">
                  <c:v>788</c:v>
                </c:pt>
                <c:pt idx="35">
                  <c:v>834</c:v>
                </c:pt>
                <c:pt idx="36">
                  <c:v>752</c:v>
                </c:pt>
                <c:pt idx="37">
                  <c:v>866</c:v>
                </c:pt>
                <c:pt idx="38">
                  <c:v>884</c:v>
                </c:pt>
              </c:numCache>
            </c:numRef>
          </c:xVal>
          <c:yVal>
            <c:numRef>
              <c:f>('After capilar 19Jun'!$AN$49:$AN$68,'After capilar 19Jun'!$AN$71:$AN$89)</c:f>
              <c:numCache>
                <c:formatCode>General</c:formatCode>
                <c:ptCount val="39"/>
                <c:pt idx="0">
                  <c:v>796</c:v>
                </c:pt>
                <c:pt idx="1">
                  <c:v>2879</c:v>
                </c:pt>
                <c:pt idx="2">
                  <c:v>1270</c:v>
                </c:pt>
                <c:pt idx="3">
                  <c:v>1277</c:v>
                </c:pt>
                <c:pt idx="4">
                  <c:v>1432</c:v>
                </c:pt>
                <c:pt idx="5">
                  <c:v>2049</c:v>
                </c:pt>
                <c:pt idx="6">
                  <c:v>1176</c:v>
                </c:pt>
                <c:pt idx="7">
                  <c:v>1490</c:v>
                </c:pt>
                <c:pt idx="8">
                  <c:v>10181</c:v>
                </c:pt>
                <c:pt idx="9">
                  <c:v>5571</c:v>
                </c:pt>
                <c:pt idx="12">
                  <c:v>7929</c:v>
                </c:pt>
                <c:pt idx="13">
                  <c:v>4989</c:v>
                </c:pt>
                <c:pt idx="14">
                  <c:v>6661</c:v>
                </c:pt>
                <c:pt idx="15">
                  <c:v>5039</c:v>
                </c:pt>
                <c:pt idx="16">
                  <c:v>5765</c:v>
                </c:pt>
                <c:pt idx="17">
                  <c:v>5861</c:v>
                </c:pt>
                <c:pt idx="18">
                  <c:v>4076</c:v>
                </c:pt>
                <c:pt idx="19">
                  <c:v>3360</c:v>
                </c:pt>
                <c:pt idx="20">
                  <c:v>7922</c:v>
                </c:pt>
                <c:pt idx="21">
                  <c:v>6557</c:v>
                </c:pt>
                <c:pt idx="22">
                  <c:v>2815</c:v>
                </c:pt>
                <c:pt idx="23">
                  <c:v>6225</c:v>
                </c:pt>
                <c:pt idx="24">
                  <c:v>11260</c:v>
                </c:pt>
                <c:pt idx="25">
                  <c:v>6664</c:v>
                </c:pt>
                <c:pt idx="26">
                  <c:v>12256</c:v>
                </c:pt>
                <c:pt idx="27">
                  <c:v>10563</c:v>
                </c:pt>
                <c:pt idx="28">
                  <c:v>5387</c:v>
                </c:pt>
                <c:pt idx="29">
                  <c:v>11312</c:v>
                </c:pt>
                <c:pt idx="30">
                  <c:v>10347</c:v>
                </c:pt>
                <c:pt idx="31">
                  <c:v>11198</c:v>
                </c:pt>
                <c:pt idx="32">
                  <c:v>12166</c:v>
                </c:pt>
                <c:pt idx="33">
                  <c:v>7196</c:v>
                </c:pt>
                <c:pt idx="34">
                  <c:v>6617</c:v>
                </c:pt>
                <c:pt idx="35">
                  <c:v>8394</c:v>
                </c:pt>
                <c:pt idx="36">
                  <c:v>6031</c:v>
                </c:pt>
                <c:pt idx="37">
                  <c:v>8146</c:v>
                </c:pt>
                <c:pt idx="38">
                  <c:v>6557</c:v>
                </c:pt>
              </c:numCache>
            </c:numRef>
          </c:yVal>
          <c:smooth val="0"/>
        </c:ser>
        <c:ser>
          <c:idx val="8"/>
          <c:order val="6"/>
          <c:tx>
            <c:v>29/jun</c:v>
          </c:tx>
          <c:spPr>
            <a:ln w="28575">
              <a:noFill/>
            </a:ln>
          </c:spPr>
          <c:marker>
            <c:symbol val="circle"/>
            <c:size val="5"/>
            <c:spPr>
              <a:noFill/>
              <a:ln w="15875">
                <a:solidFill>
                  <a:schemeClr val="accent6">
                    <a:lumMod val="75000"/>
                  </a:schemeClr>
                </a:solidFill>
              </a:ln>
            </c:spPr>
          </c:marker>
          <c:xVal>
            <c:numRef>
              <c:f>'After capilar 19Jun'!$AS$95:$AS$136</c:f>
              <c:numCache>
                <c:formatCode>General</c:formatCode>
                <c:ptCount val="42"/>
                <c:pt idx="0">
                  <c:v>434</c:v>
                </c:pt>
                <c:pt idx="1">
                  <c:v>430</c:v>
                </c:pt>
                <c:pt idx="2">
                  <c:v>444</c:v>
                </c:pt>
                <c:pt idx="3">
                  <c:v>359</c:v>
                </c:pt>
                <c:pt idx="4">
                  <c:v>806</c:v>
                </c:pt>
                <c:pt idx="5">
                  <c:v>802</c:v>
                </c:pt>
                <c:pt idx="6">
                  <c:v>781</c:v>
                </c:pt>
                <c:pt idx="7">
                  <c:v>979</c:v>
                </c:pt>
                <c:pt idx="8">
                  <c:v>763</c:v>
                </c:pt>
                <c:pt idx="9">
                  <c:v>791</c:v>
                </c:pt>
                <c:pt idx="10">
                  <c:v>820</c:v>
                </c:pt>
                <c:pt idx="11">
                  <c:v>763</c:v>
                </c:pt>
                <c:pt idx="12">
                  <c:v>993</c:v>
                </c:pt>
                <c:pt idx="13">
                  <c:v>997</c:v>
                </c:pt>
                <c:pt idx="14">
                  <c:v>905</c:v>
                </c:pt>
                <c:pt idx="15">
                  <c:v>919</c:v>
                </c:pt>
                <c:pt idx="16">
                  <c:v>926</c:v>
                </c:pt>
                <c:pt idx="17">
                  <c:v>760</c:v>
                </c:pt>
                <c:pt idx="18">
                  <c:v>855</c:v>
                </c:pt>
                <c:pt idx="19">
                  <c:v>926</c:v>
                </c:pt>
                <c:pt idx="20">
                  <c:v>901</c:v>
                </c:pt>
                <c:pt idx="21">
                  <c:v>834</c:v>
                </c:pt>
                <c:pt idx="22">
                  <c:v>912</c:v>
                </c:pt>
                <c:pt idx="23">
                  <c:v>710</c:v>
                </c:pt>
                <c:pt idx="24">
                  <c:v>809</c:v>
                </c:pt>
                <c:pt idx="25">
                  <c:v>763</c:v>
                </c:pt>
                <c:pt idx="26">
                  <c:v>823</c:v>
                </c:pt>
                <c:pt idx="27">
                  <c:v>728</c:v>
                </c:pt>
                <c:pt idx="28">
                  <c:v>837</c:v>
                </c:pt>
                <c:pt idx="29">
                  <c:v>568</c:v>
                </c:pt>
                <c:pt idx="30">
                  <c:v>579</c:v>
                </c:pt>
                <c:pt idx="31">
                  <c:v>689</c:v>
                </c:pt>
                <c:pt idx="33">
                  <c:v>650</c:v>
                </c:pt>
                <c:pt idx="34">
                  <c:v>657</c:v>
                </c:pt>
                <c:pt idx="35">
                  <c:v>568</c:v>
                </c:pt>
                <c:pt idx="36">
                  <c:v>441</c:v>
                </c:pt>
                <c:pt idx="38">
                  <c:v>321</c:v>
                </c:pt>
                <c:pt idx="39">
                  <c:v>388</c:v>
                </c:pt>
                <c:pt idx="40">
                  <c:v>547</c:v>
                </c:pt>
                <c:pt idx="41">
                  <c:v>487</c:v>
                </c:pt>
              </c:numCache>
            </c:numRef>
          </c:xVal>
          <c:yVal>
            <c:numRef>
              <c:f>'After capilar 19Jun'!$AM$95:$AM$136</c:f>
              <c:numCache>
                <c:formatCode>General</c:formatCode>
                <c:ptCount val="42"/>
                <c:pt idx="0">
                  <c:v>1490</c:v>
                </c:pt>
                <c:pt idx="1">
                  <c:v>1543</c:v>
                </c:pt>
                <c:pt idx="2">
                  <c:v>1581</c:v>
                </c:pt>
                <c:pt idx="3">
                  <c:v>1075</c:v>
                </c:pt>
                <c:pt idx="4">
                  <c:v>5794</c:v>
                </c:pt>
                <c:pt idx="5">
                  <c:v>5765</c:v>
                </c:pt>
                <c:pt idx="6">
                  <c:v>5307</c:v>
                </c:pt>
                <c:pt idx="7">
                  <c:v>10168</c:v>
                </c:pt>
                <c:pt idx="8">
                  <c:v>5000</c:v>
                </c:pt>
                <c:pt idx="9">
                  <c:v>5378</c:v>
                </c:pt>
                <c:pt idx="10">
                  <c:v>5803</c:v>
                </c:pt>
                <c:pt idx="11">
                  <c:v>4929</c:v>
                </c:pt>
                <c:pt idx="12">
                  <c:v>10369</c:v>
                </c:pt>
                <c:pt idx="13">
                  <c:v>10687</c:v>
                </c:pt>
                <c:pt idx="14">
                  <c:v>9707</c:v>
                </c:pt>
                <c:pt idx="15">
                  <c:v>10278</c:v>
                </c:pt>
                <c:pt idx="16">
                  <c:v>8799</c:v>
                </c:pt>
                <c:pt idx="17">
                  <c:v>4711</c:v>
                </c:pt>
                <c:pt idx="18">
                  <c:v>5995</c:v>
                </c:pt>
                <c:pt idx="19">
                  <c:v>8204</c:v>
                </c:pt>
                <c:pt idx="20">
                  <c:v>7327</c:v>
                </c:pt>
                <c:pt idx="21">
                  <c:v>7508</c:v>
                </c:pt>
                <c:pt idx="22">
                  <c:v>8780</c:v>
                </c:pt>
                <c:pt idx="23">
                  <c:v>4182</c:v>
                </c:pt>
                <c:pt idx="24">
                  <c:v>5678</c:v>
                </c:pt>
                <c:pt idx="25">
                  <c:v>4950</c:v>
                </c:pt>
                <c:pt idx="26">
                  <c:v>6226</c:v>
                </c:pt>
                <c:pt idx="27">
                  <c:v>4482</c:v>
                </c:pt>
                <c:pt idx="28">
                  <c:v>6107</c:v>
                </c:pt>
                <c:pt idx="29">
                  <c:v>2576</c:v>
                </c:pt>
                <c:pt idx="30">
                  <c:v>2573</c:v>
                </c:pt>
                <c:pt idx="31">
                  <c:v>3924</c:v>
                </c:pt>
                <c:pt idx="33">
                  <c:v>3521</c:v>
                </c:pt>
                <c:pt idx="34">
                  <c:v>3972</c:v>
                </c:pt>
                <c:pt idx="35">
                  <c:v>2890</c:v>
                </c:pt>
                <c:pt idx="36">
                  <c:v>1293</c:v>
                </c:pt>
                <c:pt idx="38">
                  <c:v>969</c:v>
                </c:pt>
                <c:pt idx="39">
                  <c:v>1347</c:v>
                </c:pt>
                <c:pt idx="40">
                  <c:v>2816</c:v>
                </c:pt>
                <c:pt idx="41">
                  <c:v>2138</c:v>
                </c:pt>
              </c:numCache>
            </c:numRef>
          </c:yVal>
          <c:smooth val="0"/>
        </c:ser>
        <c:ser>
          <c:idx val="4"/>
          <c:order val="7"/>
          <c:tx>
            <c:v>07/jul</c:v>
          </c:tx>
          <c:spPr>
            <a:ln w="28575">
              <a:noFill/>
            </a:ln>
          </c:spPr>
          <c:marker>
            <c:symbol val="diamond"/>
            <c:size val="6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'After capilar 19Jun'!$AL$148:$AL$154</c:f>
              <c:numCache>
                <c:formatCode>General</c:formatCode>
                <c:ptCount val="7"/>
                <c:pt idx="0">
                  <c:v>717</c:v>
                </c:pt>
                <c:pt idx="1">
                  <c:v>671</c:v>
                </c:pt>
                <c:pt idx="2">
                  <c:v>653</c:v>
                </c:pt>
                <c:pt idx="3">
                  <c:v>660</c:v>
                </c:pt>
                <c:pt idx="4">
                  <c:v>639</c:v>
                </c:pt>
                <c:pt idx="5">
                  <c:v>664</c:v>
                </c:pt>
                <c:pt idx="6">
                  <c:v>646</c:v>
                </c:pt>
              </c:numCache>
            </c:numRef>
          </c:xVal>
          <c:yVal>
            <c:numRef>
              <c:f>'After capilar 19Jun'!$AM$148:$AM$154</c:f>
              <c:numCache>
                <c:formatCode>General</c:formatCode>
                <c:ptCount val="7"/>
                <c:pt idx="0">
                  <c:v>5337</c:v>
                </c:pt>
                <c:pt idx="1">
                  <c:v>4512</c:v>
                </c:pt>
                <c:pt idx="2">
                  <c:v>4257</c:v>
                </c:pt>
                <c:pt idx="3">
                  <c:v>4013</c:v>
                </c:pt>
                <c:pt idx="4">
                  <c:v>3610</c:v>
                </c:pt>
                <c:pt idx="5">
                  <c:v>4211</c:v>
                </c:pt>
                <c:pt idx="6">
                  <c:v>3844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53440"/>
        <c:axId val="126454016"/>
      </c:scatterChart>
      <c:valAx>
        <c:axId val="126453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6454016"/>
        <c:crosses val="autoZero"/>
        <c:crossBetween val="midCat"/>
      </c:valAx>
      <c:valAx>
        <c:axId val="12645401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Initial intensity (mV)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6453440"/>
        <c:crosses val="autoZero"/>
        <c:crossBetween val="midCat"/>
      </c:valAx>
    </c:plotArea>
    <c:legend>
      <c:legendPos val="b"/>
      <c:legendEntry>
        <c:idx val="8"/>
        <c:delete val="1"/>
      </c:legendEntry>
      <c:layout>
        <c:manualLayout>
          <c:xMode val="edge"/>
          <c:yMode val="edge"/>
          <c:x val="8.573637113996356E-3"/>
          <c:y val="0.8714124054651271"/>
          <c:w val="0.97397845236067626"/>
          <c:h val="0.10961526251906259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" l="0.70000000000000095" r="0.70000000000000095" t="0.750000000000002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Pressure</a:t>
            </a:r>
            <a:r>
              <a:rPr lang="en-US" baseline="0"/>
              <a:t> vs Mass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([1]Plan1!$C$5,[1]Plan1!$C$17,[1]Plan1!$C$29,[1]Plan1!$C$41,[1]Plan1!$C$53,[1]Plan1!$C$65,[1]Plan1!$C$77,[1]Plan1!$C$89,[1]Plan1!$C$101,[1]Plan1!$C$113,[1]Plan1!$C$125,[1]Plan1!$C$137,[1]Plan1!$C$149,[1]Plan1!$C$161,[1]Plan1!$C$173)</c:f>
              <c:numCache>
                <c:formatCode>General</c:formatCode>
                <c:ptCount val="15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36</c:v>
                </c:pt>
                <c:pt idx="12">
                  <c:v>36</c:v>
                </c:pt>
                <c:pt idx="13">
                  <c:v>36</c:v>
                </c:pt>
                <c:pt idx="14">
                  <c:v>36</c:v>
                </c:pt>
              </c:numCache>
            </c:numRef>
          </c:xVal>
          <c:yVal>
            <c:numRef>
              <c:f>([1]Plan1!$B$8,[1]Plan1!$B$20,[1]Plan1!$B$32,[1]Plan1!$B$44,[1]Plan1!$B$56,[1]Plan1!$B$68,[1]Plan1!$B$80,[1]Plan1!$B$92,[1]Plan1!$B$104,[1]Plan1!$B$116,[1]Plan1!$B$128,[1]Plan1!$B$140,[1]Plan1!$B$152,[1]Plan1!$B$164,[1]Plan1!$B$176)</c:f>
              <c:numCache>
                <c:formatCode>General</c:formatCode>
                <c:ptCount val="15"/>
                <c:pt idx="0">
                  <c:v>444</c:v>
                </c:pt>
                <c:pt idx="1">
                  <c:v>494</c:v>
                </c:pt>
                <c:pt idx="2">
                  <c:v>466</c:v>
                </c:pt>
                <c:pt idx="3">
                  <c:v>632</c:v>
                </c:pt>
                <c:pt idx="4">
                  <c:v>600</c:v>
                </c:pt>
                <c:pt idx="5">
                  <c:v>639</c:v>
                </c:pt>
                <c:pt idx="6">
                  <c:v>494</c:v>
                </c:pt>
                <c:pt idx="7">
                  <c:v>770</c:v>
                </c:pt>
                <c:pt idx="8">
                  <c:v>752</c:v>
                </c:pt>
                <c:pt idx="9">
                  <c:v>653</c:v>
                </c:pt>
                <c:pt idx="10">
                  <c:v>767</c:v>
                </c:pt>
                <c:pt idx="11">
                  <c:v>837</c:v>
                </c:pt>
                <c:pt idx="12">
                  <c:v>837</c:v>
                </c:pt>
                <c:pt idx="13">
                  <c:v>891</c:v>
                </c:pt>
                <c:pt idx="14">
                  <c:v>841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56896"/>
        <c:axId val="126457472"/>
      </c:scatterChart>
      <c:valAx>
        <c:axId val="12645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457472"/>
        <c:crosses val="autoZero"/>
        <c:crossBetween val="midCat"/>
      </c:valAx>
      <c:valAx>
        <c:axId val="12645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45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Signal vs</a:t>
            </a:r>
            <a:r>
              <a:rPr lang="en-US" baseline="0"/>
              <a:t> Pressure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([1]Plan1!$B$8,[1]Plan1!$B$20,[1]Plan1!$B$32,[1]Plan1!$B$44,[1]Plan1!$B$56,[1]Plan1!$B$68,[1]Plan1!$B$80,[1]Plan1!$B$92,[1]Plan1!$B$104,[1]Plan1!$B$116,[1]Plan1!$B$128,[1]Plan1!$B$140,[1]Plan1!$B$152,[1]Plan1!$B$164,[1]Plan1!$B$176)</c:f>
              <c:numCache>
                <c:formatCode>General</c:formatCode>
                <c:ptCount val="15"/>
                <c:pt idx="0">
                  <c:v>444</c:v>
                </c:pt>
                <c:pt idx="1">
                  <c:v>494</c:v>
                </c:pt>
                <c:pt idx="2">
                  <c:v>466</c:v>
                </c:pt>
                <c:pt idx="3">
                  <c:v>632</c:v>
                </c:pt>
                <c:pt idx="4">
                  <c:v>600</c:v>
                </c:pt>
                <c:pt idx="5">
                  <c:v>639</c:v>
                </c:pt>
                <c:pt idx="6">
                  <c:v>494</c:v>
                </c:pt>
                <c:pt idx="7">
                  <c:v>770</c:v>
                </c:pt>
                <c:pt idx="8">
                  <c:v>752</c:v>
                </c:pt>
                <c:pt idx="9">
                  <c:v>653</c:v>
                </c:pt>
                <c:pt idx="10">
                  <c:v>767</c:v>
                </c:pt>
                <c:pt idx="11">
                  <c:v>837</c:v>
                </c:pt>
                <c:pt idx="12">
                  <c:v>837</c:v>
                </c:pt>
                <c:pt idx="13">
                  <c:v>891</c:v>
                </c:pt>
                <c:pt idx="14">
                  <c:v>841</c:v>
                </c:pt>
              </c:numCache>
            </c:numRef>
          </c:xVal>
          <c:yVal>
            <c:numRef>
              <c:f>([1]Plan1!$B$11,[1]Plan1!$B$23,[1]Plan1!$B$35,[1]Plan1!$B$47,[1]Plan1!$B$59,[1]Plan1!$B$71,[1]Plan1!$B$83,[1]Plan1!$B$95,[1]Plan1!$B$107,[1]Plan1!$B$119,[1]Plan1!$B$131,[1]Plan1!$B$143,[1]Plan1!$B$155,[1]Plan1!$B$167,[1]Plan1!$B$179)</c:f>
              <c:numCache>
                <c:formatCode>General</c:formatCode>
                <c:ptCount val="15"/>
                <c:pt idx="0">
                  <c:v>1828.71</c:v>
                </c:pt>
                <c:pt idx="1">
                  <c:v>2377.2600000000002</c:v>
                </c:pt>
                <c:pt idx="2">
                  <c:v>2008.04</c:v>
                </c:pt>
                <c:pt idx="3">
                  <c:v>3889.05</c:v>
                </c:pt>
                <c:pt idx="4">
                  <c:v>3440.24</c:v>
                </c:pt>
                <c:pt idx="5">
                  <c:v>3809.05</c:v>
                </c:pt>
                <c:pt idx="6">
                  <c:v>2435.92</c:v>
                </c:pt>
                <c:pt idx="7">
                  <c:v>6700.88</c:v>
                </c:pt>
                <c:pt idx="8">
                  <c:v>5856.5</c:v>
                </c:pt>
                <c:pt idx="9">
                  <c:v>3646.66</c:v>
                </c:pt>
                <c:pt idx="10">
                  <c:v>5735.82</c:v>
                </c:pt>
                <c:pt idx="11">
                  <c:v>7555.78</c:v>
                </c:pt>
                <c:pt idx="12">
                  <c:v>7197.33</c:v>
                </c:pt>
                <c:pt idx="13">
                  <c:v>9164.5400000000009</c:v>
                </c:pt>
                <c:pt idx="14">
                  <c:v>7557.75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59200"/>
        <c:axId val="127000576"/>
      </c:scatterChart>
      <c:valAx>
        <c:axId val="12645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000576"/>
        <c:crosses val="autoZero"/>
        <c:crossBetween val="midCat"/>
      </c:valAx>
      <c:valAx>
        <c:axId val="12700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459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Delta</a:t>
            </a:r>
            <a:r>
              <a:rPr lang="en-US" baseline="0"/>
              <a:t> vs Signal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3534447490834424E-2"/>
          <c:y val="0.12030004331427778"/>
          <c:w val="0.93257429854468232"/>
          <c:h val="0.86188517221511673"/>
        </c:manualLayout>
      </c:layout>
      <c:scatterChart>
        <c:scatterStyle val="lineMarker"/>
        <c:varyColors val="0"/>
        <c:ser>
          <c:idx val="0"/>
          <c:order val="0"/>
          <c:tx>
            <c:v>dC Mean vs Signal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([1]Plan1!$B$11,[1]Plan1!$B$23,[1]Plan1!$B$35,[1]Plan1!$B$47,[1]Plan1!$B$59,[1]Plan1!$B$71,[1]Plan1!$B$83,[1]Plan1!$B$95,[1]Plan1!$B$107,[1]Plan1!$B$119,[1]Plan1!$B$131,[1]Plan1!$B$143,[1]Plan1!$B$155,[1]Plan1!$B$167,[1]Plan1!$B$179)</c:f>
              <c:numCache>
                <c:formatCode>General</c:formatCode>
                <c:ptCount val="15"/>
                <c:pt idx="0">
                  <c:v>1828.71</c:v>
                </c:pt>
                <c:pt idx="1">
                  <c:v>2377.2600000000002</c:v>
                </c:pt>
                <c:pt idx="2">
                  <c:v>2008.04</c:v>
                </c:pt>
                <c:pt idx="3">
                  <c:v>3889.05</c:v>
                </c:pt>
                <c:pt idx="4">
                  <c:v>3440.24</c:v>
                </c:pt>
                <c:pt idx="5">
                  <c:v>3809.05</c:v>
                </c:pt>
                <c:pt idx="6">
                  <c:v>2435.92</c:v>
                </c:pt>
                <c:pt idx="7">
                  <c:v>6700.88</c:v>
                </c:pt>
                <c:pt idx="8">
                  <c:v>5856.5</c:v>
                </c:pt>
                <c:pt idx="9">
                  <c:v>3646.66</c:v>
                </c:pt>
                <c:pt idx="10">
                  <c:v>5735.82</c:v>
                </c:pt>
                <c:pt idx="11">
                  <c:v>7555.78</c:v>
                </c:pt>
                <c:pt idx="12">
                  <c:v>7197.33</c:v>
                </c:pt>
                <c:pt idx="13">
                  <c:v>9164.5400000000009</c:v>
                </c:pt>
                <c:pt idx="14">
                  <c:v>7557.75</c:v>
                </c:pt>
              </c:numCache>
            </c:numRef>
          </c:xVal>
          <c:yVal>
            <c:numRef>
              <c:f>([1]Plan1!$H$5,[1]Plan1!$H$17,[1]Plan1!$H$29,[1]Plan1!$H$41,[1]Plan1!$H$53,[1]Plan1!$H$65,[1]Plan1!$H$77,[1]Plan1!$H$89,[1]Plan1!$H$101,[1]Plan1!$H$114,[1]Plan1!$H$125,[1]Plan1!$H$137,[1]Plan1!$H$150,[1]Plan1!$H$161,[1]Plan1!$H$173)</c:f>
              <c:numCache>
                <c:formatCode>General</c:formatCode>
                <c:ptCount val="15"/>
                <c:pt idx="0">
                  <c:v>1.5229999999999999</c:v>
                </c:pt>
                <c:pt idx="1">
                  <c:v>1.597</c:v>
                </c:pt>
                <c:pt idx="2">
                  <c:v>1.7310000000000001</c:v>
                </c:pt>
                <c:pt idx="3">
                  <c:v>1.855</c:v>
                </c:pt>
                <c:pt idx="4">
                  <c:v>1.6279999999999999</c:v>
                </c:pt>
                <c:pt idx="5">
                  <c:v>1.7569999999999999</c:v>
                </c:pt>
                <c:pt idx="6">
                  <c:v>1.621</c:v>
                </c:pt>
                <c:pt idx="7">
                  <c:v>1.895</c:v>
                </c:pt>
                <c:pt idx="8">
                  <c:v>1.895</c:v>
                </c:pt>
                <c:pt idx="10">
                  <c:v>1.9159999999999999</c:v>
                </c:pt>
                <c:pt idx="11">
                  <c:v>1.9079999999999999</c:v>
                </c:pt>
                <c:pt idx="13">
                  <c:v>1.919</c:v>
                </c:pt>
                <c:pt idx="14">
                  <c:v>1.92</c:v>
                </c:pt>
              </c:numCache>
            </c:numRef>
          </c:yVal>
          <c:smooth val="0"/>
        </c:ser>
        <c:ser>
          <c:idx val="1"/>
          <c:order val="1"/>
          <c:tx>
            <c:v>dO Mean vc SIgnal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([1]Plan1!$B$11,[1]Plan1!$B$23,[1]Plan1!$B$35,[1]Plan1!$B$47,[1]Plan1!$B$59,[1]Plan1!$B$71,[1]Plan1!$B$83,[1]Plan1!$B$95,[1]Plan1!$B$107,[1]Plan1!$B$119,[1]Plan1!$B$131,[1]Plan1!$B$143,[1]Plan1!$B$155,[1]Plan1!$B$167,[1]Plan1!$B$179)</c:f>
              <c:numCache>
                <c:formatCode>General</c:formatCode>
                <c:ptCount val="15"/>
                <c:pt idx="0">
                  <c:v>1828.71</c:v>
                </c:pt>
                <c:pt idx="1">
                  <c:v>2377.2600000000002</c:v>
                </c:pt>
                <c:pt idx="2">
                  <c:v>2008.04</c:v>
                </c:pt>
                <c:pt idx="3">
                  <c:v>3889.05</c:v>
                </c:pt>
                <c:pt idx="4">
                  <c:v>3440.24</c:v>
                </c:pt>
                <c:pt idx="5">
                  <c:v>3809.05</c:v>
                </c:pt>
                <c:pt idx="6">
                  <c:v>2435.92</c:v>
                </c:pt>
                <c:pt idx="7">
                  <c:v>6700.88</c:v>
                </c:pt>
                <c:pt idx="8">
                  <c:v>5856.5</c:v>
                </c:pt>
                <c:pt idx="9">
                  <c:v>3646.66</c:v>
                </c:pt>
                <c:pt idx="10">
                  <c:v>5735.82</c:v>
                </c:pt>
                <c:pt idx="11">
                  <c:v>7555.78</c:v>
                </c:pt>
                <c:pt idx="12">
                  <c:v>7197.33</c:v>
                </c:pt>
                <c:pt idx="13">
                  <c:v>9164.5400000000009</c:v>
                </c:pt>
                <c:pt idx="14">
                  <c:v>7557.75</c:v>
                </c:pt>
              </c:numCache>
            </c:numRef>
          </c:xVal>
          <c:yVal>
            <c:numRef>
              <c:f>([1]Plan1!$K$5,[1]Plan1!$K$17,[1]Plan1!$K$29,[1]Plan1!$K$41,[1]Plan1!$K$53,[1]Plan1!$K$65,[1]Plan1!$K$77,[1]Plan1!$K$89,[1]Plan1!$K$101,[1]Plan1!$K$114,[1]Plan1!$K$125,[1]Plan1!$K$137,[1]Plan1!$K$150,[1]Plan1!$K$161,[1]Plan1!$K$173)</c:f>
              <c:numCache>
                <c:formatCode>General</c:formatCode>
                <c:ptCount val="15"/>
                <c:pt idx="0">
                  <c:v>-3.3050000000000002</c:v>
                </c:pt>
                <c:pt idx="1">
                  <c:v>-3.427</c:v>
                </c:pt>
                <c:pt idx="2">
                  <c:v>-3.1850000000000001</c:v>
                </c:pt>
                <c:pt idx="3">
                  <c:v>-2.8490000000000002</c:v>
                </c:pt>
                <c:pt idx="4">
                  <c:v>-3.1059999999999999</c:v>
                </c:pt>
                <c:pt idx="5">
                  <c:v>-3.0129999999999999</c:v>
                </c:pt>
                <c:pt idx="6">
                  <c:v>-3.3940000000000001</c:v>
                </c:pt>
                <c:pt idx="7">
                  <c:v>-2.75</c:v>
                </c:pt>
                <c:pt idx="8">
                  <c:v>-2.6949999999999998</c:v>
                </c:pt>
                <c:pt idx="10">
                  <c:v>-2.7989999999999999</c:v>
                </c:pt>
                <c:pt idx="11">
                  <c:v>-2.7050000000000001</c:v>
                </c:pt>
                <c:pt idx="13">
                  <c:v>-2.6549999999999998</c:v>
                </c:pt>
                <c:pt idx="14">
                  <c:v>-2.7269999999999999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02304"/>
        <c:axId val="127002880"/>
      </c:scatterChart>
      <c:valAx>
        <c:axId val="12700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002880"/>
        <c:crosses val="autoZero"/>
        <c:crossBetween val="midCat"/>
      </c:valAx>
      <c:valAx>
        <c:axId val="12700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002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Signal decay Run</a:t>
            </a:r>
            <a:r>
              <a:rPr lang="en-US" baseline="0"/>
              <a:t> 1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[1]Plan1!$D$5:$D$12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[1]Plan1!$E$5:$E$12</c:f>
              <c:numCache>
                <c:formatCode>General</c:formatCode>
                <c:ptCount val="8"/>
                <c:pt idx="0">
                  <c:v>1256.3979999999999</c:v>
                </c:pt>
                <c:pt idx="1">
                  <c:v>1152.7249999999999</c:v>
                </c:pt>
                <c:pt idx="2">
                  <c:v>1059.4690000000001</c:v>
                </c:pt>
                <c:pt idx="3">
                  <c:v>975.30499999999995</c:v>
                </c:pt>
                <c:pt idx="4">
                  <c:v>898.97199999999998</c:v>
                </c:pt>
                <c:pt idx="5">
                  <c:v>830.08199999999999</c:v>
                </c:pt>
                <c:pt idx="6">
                  <c:v>768.31299999999999</c:v>
                </c:pt>
                <c:pt idx="7">
                  <c:v>712.03399999999999</c:v>
                </c:pt>
              </c:numCache>
            </c:numRef>
          </c:yVal>
          <c:smooth val="0"/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[1]Plan1!$D$5:$D$12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[1]Plan1!$F$5:$F$12</c:f>
              <c:numCache>
                <c:formatCode>General</c:formatCode>
                <c:ptCount val="8"/>
                <c:pt idx="0">
                  <c:v>1210.7270000000001</c:v>
                </c:pt>
                <c:pt idx="1">
                  <c:v>1159.5940000000001</c:v>
                </c:pt>
                <c:pt idx="2">
                  <c:v>1111.046</c:v>
                </c:pt>
                <c:pt idx="3">
                  <c:v>1064.3340000000001</c:v>
                </c:pt>
                <c:pt idx="4">
                  <c:v>1019.981</c:v>
                </c:pt>
                <c:pt idx="5">
                  <c:v>977.52300000000002</c:v>
                </c:pt>
                <c:pt idx="6">
                  <c:v>937.072</c:v>
                </c:pt>
                <c:pt idx="7">
                  <c:v>898.50699999999995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04608"/>
        <c:axId val="127005184"/>
      </c:scatterChart>
      <c:valAx>
        <c:axId val="12700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005184"/>
        <c:crosses val="autoZero"/>
        <c:crossBetween val="midCat"/>
      </c:valAx>
      <c:valAx>
        <c:axId val="12700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00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Signal decay Run</a:t>
            </a:r>
            <a:r>
              <a:rPr lang="en-US" baseline="0"/>
              <a:t> 2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[1]Plan1!$D$17:$D$24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[1]Plan1!$E$17:$E$24</c:f>
              <c:numCache>
                <c:formatCode>General</c:formatCode>
                <c:ptCount val="8"/>
                <c:pt idx="0">
                  <c:v>1437.3689999999999</c:v>
                </c:pt>
                <c:pt idx="1">
                  <c:v>1314.3530000000001</c:v>
                </c:pt>
                <c:pt idx="2">
                  <c:v>1204.5409999999999</c:v>
                </c:pt>
                <c:pt idx="3">
                  <c:v>1105.5150000000001</c:v>
                </c:pt>
                <c:pt idx="4">
                  <c:v>1013.307</c:v>
                </c:pt>
                <c:pt idx="5">
                  <c:v>930.27</c:v>
                </c:pt>
                <c:pt idx="6">
                  <c:v>857.16399999999999</c:v>
                </c:pt>
                <c:pt idx="7">
                  <c:v>791.95299999999997</c:v>
                </c:pt>
              </c:numCache>
            </c:numRef>
          </c:yVal>
          <c:smooth val="0"/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[1]Plan1!$D$17:$D$24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[1]Plan1!$F$17:$F$24</c:f>
              <c:numCache>
                <c:formatCode>General</c:formatCode>
                <c:ptCount val="8"/>
                <c:pt idx="0">
                  <c:v>1396.0239999999999</c:v>
                </c:pt>
                <c:pt idx="1">
                  <c:v>1336.5450000000001</c:v>
                </c:pt>
                <c:pt idx="2">
                  <c:v>1279.7059999999999</c:v>
                </c:pt>
                <c:pt idx="3">
                  <c:v>1225.7090000000001</c:v>
                </c:pt>
                <c:pt idx="4">
                  <c:v>1173.9580000000001</c:v>
                </c:pt>
                <c:pt idx="5">
                  <c:v>1124.6669999999999</c:v>
                </c:pt>
                <c:pt idx="6">
                  <c:v>1077.5150000000001</c:v>
                </c:pt>
                <c:pt idx="7">
                  <c:v>1032.79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06912"/>
        <c:axId val="127007488"/>
      </c:scatterChart>
      <c:valAx>
        <c:axId val="12700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007488"/>
        <c:crosses val="autoZero"/>
        <c:crossBetween val="midCat"/>
      </c:valAx>
      <c:valAx>
        <c:axId val="12700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00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Signal decay Run</a:t>
            </a:r>
            <a:r>
              <a:rPr lang="en-US" baseline="0"/>
              <a:t> 4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[1]Plan1!$D$29:$D$36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[1]Plan1!$E$29:$E$36</c:f>
              <c:numCache>
                <c:formatCode>General</c:formatCode>
                <c:ptCount val="8"/>
                <c:pt idx="0">
                  <c:v>1389.7739999999999</c:v>
                </c:pt>
                <c:pt idx="1">
                  <c:v>1274.6389999999999</c:v>
                </c:pt>
                <c:pt idx="2">
                  <c:v>1170.6279999999999</c:v>
                </c:pt>
                <c:pt idx="3">
                  <c:v>1077.115</c:v>
                </c:pt>
                <c:pt idx="4">
                  <c:v>992.99400000000003</c:v>
                </c:pt>
                <c:pt idx="5">
                  <c:v>916.42899999999997</c:v>
                </c:pt>
                <c:pt idx="6">
                  <c:v>846.72900000000004</c:v>
                </c:pt>
                <c:pt idx="7">
                  <c:v>783.74900000000002</c:v>
                </c:pt>
              </c:numCache>
            </c:numRef>
          </c:yVal>
          <c:smooth val="0"/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[1]Plan1!$D$29:$D$36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[1]Plan1!$F$29:$F$36</c:f>
              <c:numCache>
                <c:formatCode>General</c:formatCode>
                <c:ptCount val="8"/>
                <c:pt idx="0">
                  <c:v>1342.318</c:v>
                </c:pt>
                <c:pt idx="1">
                  <c:v>1285.306</c:v>
                </c:pt>
                <c:pt idx="2">
                  <c:v>1230.83</c:v>
                </c:pt>
                <c:pt idx="3">
                  <c:v>1178.8579999999999</c:v>
                </c:pt>
                <c:pt idx="4">
                  <c:v>1129.3610000000001</c:v>
                </c:pt>
                <c:pt idx="5">
                  <c:v>1082.0350000000001</c:v>
                </c:pt>
                <c:pt idx="6">
                  <c:v>1036.9259999999999</c:v>
                </c:pt>
                <c:pt idx="7">
                  <c:v>993.77700000000004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45216"/>
        <c:axId val="127345792"/>
      </c:scatterChart>
      <c:valAx>
        <c:axId val="12734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345792"/>
        <c:crosses val="autoZero"/>
        <c:crossBetween val="midCat"/>
      </c:valAx>
      <c:valAx>
        <c:axId val="1273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345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Signal decay Run</a:t>
            </a:r>
            <a:r>
              <a:rPr lang="en-US" baseline="0"/>
              <a:t> 14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[1]Plan1!$D$149:$D$156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[1]Plan1!$E$149:$E$156</c:f>
              <c:numCache>
                <c:formatCode>General</c:formatCode>
                <c:ptCount val="8"/>
                <c:pt idx="0">
                  <c:v>4585.9870000000001</c:v>
                </c:pt>
                <c:pt idx="1">
                  <c:v>4115.701</c:v>
                </c:pt>
                <c:pt idx="2">
                  <c:v>3701.9360000000001</c:v>
                </c:pt>
                <c:pt idx="3">
                  <c:v>3336.5619999999999</c:v>
                </c:pt>
                <c:pt idx="4">
                  <c:v>3010.7159999999999</c:v>
                </c:pt>
                <c:pt idx="5">
                  <c:v>2722.13</c:v>
                </c:pt>
                <c:pt idx="6">
                  <c:v>2463.9949999999999</c:v>
                </c:pt>
                <c:pt idx="7">
                  <c:v>2234.2379999999998</c:v>
                </c:pt>
              </c:numCache>
            </c:numRef>
          </c:yVal>
          <c:smooth val="0"/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[1]Plan1!$D$149:$D$156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[1]Plan1!$F$149:$F$156</c:f>
              <c:numCache>
                <c:formatCode>General</c:formatCode>
                <c:ptCount val="8"/>
                <c:pt idx="0">
                  <c:v>4513.9970000000003</c:v>
                </c:pt>
                <c:pt idx="1">
                  <c:v>4299.8770000000004</c:v>
                </c:pt>
                <c:pt idx="2">
                  <c:v>4097.2340000000004</c:v>
                </c:pt>
                <c:pt idx="3">
                  <c:v>3905.3110000000001</c:v>
                </c:pt>
                <c:pt idx="4">
                  <c:v>3723.49</c:v>
                </c:pt>
                <c:pt idx="5">
                  <c:v>3551.0259999999998</c:v>
                </c:pt>
                <c:pt idx="6">
                  <c:v>3387.4670000000001</c:v>
                </c:pt>
                <c:pt idx="7">
                  <c:v>3231.88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47520"/>
        <c:axId val="127348096"/>
      </c:scatterChart>
      <c:valAx>
        <c:axId val="12734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348096"/>
        <c:crosses val="autoZero"/>
        <c:crossBetween val="midCat"/>
      </c:valAx>
      <c:valAx>
        <c:axId val="12734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34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Signal decay Run</a:t>
            </a:r>
            <a:r>
              <a:rPr lang="en-US" baseline="0"/>
              <a:t> 15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[1]Plan1!$D$161:$D$168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[1]Plan1!$E$161:$E$168</c:f>
              <c:numCache>
                <c:formatCode>General</c:formatCode>
                <c:ptCount val="8"/>
                <c:pt idx="0">
                  <c:v>5580.01</c:v>
                </c:pt>
                <c:pt idx="1">
                  <c:v>4978.7240000000002</c:v>
                </c:pt>
                <c:pt idx="2">
                  <c:v>4450.8609999999999</c:v>
                </c:pt>
                <c:pt idx="3">
                  <c:v>3987.1</c:v>
                </c:pt>
                <c:pt idx="4">
                  <c:v>3576.799</c:v>
                </c:pt>
                <c:pt idx="5">
                  <c:v>3199.973</c:v>
                </c:pt>
                <c:pt idx="6">
                  <c:v>2857.232</c:v>
                </c:pt>
                <c:pt idx="7">
                  <c:v>2574.779</c:v>
                </c:pt>
              </c:numCache>
            </c:numRef>
          </c:yVal>
          <c:smooth val="0"/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[1]Plan1!$D$161:$D$168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[1]Plan1!$F$161:$F$168</c:f>
              <c:numCache>
                <c:formatCode>General</c:formatCode>
                <c:ptCount val="8"/>
                <c:pt idx="0">
                  <c:v>5473.6130000000003</c:v>
                </c:pt>
                <c:pt idx="1">
                  <c:v>5206.8530000000001</c:v>
                </c:pt>
                <c:pt idx="2">
                  <c:v>4955.116</c:v>
                </c:pt>
                <c:pt idx="3">
                  <c:v>4717.5249999999996</c:v>
                </c:pt>
                <c:pt idx="4">
                  <c:v>4492.7719999999999</c:v>
                </c:pt>
                <c:pt idx="5">
                  <c:v>4280.308</c:v>
                </c:pt>
                <c:pt idx="6">
                  <c:v>4079.6390000000001</c:v>
                </c:pt>
                <c:pt idx="7">
                  <c:v>3888.7710000000002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49824"/>
        <c:axId val="127350400"/>
      </c:scatterChart>
      <c:valAx>
        <c:axId val="127349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350400"/>
        <c:crosses val="autoZero"/>
        <c:crossBetween val="midCat"/>
      </c:valAx>
      <c:valAx>
        <c:axId val="12735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349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Signal decay Run</a:t>
            </a:r>
            <a:r>
              <a:rPr lang="en-US" baseline="0"/>
              <a:t> 16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[1]Plan1!$D$173:$D$180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[1]Plan1!$E$173:$E$180</c:f>
              <c:numCache>
                <c:formatCode>General</c:formatCode>
                <c:ptCount val="8"/>
                <c:pt idx="0">
                  <c:v>4697.7740000000003</c:v>
                </c:pt>
                <c:pt idx="1">
                  <c:v>4212.8559999999998</c:v>
                </c:pt>
                <c:pt idx="2">
                  <c:v>3783.6190000000001</c:v>
                </c:pt>
                <c:pt idx="3">
                  <c:v>3404.3879999999999</c:v>
                </c:pt>
                <c:pt idx="4">
                  <c:v>3068.0650000000001</c:v>
                </c:pt>
                <c:pt idx="5">
                  <c:v>2769.3209999999999</c:v>
                </c:pt>
                <c:pt idx="6">
                  <c:v>2504.3380000000002</c:v>
                </c:pt>
                <c:pt idx="7">
                  <c:v>2267.3290000000002</c:v>
                </c:pt>
              </c:numCache>
            </c:numRef>
          </c:yVal>
          <c:smooth val="0"/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[1]Plan1!$D$173:$D$180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[1]Plan1!$F$173:$F$180</c:f>
              <c:numCache>
                <c:formatCode>General</c:formatCode>
                <c:ptCount val="8"/>
                <c:pt idx="0">
                  <c:v>4618.0619999999999</c:v>
                </c:pt>
                <c:pt idx="1">
                  <c:v>4398.9269999999997</c:v>
                </c:pt>
                <c:pt idx="2">
                  <c:v>4191.3530000000001</c:v>
                </c:pt>
                <c:pt idx="3">
                  <c:v>3995.36</c:v>
                </c:pt>
                <c:pt idx="4">
                  <c:v>3809.2179999999998</c:v>
                </c:pt>
                <c:pt idx="5">
                  <c:v>3632.1570000000002</c:v>
                </c:pt>
                <c:pt idx="6">
                  <c:v>3464.6779999999999</c:v>
                </c:pt>
                <c:pt idx="7">
                  <c:v>3305.8429999999998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681088"/>
        <c:axId val="127681664"/>
      </c:scatterChart>
      <c:valAx>
        <c:axId val="12768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681664"/>
        <c:crosses val="autoZero"/>
        <c:crossBetween val="midCat"/>
      </c:valAx>
      <c:valAx>
        <c:axId val="12768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681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Signal decay Run</a:t>
            </a:r>
            <a:r>
              <a:rPr lang="en-US" baseline="0"/>
              <a:t> 5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[1]Plan1!$D$41:$D$48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[1]Plan1!$E$41:$E$48</c:f>
              <c:numCache>
                <c:formatCode>General</c:formatCode>
                <c:ptCount val="8"/>
                <c:pt idx="0">
                  <c:v>2548.7289999999998</c:v>
                </c:pt>
                <c:pt idx="1">
                  <c:v>2309.5630000000001</c:v>
                </c:pt>
                <c:pt idx="2">
                  <c:v>2096.681</c:v>
                </c:pt>
                <c:pt idx="3">
                  <c:v>1906.502</c:v>
                </c:pt>
                <c:pt idx="4">
                  <c:v>1736.636</c:v>
                </c:pt>
                <c:pt idx="5">
                  <c:v>1584.9059999999999</c:v>
                </c:pt>
                <c:pt idx="6">
                  <c:v>1448.6</c:v>
                </c:pt>
                <c:pt idx="7">
                  <c:v>1326.5630000000001</c:v>
                </c:pt>
              </c:numCache>
            </c:numRef>
          </c:yVal>
          <c:smooth val="0"/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[1]Plan1!$D$41:$D$48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[1]Plan1!$F$41:$F$48</c:f>
              <c:numCache>
                <c:formatCode>General</c:formatCode>
                <c:ptCount val="8"/>
                <c:pt idx="0">
                  <c:v>2586.9540000000002</c:v>
                </c:pt>
                <c:pt idx="1">
                  <c:v>2471.2930000000001</c:v>
                </c:pt>
                <c:pt idx="2">
                  <c:v>2360.9209999999998</c:v>
                </c:pt>
                <c:pt idx="3">
                  <c:v>2256.08</c:v>
                </c:pt>
                <c:pt idx="4">
                  <c:v>2156.4340000000002</c:v>
                </c:pt>
                <c:pt idx="5">
                  <c:v>2061.1239999999998</c:v>
                </c:pt>
                <c:pt idx="6">
                  <c:v>1970.9359999999999</c:v>
                </c:pt>
                <c:pt idx="7">
                  <c:v>1884.5920000000001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683392"/>
        <c:axId val="127683968"/>
      </c:scatterChart>
      <c:valAx>
        <c:axId val="127683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683968"/>
        <c:crosses val="autoZero"/>
        <c:crossBetween val="midCat"/>
      </c:valAx>
      <c:valAx>
        <c:axId val="12768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683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Signal decay Run</a:t>
            </a:r>
            <a:r>
              <a:rPr lang="en-US" baseline="0"/>
              <a:t> 6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[1]Plan1!$D$53:$D$60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[1]Plan1!$E$53:$E$60</c:f>
              <c:numCache>
                <c:formatCode>General</c:formatCode>
                <c:ptCount val="8"/>
                <c:pt idx="0">
                  <c:v>2340.6550000000002</c:v>
                </c:pt>
                <c:pt idx="1">
                  <c:v>2123.1170000000002</c:v>
                </c:pt>
                <c:pt idx="2">
                  <c:v>1929.2809999999999</c:v>
                </c:pt>
                <c:pt idx="3">
                  <c:v>1755.6120000000001</c:v>
                </c:pt>
                <c:pt idx="4">
                  <c:v>1601.0360000000001</c:v>
                </c:pt>
                <c:pt idx="5">
                  <c:v>1463.509</c:v>
                </c:pt>
                <c:pt idx="6">
                  <c:v>1339.5150000000001</c:v>
                </c:pt>
                <c:pt idx="7">
                  <c:v>1218.249</c:v>
                </c:pt>
              </c:numCache>
            </c:numRef>
          </c:yVal>
          <c:smooth val="0"/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[1]Plan1!$D$53:$D$60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[1]Plan1!$F$53:$F$60</c:f>
              <c:numCache>
                <c:formatCode>General</c:formatCode>
                <c:ptCount val="8"/>
                <c:pt idx="0">
                  <c:v>2338.627</c:v>
                </c:pt>
                <c:pt idx="1">
                  <c:v>2234.7800000000002</c:v>
                </c:pt>
                <c:pt idx="2">
                  <c:v>2136.0770000000002</c:v>
                </c:pt>
                <c:pt idx="3">
                  <c:v>2041.5930000000001</c:v>
                </c:pt>
                <c:pt idx="4">
                  <c:v>1952.249</c:v>
                </c:pt>
                <c:pt idx="5">
                  <c:v>1866.8050000000001</c:v>
                </c:pt>
                <c:pt idx="6">
                  <c:v>1785.6780000000001</c:v>
                </c:pt>
                <c:pt idx="7">
                  <c:v>1707.8530000000001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685696"/>
        <c:axId val="127686272"/>
      </c:scatterChart>
      <c:valAx>
        <c:axId val="12768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686272"/>
        <c:crosses val="autoZero"/>
        <c:crossBetween val="midCat"/>
      </c:valAx>
      <c:valAx>
        <c:axId val="12768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685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Signal decay Run</a:t>
            </a:r>
            <a:r>
              <a:rPr lang="en-US" baseline="0"/>
              <a:t> 7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[1]Plan1!$D$65:$D$72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[1]Plan1!$E$65:$E$72</c:f>
              <c:numCache>
                <c:formatCode>General</c:formatCode>
                <c:ptCount val="8"/>
                <c:pt idx="0">
                  <c:v>2473.7820000000002</c:v>
                </c:pt>
                <c:pt idx="1">
                  <c:v>2239.241</c:v>
                </c:pt>
                <c:pt idx="2">
                  <c:v>2029.807</c:v>
                </c:pt>
                <c:pt idx="3">
                  <c:v>1844.019</c:v>
                </c:pt>
                <c:pt idx="4">
                  <c:v>1678.992</c:v>
                </c:pt>
                <c:pt idx="5">
                  <c:v>1531.683</c:v>
                </c:pt>
                <c:pt idx="6">
                  <c:v>1399.451</c:v>
                </c:pt>
                <c:pt idx="7">
                  <c:v>1279.7280000000001</c:v>
                </c:pt>
              </c:numCache>
            </c:numRef>
          </c:yVal>
          <c:smooth val="0"/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[1]Plan1!$D$65:$D$72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[1]Plan1!$F$65:$F$72</c:f>
              <c:numCache>
                <c:formatCode>General</c:formatCode>
                <c:ptCount val="8"/>
                <c:pt idx="0">
                  <c:v>2507.931</c:v>
                </c:pt>
                <c:pt idx="1">
                  <c:v>2395.42</c:v>
                </c:pt>
                <c:pt idx="2">
                  <c:v>2288.375</c:v>
                </c:pt>
                <c:pt idx="3">
                  <c:v>2186.864</c:v>
                </c:pt>
                <c:pt idx="4">
                  <c:v>2090.5610000000001</c:v>
                </c:pt>
                <c:pt idx="5">
                  <c:v>1998.7190000000001</c:v>
                </c:pt>
                <c:pt idx="6">
                  <c:v>1911.107</c:v>
                </c:pt>
                <c:pt idx="7">
                  <c:v>1827.836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688000"/>
        <c:axId val="127803392"/>
      </c:scatterChart>
      <c:valAx>
        <c:axId val="12768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803392"/>
        <c:crosses val="autoZero"/>
        <c:crossBetween val="midCat"/>
      </c:valAx>
      <c:valAx>
        <c:axId val="12780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688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Signal decay Run</a:t>
            </a:r>
            <a:r>
              <a:rPr lang="en-US" baseline="0"/>
              <a:t> 8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[1]Plan1!$D$77:$D$84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[1]Plan1!$E$77:$E$84</c:f>
              <c:numCache>
                <c:formatCode>General</c:formatCode>
                <c:ptCount val="8"/>
                <c:pt idx="0">
                  <c:v>1690.508</c:v>
                </c:pt>
                <c:pt idx="1">
                  <c:v>1540.069</c:v>
                </c:pt>
                <c:pt idx="2">
                  <c:v>1405.9770000000001</c:v>
                </c:pt>
                <c:pt idx="3">
                  <c:v>1285.8399999999999</c:v>
                </c:pt>
                <c:pt idx="4">
                  <c:v>1178.1489999999999</c:v>
                </c:pt>
                <c:pt idx="5">
                  <c:v>1077.383</c:v>
                </c:pt>
                <c:pt idx="6">
                  <c:v>984.298</c:v>
                </c:pt>
                <c:pt idx="7">
                  <c:v>906.14300000000003</c:v>
                </c:pt>
              </c:numCache>
            </c:numRef>
          </c:yVal>
          <c:smooth val="0"/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[1]Plan1!$D$77:$D$84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[1]Plan1!$F$77:$F$84</c:f>
              <c:numCache>
                <c:formatCode>General</c:formatCode>
                <c:ptCount val="8"/>
                <c:pt idx="0">
                  <c:v>1686.9549999999999</c:v>
                </c:pt>
                <c:pt idx="1">
                  <c:v>1613.8150000000001</c:v>
                </c:pt>
                <c:pt idx="2">
                  <c:v>1544.211</c:v>
                </c:pt>
                <c:pt idx="3">
                  <c:v>1477.924</c:v>
                </c:pt>
                <c:pt idx="4">
                  <c:v>1414.6289999999999</c:v>
                </c:pt>
                <c:pt idx="5">
                  <c:v>1354.2280000000001</c:v>
                </c:pt>
                <c:pt idx="6">
                  <c:v>1296.845</c:v>
                </c:pt>
                <c:pt idx="7">
                  <c:v>1241.9849999999999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805120"/>
        <c:axId val="127805696"/>
      </c:scatterChart>
      <c:valAx>
        <c:axId val="12780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805696"/>
        <c:crosses val="autoZero"/>
        <c:crossBetween val="midCat"/>
      </c:valAx>
      <c:valAx>
        <c:axId val="12780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80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Signal decay Run</a:t>
            </a:r>
            <a:r>
              <a:rPr lang="en-US" baseline="0"/>
              <a:t> 9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[1]Plan1!$D$89:$D$96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[1]Plan1!$E$89:$E$96</c:f>
              <c:numCache>
                <c:formatCode>General</c:formatCode>
                <c:ptCount val="8"/>
                <c:pt idx="0">
                  <c:v>4235.2539999999999</c:v>
                </c:pt>
                <c:pt idx="1">
                  <c:v>3801.203</c:v>
                </c:pt>
                <c:pt idx="2">
                  <c:v>3417.53</c:v>
                </c:pt>
                <c:pt idx="3">
                  <c:v>3077.4859999999999</c:v>
                </c:pt>
                <c:pt idx="4">
                  <c:v>2776.498</c:v>
                </c:pt>
                <c:pt idx="5">
                  <c:v>2509.259</c:v>
                </c:pt>
                <c:pt idx="6">
                  <c:v>2271.7190000000001</c:v>
                </c:pt>
                <c:pt idx="7">
                  <c:v>2060.9319999999998</c:v>
                </c:pt>
              </c:numCache>
            </c:numRef>
          </c:yVal>
          <c:smooth val="0"/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[1]Plan1!$D$89:$D$96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[1]Plan1!$F$89:$F$96</c:f>
              <c:numCache>
                <c:formatCode>General</c:formatCode>
                <c:ptCount val="8"/>
                <c:pt idx="0">
                  <c:v>4169.7520000000004</c:v>
                </c:pt>
                <c:pt idx="1">
                  <c:v>3973.45</c:v>
                </c:pt>
                <c:pt idx="2">
                  <c:v>3787.6550000000002</c:v>
                </c:pt>
                <c:pt idx="3">
                  <c:v>3611.866</c:v>
                </c:pt>
                <c:pt idx="4">
                  <c:v>3445.0569999999998</c:v>
                </c:pt>
                <c:pt idx="5">
                  <c:v>3286.76</c:v>
                </c:pt>
                <c:pt idx="6">
                  <c:v>3136.9079999999999</c:v>
                </c:pt>
                <c:pt idx="7">
                  <c:v>2994.4369999999999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807424"/>
        <c:axId val="127808000"/>
      </c:scatterChart>
      <c:valAx>
        <c:axId val="127807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808000"/>
        <c:crosses val="autoZero"/>
        <c:crossBetween val="midCat"/>
      </c:valAx>
      <c:valAx>
        <c:axId val="12780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807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Signal decay Run</a:t>
            </a:r>
            <a:r>
              <a:rPr lang="en-US" baseline="0"/>
              <a:t> 10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[1]Plan1!$D$101:$D$108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[1]Plan1!$E$101:$E$108</c:f>
              <c:numCache>
                <c:formatCode>General</c:formatCode>
                <c:ptCount val="8"/>
                <c:pt idx="0">
                  <c:v>3706.9659999999999</c:v>
                </c:pt>
                <c:pt idx="1">
                  <c:v>3335.1550000000002</c:v>
                </c:pt>
                <c:pt idx="2">
                  <c:v>3005.51</c:v>
                </c:pt>
                <c:pt idx="3">
                  <c:v>2713.915</c:v>
                </c:pt>
                <c:pt idx="4">
                  <c:v>2454.683</c:v>
                </c:pt>
                <c:pt idx="5">
                  <c:v>2212.0610000000001</c:v>
                </c:pt>
                <c:pt idx="6">
                  <c:v>1993.269</c:v>
                </c:pt>
                <c:pt idx="7">
                  <c:v>1809.34</c:v>
                </c:pt>
              </c:numCache>
            </c:numRef>
          </c:yVal>
          <c:smooth val="0"/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[1]Plan1!$D$101:$D$108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[1]Plan1!$F$101:$F$108</c:f>
              <c:numCache>
                <c:formatCode>General</c:formatCode>
                <c:ptCount val="8"/>
                <c:pt idx="0">
                  <c:v>3693.8069999999998</c:v>
                </c:pt>
                <c:pt idx="1">
                  <c:v>3522.652</c:v>
                </c:pt>
                <c:pt idx="2">
                  <c:v>3360.163</c:v>
                </c:pt>
                <c:pt idx="3">
                  <c:v>3206.509</c:v>
                </c:pt>
                <c:pt idx="4">
                  <c:v>3060.3119999999999</c:v>
                </c:pt>
                <c:pt idx="5">
                  <c:v>2921.558</c:v>
                </c:pt>
                <c:pt idx="6">
                  <c:v>2789.5940000000001</c:v>
                </c:pt>
                <c:pt idx="7">
                  <c:v>2663.8780000000002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809728"/>
        <c:axId val="127810304"/>
      </c:scatterChart>
      <c:valAx>
        <c:axId val="12780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810304"/>
        <c:crosses val="autoZero"/>
        <c:crossBetween val="midCat"/>
      </c:valAx>
      <c:valAx>
        <c:axId val="12781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809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Signal decay Run</a:t>
            </a:r>
            <a:r>
              <a:rPr lang="en-US" baseline="0"/>
              <a:t> 11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[1]Plan1!$D$113:$D$120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[1]Plan1!$E$113:$E$120</c:f>
              <c:numCache>
                <c:formatCode>General</c:formatCode>
                <c:ptCount val="8"/>
                <c:pt idx="0">
                  <c:v>2362.5010000000002</c:v>
                </c:pt>
                <c:pt idx="1">
                  <c:v>2140.2199999999998</c:v>
                </c:pt>
                <c:pt idx="2">
                  <c:v>1942.4290000000001</c:v>
                </c:pt>
                <c:pt idx="3">
                  <c:v>1766.1379999999999</c:v>
                </c:pt>
                <c:pt idx="4">
                  <c:v>1609.0709999999999</c:v>
                </c:pt>
                <c:pt idx="5">
                  <c:v>1468.048</c:v>
                </c:pt>
                <c:pt idx="6">
                  <c:v>1337.377</c:v>
                </c:pt>
                <c:pt idx="7">
                  <c:v>1215.7539999999999</c:v>
                </c:pt>
              </c:numCache>
            </c:numRef>
          </c:yVal>
          <c:smooth val="0"/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[1]Plan1!$D$113:$D$120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[1]Plan1!$F$113:$F$120</c:f>
              <c:numCache>
                <c:formatCode>General</c:formatCode>
                <c:ptCount val="8"/>
                <c:pt idx="0">
                  <c:v>2395.5929999999998</c:v>
                </c:pt>
                <c:pt idx="1">
                  <c:v>2289.1109999999999</c:v>
                </c:pt>
                <c:pt idx="2">
                  <c:v>2187.4670000000001</c:v>
                </c:pt>
                <c:pt idx="3">
                  <c:v>2090.7570000000001</c:v>
                </c:pt>
                <c:pt idx="4">
                  <c:v>1998.481</c:v>
                </c:pt>
                <c:pt idx="5">
                  <c:v>1910.3040000000001</c:v>
                </c:pt>
                <c:pt idx="6">
                  <c:v>1826.41</c:v>
                </c:pt>
                <c:pt idx="7">
                  <c:v>1746.72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016960"/>
        <c:axId val="128017536"/>
      </c:scatterChart>
      <c:valAx>
        <c:axId val="12801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017536"/>
        <c:crosses val="autoZero"/>
        <c:crossBetween val="midCat"/>
      </c:valAx>
      <c:valAx>
        <c:axId val="12801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016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Signal decay Run</a:t>
            </a:r>
            <a:r>
              <a:rPr lang="en-US" baseline="0"/>
              <a:t> 12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[1]Plan1!$D$125:$D$132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[1]Plan1!$E$125:$E$132</c:f>
              <c:numCache>
                <c:formatCode>General</c:formatCode>
                <c:ptCount val="8"/>
                <c:pt idx="0">
                  <c:v>3714.6779999999999</c:v>
                </c:pt>
                <c:pt idx="1">
                  <c:v>3345.748</c:v>
                </c:pt>
                <c:pt idx="2">
                  <c:v>3018.55</c:v>
                </c:pt>
                <c:pt idx="3">
                  <c:v>2727.585</c:v>
                </c:pt>
                <c:pt idx="4">
                  <c:v>2468.1109999999999</c:v>
                </c:pt>
                <c:pt idx="5">
                  <c:v>2230.98</c:v>
                </c:pt>
                <c:pt idx="6">
                  <c:v>2012.885</c:v>
                </c:pt>
                <c:pt idx="7">
                  <c:v>1825.779</c:v>
                </c:pt>
              </c:numCache>
            </c:numRef>
          </c:yVal>
          <c:smooth val="0"/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[1]Plan1!$D$125:$D$132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[1]Plan1!$F$125:$F$132</c:f>
              <c:numCache>
                <c:formatCode>General</c:formatCode>
                <c:ptCount val="8"/>
                <c:pt idx="0">
                  <c:v>3638.547</c:v>
                </c:pt>
                <c:pt idx="1">
                  <c:v>3470.277</c:v>
                </c:pt>
                <c:pt idx="2">
                  <c:v>3310.614</c:v>
                </c:pt>
                <c:pt idx="3">
                  <c:v>3158.9749999999999</c:v>
                </c:pt>
                <c:pt idx="4">
                  <c:v>3014.866</c:v>
                </c:pt>
                <c:pt idx="5">
                  <c:v>2877.77</c:v>
                </c:pt>
                <c:pt idx="6">
                  <c:v>2747.7530000000002</c:v>
                </c:pt>
                <c:pt idx="7">
                  <c:v>2623.873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019840"/>
        <c:axId val="128020416"/>
      </c:scatterChart>
      <c:valAx>
        <c:axId val="12801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020416"/>
        <c:crosses val="autoZero"/>
        <c:crossBetween val="midCat"/>
      </c:valAx>
      <c:valAx>
        <c:axId val="12802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019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Signal decay Run</a:t>
            </a:r>
            <a:r>
              <a:rPr lang="en-US" baseline="0"/>
              <a:t> 13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[1]Plan1!$D$137:$D$144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[1]Plan1!$E$137:$E$144</c:f>
              <c:numCache>
                <c:formatCode>General</c:formatCode>
                <c:ptCount val="8"/>
                <c:pt idx="0">
                  <c:v>4775.6019999999999</c:v>
                </c:pt>
                <c:pt idx="1">
                  <c:v>4280.5820000000003</c:v>
                </c:pt>
                <c:pt idx="2">
                  <c:v>3844.2310000000002</c:v>
                </c:pt>
                <c:pt idx="3">
                  <c:v>3459.4160000000002</c:v>
                </c:pt>
                <c:pt idx="4">
                  <c:v>3118.2339999999999</c:v>
                </c:pt>
                <c:pt idx="5">
                  <c:v>2800.9079999999999</c:v>
                </c:pt>
                <c:pt idx="6">
                  <c:v>2522.9690000000001</c:v>
                </c:pt>
                <c:pt idx="7">
                  <c:v>2284.895</c:v>
                </c:pt>
              </c:numCache>
            </c:numRef>
          </c:yVal>
          <c:smooth val="0"/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[1]Plan1!$D$137:$D$144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[1]Plan1!$F$137:$F$144</c:f>
              <c:numCache>
                <c:formatCode>General</c:formatCode>
                <c:ptCount val="8"/>
                <c:pt idx="0">
                  <c:v>4680.6989999999996</c:v>
                </c:pt>
                <c:pt idx="1">
                  <c:v>4457.6639999999998</c:v>
                </c:pt>
                <c:pt idx="2">
                  <c:v>4246.4759999999997</c:v>
                </c:pt>
                <c:pt idx="3">
                  <c:v>4046.97</c:v>
                </c:pt>
                <c:pt idx="4">
                  <c:v>3858.1089999999999</c:v>
                </c:pt>
                <c:pt idx="5">
                  <c:v>3678.7049999999999</c:v>
                </c:pt>
                <c:pt idx="6">
                  <c:v>3508.7640000000001</c:v>
                </c:pt>
                <c:pt idx="7">
                  <c:v>3347.4929999999999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022144"/>
        <c:axId val="128022720"/>
      </c:scatterChart>
      <c:valAx>
        <c:axId val="12802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022720"/>
        <c:crosses val="autoZero"/>
        <c:crossBetween val="midCat"/>
      </c:valAx>
      <c:valAx>
        <c:axId val="12802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022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mass x P </a:t>
            </a:r>
            <a:r>
              <a:rPr lang="en-US" sz="1200"/>
              <a:t>(3drops,</a:t>
            </a:r>
            <a:r>
              <a:rPr lang="en-US" sz="1200" baseline="0"/>
              <a:t> 600s)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9335120463197"/>
          <c:y val="3.8350672487182602E-2"/>
          <c:w val="0.84190119244699502"/>
          <c:h val="0.58756577899672646"/>
        </c:manualLayout>
      </c:layout>
      <c:scatterChart>
        <c:scatterStyle val="lineMarker"/>
        <c:varyColors val="0"/>
        <c:ser>
          <c:idx val="0"/>
          <c:order val="0"/>
          <c:tx>
            <c:v>Previous</c:v>
          </c:tx>
          <c:spPr>
            <a:ln w="28575">
              <a:noFill/>
            </a:ln>
          </c:spPr>
          <c:marker>
            <c:symbol val="diamond"/>
            <c:size val="6"/>
            <c:spPr>
              <a:noFill/>
            </c:spPr>
          </c:marker>
          <c:xVal>
            <c:numRef>
              <c:f>('After instal'!$AM$6:$AM$13,'After instal'!$AM$30,'After instal'!$AM$33:$AM$35,'After instal'!$AM$64:$AM$82,'After instal'!$AM$112:$AM$117)</c:f>
              <c:numCache>
                <c:formatCode>General</c:formatCode>
                <c:ptCount val="37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18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36</c:v>
                </c:pt>
                <c:pt idx="34">
                  <c:v>54</c:v>
                </c:pt>
                <c:pt idx="35">
                  <c:v>54</c:v>
                </c:pt>
                <c:pt idx="36">
                  <c:v>54</c:v>
                </c:pt>
              </c:numCache>
            </c:numRef>
          </c:xVal>
          <c:yVal>
            <c:numRef>
              <c:f>('After instal'!$AG$6:$AG$13,'After instal'!$AG$30:$AG$35,'After instal'!$AG$64:$AG$82,'After instal'!$AG$112:$AG$117)</c:f>
              <c:numCache>
                <c:formatCode>General</c:formatCode>
                <c:ptCount val="39"/>
                <c:pt idx="0">
                  <c:v>533</c:v>
                </c:pt>
                <c:pt idx="1">
                  <c:v>538</c:v>
                </c:pt>
                <c:pt idx="2">
                  <c:v>494</c:v>
                </c:pt>
                <c:pt idx="3">
                  <c:v>455</c:v>
                </c:pt>
                <c:pt idx="4">
                  <c:v>467</c:v>
                </c:pt>
                <c:pt idx="5">
                  <c:v>477</c:v>
                </c:pt>
                <c:pt idx="6">
                  <c:v>525</c:v>
                </c:pt>
                <c:pt idx="7">
                  <c:v>445</c:v>
                </c:pt>
                <c:pt idx="8">
                  <c:v>40</c:v>
                </c:pt>
                <c:pt idx="11">
                  <c:v>462</c:v>
                </c:pt>
                <c:pt idx="12">
                  <c:v>486</c:v>
                </c:pt>
                <c:pt idx="13">
                  <c:v>508</c:v>
                </c:pt>
                <c:pt idx="14">
                  <c:v>311</c:v>
                </c:pt>
                <c:pt idx="15">
                  <c:v>30</c:v>
                </c:pt>
                <c:pt idx="16">
                  <c:v>232</c:v>
                </c:pt>
                <c:pt idx="17">
                  <c:v>262</c:v>
                </c:pt>
                <c:pt idx="18">
                  <c:v>250</c:v>
                </c:pt>
                <c:pt idx="21">
                  <c:v>418</c:v>
                </c:pt>
                <c:pt idx="22">
                  <c:v>367</c:v>
                </c:pt>
                <c:pt idx="23">
                  <c:v>311</c:v>
                </c:pt>
                <c:pt idx="24">
                  <c:v>418</c:v>
                </c:pt>
                <c:pt idx="25">
                  <c:v>440</c:v>
                </c:pt>
                <c:pt idx="28">
                  <c:v>469</c:v>
                </c:pt>
                <c:pt idx="29">
                  <c:v>489</c:v>
                </c:pt>
                <c:pt idx="30">
                  <c:v>489</c:v>
                </c:pt>
                <c:pt idx="31">
                  <c:v>469</c:v>
                </c:pt>
                <c:pt idx="32">
                  <c:v>416</c:v>
                </c:pt>
                <c:pt idx="33">
                  <c:v>543</c:v>
                </c:pt>
                <c:pt idx="36">
                  <c:v>670</c:v>
                </c:pt>
                <c:pt idx="37">
                  <c:v>589</c:v>
                </c:pt>
                <c:pt idx="38">
                  <c:v>25</c:v>
                </c:pt>
              </c:numCache>
            </c:numRef>
          </c:yVal>
          <c:smooth val="0"/>
        </c:ser>
        <c:ser>
          <c:idx val="3"/>
          <c:order val="1"/>
          <c:tx>
            <c:v>Expected</c:v>
          </c:tx>
          <c:spPr>
            <a:ln w="28575">
              <a:solidFill>
                <a:srgbClr val="777777">
                  <a:alpha val="50000"/>
                </a:srgbClr>
              </a:solidFill>
            </a:ln>
          </c:spPr>
          <c:marker>
            <c:symbol val="none"/>
          </c:marker>
          <c:trendline>
            <c:spPr>
              <a:ln>
                <a:solidFill>
                  <a:srgbClr val="777777"/>
                </a:solidFill>
              </a:ln>
            </c:spPr>
            <c:trendlineType val="log"/>
            <c:dispRSqr val="0"/>
            <c:dispEq val="0"/>
          </c:trendline>
          <c:xVal>
            <c:numRef>
              <c:f>'After software 19May'!$A$8:$A$14</c:f>
              <c:numCache>
                <c:formatCode>General</c:formatCode>
                <c:ptCount val="7"/>
                <c:pt idx="0">
                  <c:v>2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'After software 19May'!$B$8:$B$14</c:f>
              <c:numCache>
                <c:formatCode>General</c:formatCode>
                <c:ptCount val="7"/>
                <c:pt idx="0">
                  <c:v>140</c:v>
                </c:pt>
                <c:pt idx="1">
                  <c:v>490</c:v>
                </c:pt>
                <c:pt idx="2">
                  <c:v>675</c:v>
                </c:pt>
                <c:pt idx="3">
                  <c:v>760</c:v>
                </c:pt>
                <c:pt idx="4">
                  <c:v>840</c:v>
                </c:pt>
                <c:pt idx="5">
                  <c:v>900</c:v>
                </c:pt>
                <c:pt idx="6">
                  <c:v>950</c:v>
                </c:pt>
              </c:numCache>
            </c:numRef>
          </c:yVal>
          <c:smooth val="0"/>
        </c:ser>
        <c:ser>
          <c:idx val="2"/>
          <c:order val="2"/>
          <c:tx>
            <c:v>20/mai after software (m x P)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'After software 19May'!$AM$27:$AM$56</c:f>
              <c:numCache>
                <c:formatCode>General</c:formatCode>
                <c:ptCount val="30"/>
                <c:pt idx="0">
                  <c:v>9</c:v>
                </c:pt>
                <c:pt idx="1">
                  <c:v>9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9</c:v>
                </c:pt>
                <c:pt idx="11">
                  <c:v>9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18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54</c:v>
                </c:pt>
                <c:pt idx="24">
                  <c:v>54</c:v>
                </c:pt>
                <c:pt idx="25">
                  <c:v>63</c:v>
                </c:pt>
                <c:pt idx="26">
                  <c:v>45</c:v>
                </c:pt>
                <c:pt idx="27">
                  <c:v>54</c:v>
                </c:pt>
                <c:pt idx="28">
                  <c:v>63</c:v>
                </c:pt>
                <c:pt idx="29">
                  <c:v>63</c:v>
                </c:pt>
              </c:numCache>
            </c:numRef>
          </c:xVal>
          <c:yVal>
            <c:numRef>
              <c:f>'After software 19May'!$AG$27:$AG$56</c:f>
              <c:numCache>
                <c:formatCode>General</c:formatCode>
                <c:ptCount val="30"/>
                <c:pt idx="0">
                  <c:v>352</c:v>
                </c:pt>
                <c:pt idx="1">
                  <c:v>420</c:v>
                </c:pt>
                <c:pt idx="2">
                  <c:v>820</c:v>
                </c:pt>
                <c:pt idx="3">
                  <c:v>714</c:v>
                </c:pt>
                <c:pt idx="4">
                  <c:v>813</c:v>
                </c:pt>
                <c:pt idx="5">
                  <c:v>866</c:v>
                </c:pt>
                <c:pt idx="6">
                  <c:v>823</c:v>
                </c:pt>
                <c:pt idx="7">
                  <c:v>791</c:v>
                </c:pt>
                <c:pt idx="8">
                  <c:v>848</c:v>
                </c:pt>
                <c:pt idx="9">
                  <c:v>859</c:v>
                </c:pt>
                <c:pt idx="10">
                  <c:v>416</c:v>
                </c:pt>
                <c:pt idx="11">
                  <c:v>349</c:v>
                </c:pt>
                <c:pt idx="12">
                  <c:v>604</c:v>
                </c:pt>
                <c:pt idx="13">
                  <c:v>565</c:v>
                </c:pt>
                <c:pt idx="14">
                  <c:v>533</c:v>
                </c:pt>
                <c:pt idx="15">
                  <c:v>515</c:v>
                </c:pt>
                <c:pt idx="16">
                  <c:v>625</c:v>
                </c:pt>
                <c:pt idx="17">
                  <c:v>742</c:v>
                </c:pt>
                <c:pt idx="18">
                  <c:v>717</c:v>
                </c:pt>
                <c:pt idx="19">
                  <c:v>643</c:v>
                </c:pt>
                <c:pt idx="20">
                  <c:v>830</c:v>
                </c:pt>
                <c:pt idx="21">
                  <c:v>884</c:v>
                </c:pt>
                <c:pt idx="22">
                  <c:v>795</c:v>
                </c:pt>
                <c:pt idx="23">
                  <c:v>887</c:v>
                </c:pt>
                <c:pt idx="24">
                  <c:v>958</c:v>
                </c:pt>
                <c:pt idx="25">
                  <c:v>940</c:v>
                </c:pt>
                <c:pt idx="26">
                  <c:v>781</c:v>
                </c:pt>
                <c:pt idx="27">
                  <c:v>937</c:v>
                </c:pt>
                <c:pt idx="28">
                  <c:v>930</c:v>
                </c:pt>
                <c:pt idx="29">
                  <c:v>894</c:v>
                </c:pt>
              </c:numCache>
            </c:numRef>
          </c:yVal>
          <c:smooth val="0"/>
        </c:ser>
        <c:ser>
          <c:idx val="1"/>
          <c:order val="3"/>
          <c:tx>
            <c:v>19/jun after Oring change (probem heat) and capilar open, bad O2 and P x I improvement</c:v>
          </c:tx>
          <c:spPr>
            <a:ln w="28575">
              <a:noFill/>
            </a:ln>
          </c:spPr>
          <c:marker>
            <c:symbol val="star"/>
            <c:size val="5"/>
            <c:spPr>
              <a:noFill/>
              <a:ln w="9525">
                <a:solidFill>
                  <a:srgbClr val="5C28A8"/>
                </a:solidFill>
              </a:ln>
            </c:spPr>
          </c:marker>
          <c:xVal>
            <c:numRef>
              <c:f>'After capilar 19Jun'!$AO$4:$AO$43</c:f>
              <c:numCache>
                <c:formatCode>General</c:formatCode>
                <c:ptCount val="40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36</c:v>
                </c:pt>
                <c:pt idx="11">
                  <c:v>36</c:v>
                </c:pt>
                <c:pt idx="12">
                  <c:v>36</c:v>
                </c:pt>
                <c:pt idx="13">
                  <c:v>36</c:v>
                </c:pt>
                <c:pt idx="14">
                  <c:v>36</c:v>
                </c:pt>
                <c:pt idx="15">
                  <c:v>36</c:v>
                </c:pt>
                <c:pt idx="16">
                  <c:v>36</c:v>
                </c:pt>
                <c:pt idx="17">
                  <c:v>36</c:v>
                </c:pt>
                <c:pt idx="18">
                  <c:v>36</c:v>
                </c:pt>
                <c:pt idx="19">
                  <c:v>36</c:v>
                </c:pt>
                <c:pt idx="20">
                  <c:v>36</c:v>
                </c:pt>
                <c:pt idx="21">
                  <c:v>36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36</c:v>
                </c:pt>
                <c:pt idx="28">
                  <c:v>36</c:v>
                </c:pt>
                <c:pt idx="29">
                  <c:v>36</c:v>
                </c:pt>
                <c:pt idx="30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</c:numCache>
            </c:numRef>
          </c:xVal>
          <c:yVal>
            <c:numRef>
              <c:f>'After capilar 19Jun'!$AM$4:$AM$43</c:f>
              <c:numCache>
                <c:formatCode>General</c:formatCode>
                <c:ptCount val="40"/>
                <c:pt idx="0">
                  <c:v>887</c:v>
                </c:pt>
                <c:pt idx="1">
                  <c:v>908</c:v>
                </c:pt>
                <c:pt idx="2">
                  <c:v>884</c:v>
                </c:pt>
                <c:pt idx="3">
                  <c:v>830</c:v>
                </c:pt>
                <c:pt idx="4">
                  <c:v>876</c:v>
                </c:pt>
                <c:pt idx="5">
                  <c:v>862</c:v>
                </c:pt>
                <c:pt idx="6">
                  <c:v>876</c:v>
                </c:pt>
                <c:pt idx="7">
                  <c:v>855</c:v>
                </c:pt>
                <c:pt idx="8">
                  <c:v>841</c:v>
                </c:pt>
                <c:pt idx="9">
                  <c:v>891</c:v>
                </c:pt>
                <c:pt idx="10">
                  <c:v>887</c:v>
                </c:pt>
                <c:pt idx="11">
                  <c:v>926</c:v>
                </c:pt>
                <c:pt idx="12">
                  <c:v>901</c:v>
                </c:pt>
                <c:pt idx="13">
                  <c:v>834</c:v>
                </c:pt>
                <c:pt idx="14">
                  <c:v>880</c:v>
                </c:pt>
                <c:pt idx="15">
                  <c:v>848</c:v>
                </c:pt>
                <c:pt idx="16">
                  <c:v>841</c:v>
                </c:pt>
                <c:pt idx="17">
                  <c:v>816</c:v>
                </c:pt>
                <c:pt idx="18">
                  <c:v>855</c:v>
                </c:pt>
                <c:pt idx="19">
                  <c:v>912</c:v>
                </c:pt>
                <c:pt idx="20">
                  <c:v>859</c:v>
                </c:pt>
                <c:pt idx="21">
                  <c:v>891</c:v>
                </c:pt>
                <c:pt idx="22">
                  <c:v>845</c:v>
                </c:pt>
                <c:pt idx="23">
                  <c:v>791</c:v>
                </c:pt>
                <c:pt idx="24">
                  <c:v>869</c:v>
                </c:pt>
                <c:pt idx="25">
                  <c:v>820</c:v>
                </c:pt>
                <c:pt idx="26">
                  <c:v>830</c:v>
                </c:pt>
                <c:pt idx="27">
                  <c:v>869</c:v>
                </c:pt>
                <c:pt idx="28">
                  <c:v>958</c:v>
                </c:pt>
                <c:pt idx="29">
                  <c:v>869</c:v>
                </c:pt>
                <c:pt idx="30">
                  <c:v>912</c:v>
                </c:pt>
                <c:pt idx="33">
                  <c:v>795</c:v>
                </c:pt>
                <c:pt idx="34">
                  <c:v>791</c:v>
                </c:pt>
                <c:pt idx="35">
                  <c:v>937</c:v>
                </c:pt>
                <c:pt idx="36">
                  <c:v>880</c:v>
                </c:pt>
                <c:pt idx="37">
                  <c:v>912</c:v>
                </c:pt>
                <c:pt idx="38">
                  <c:v>816</c:v>
                </c:pt>
                <c:pt idx="39">
                  <c:v>802</c:v>
                </c:pt>
              </c:numCache>
            </c:numRef>
          </c:yVal>
          <c:smooth val="0"/>
        </c:ser>
        <c:ser>
          <c:idx val="7"/>
          <c:order val="4"/>
          <c:tx>
            <c:v>26/jun conference changes, bad O2 curve (high sd)</c:v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'After capilar 19Jun'!$AO$49:$AO$89</c:f>
              <c:numCache>
                <c:formatCode>General</c:formatCode>
                <c:ptCount val="41"/>
                <c:pt idx="0">
                  <c:v>18</c:v>
                </c:pt>
                <c:pt idx="1">
                  <c:v>18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36</c:v>
                </c:pt>
                <c:pt idx="9">
                  <c:v>36</c:v>
                </c:pt>
                <c:pt idx="12">
                  <c:v>36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18</c:v>
                </c:pt>
                <c:pt idx="19">
                  <c:v>18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54</c:v>
                </c:pt>
                <c:pt idx="26">
                  <c:v>54</c:v>
                </c:pt>
                <c:pt idx="27">
                  <c:v>54</c:v>
                </c:pt>
                <c:pt idx="28">
                  <c:v>54</c:v>
                </c:pt>
                <c:pt idx="29">
                  <c:v>54</c:v>
                </c:pt>
                <c:pt idx="30">
                  <c:v>54</c:v>
                </c:pt>
                <c:pt idx="31">
                  <c:v>45</c:v>
                </c:pt>
                <c:pt idx="32">
                  <c:v>45</c:v>
                </c:pt>
                <c:pt idx="33">
                  <c:v>45</c:v>
                </c:pt>
                <c:pt idx="34">
                  <c:v>45</c:v>
                </c:pt>
                <c:pt idx="35">
                  <c:v>36</c:v>
                </c:pt>
                <c:pt idx="36">
                  <c:v>36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</c:numCache>
            </c:numRef>
          </c:xVal>
          <c:yVal>
            <c:numRef>
              <c:f>'After capilar 19Jun'!$AM$49:$AM$89</c:f>
              <c:numCache>
                <c:formatCode>General</c:formatCode>
                <c:ptCount val="41"/>
                <c:pt idx="0">
                  <c:v>303</c:v>
                </c:pt>
                <c:pt idx="1">
                  <c:v>600</c:v>
                </c:pt>
                <c:pt idx="2">
                  <c:v>398</c:v>
                </c:pt>
                <c:pt idx="3">
                  <c:v>391</c:v>
                </c:pt>
                <c:pt idx="4">
                  <c:v>420</c:v>
                </c:pt>
                <c:pt idx="5">
                  <c:v>515</c:v>
                </c:pt>
                <c:pt idx="6">
                  <c:v>370</c:v>
                </c:pt>
                <c:pt idx="7">
                  <c:v>413</c:v>
                </c:pt>
                <c:pt idx="8">
                  <c:v>887</c:v>
                </c:pt>
                <c:pt idx="9">
                  <c:v>738</c:v>
                </c:pt>
                <c:pt idx="12">
                  <c:v>866</c:v>
                </c:pt>
                <c:pt idx="13">
                  <c:v>728</c:v>
                </c:pt>
                <c:pt idx="14">
                  <c:v>827</c:v>
                </c:pt>
                <c:pt idx="15">
                  <c:v>770</c:v>
                </c:pt>
                <c:pt idx="16">
                  <c:v>760</c:v>
                </c:pt>
                <c:pt idx="17">
                  <c:v>777</c:v>
                </c:pt>
                <c:pt idx="18">
                  <c:v>671</c:v>
                </c:pt>
                <c:pt idx="19">
                  <c:v>600</c:v>
                </c:pt>
                <c:pt idx="22">
                  <c:v>908</c:v>
                </c:pt>
                <c:pt idx="23">
                  <c:v>855</c:v>
                </c:pt>
                <c:pt idx="24">
                  <c:v>731</c:v>
                </c:pt>
                <c:pt idx="25">
                  <c:v>1068</c:v>
                </c:pt>
                <c:pt idx="26">
                  <c:v>965</c:v>
                </c:pt>
                <c:pt idx="27">
                  <c:v>1022</c:v>
                </c:pt>
                <c:pt idx="28">
                  <c:v>979</c:v>
                </c:pt>
                <c:pt idx="29">
                  <c:v>947</c:v>
                </c:pt>
                <c:pt idx="30">
                  <c:v>1004</c:v>
                </c:pt>
                <c:pt idx="31">
                  <c:v>986</c:v>
                </c:pt>
                <c:pt idx="32">
                  <c:v>915</c:v>
                </c:pt>
                <c:pt idx="33">
                  <c:v>954</c:v>
                </c:pt>
                <c:pt idx="34">
                  <c:v>926</c:v>
                </c:pt>
                <c:pt idx="35">
                  <c:v>830</c:v>
                </c:pt>
                <c:pt idx="36">
                  <c:v>788</c:v>
                </c:pt>
                <c:pt idx="37">
                  <c:v>834</c:v>
                </c:pt>
                <c:pt idx="38">
                  <c:v>752</c:v>
                </c:pt>
                <c:pt idx="39">
                  <c:v>866</c:v>
                </c:pt>
                <c:pt idx="40">
                  <c:v>884</c:v>
                </c:pt>
              </c:numCache>
            </c:numRef>
          </c:yVal>
          <c:smooth val="0"/>
        </c:ser>
        <c:ser>
          <c:idx val="5"/>
          <c:order val="5"/>
          <c:tx>
            <c:v>15/jul capilar adjustment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B818AD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('After adjust 15Jul'!$C$5,'After adjust 15Jul'!$C$17,'After adjust 15Jul'!$C$29,'After adjust 15Jul'!$C$41,'After adjust 15Jul'!$C$53,'After adjust 15Jul'!$C$65,'After adjust 15Jul'!$C$77,'After adjust 15Jul'!$C$89,'After adjust 15Jul'!$C$101,'After adjust 15Jul'!$C$113,'After adjust 15Jul'!$C$125,'After adjust 15Jul'!$C$137,'After adjust 15Jul'!$C$149,'After adjust 15Jul'!$C$161,'After adjust 15Jul'!$C$173)</c:f>
              <c:numCache>
                <c:formatCode>General</c:formatCode>
                <c:ptCount val="15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36</c:v>
                </c:pt>
                <c:pt idx="12">
                  <c:v>36</c:v>
                </c:pt>
                <c:pt idx="13">
                  <c:v>36</c:v>
                </c:pt>
                <c:pt idx="14">
                  <c:v>36</c:v>
                </c:pt>
              </c:numCache>
            </c:numRef>
          </c:xVal>
          <c:yVal>
            <c:numRef>
              <c:f>('After adjust 15Jul'!$B$8,'After adjust 15Jul'!$B$20,'After adjust 15Jul'!$B$32,'After adjust 15Jul'!$B$44,'After adjust 15Jul'!$B$56,'After adjust 15Jul'!$B$68,'After adjust 15Jul'!$B$80,'After adjust 15Jul'!$B$92,'After adjust 15Jul'!$B$104,'After adjust 15Jul'!$B$116,'After adjust 15Jul'!$B$128,'After adjust 15Jul'!$B$140,'After adjust 15Jul'!$B$152,'After adjust 15Jul'!$B$164,'After adjust 15Jul'!$B$176)</c:f>
              <c:numCache>
                <c:formatCode>General</c:formatCode>
                <c:ptCount val="15"/>
                <c:pt idx="0">
                  <c:v>444</c:v>
                </c:pt>
                <c:pt idx="1">
                  <c:v>494</c:v>
                </c:pt>
                <c:pt idx="2">
                  <c:v>466</c:v>
                </c:pt>
                <c:pt idx="3">
                  <c:v>632</c:v>
                </c:pt>
                <c:pt idx="4">
                  <c:v>600</c:v>
                </c:pt>
                <c:pt idx="5">
                  <c:v>639</c:v>
                </c:pt>
                <c:pt idx="6">
                  <c:v>494</c:v>
                </c:pt>
                <c:pt idx="7">
                  <c:v>770</c:v>
                </c:pt>
                <c:pt idx="8">
                  <c:v>752</c:v>
                </c:pt>
                <c:pt idx="9">
                  <c:v>653</c:v>
                </c:pt>
                <c:pt idx="10">
                  <c:v>767</c:v>
                </c:pt>
                <c:pt idx="11">
                  <c:v>837</c:v>
                </c:pt>
                <c:pt idx="12">
                  <c:v>837</c:v>
                </c:pt>
                <c:pt idx="13">
                  <c:v>891</c:v>
                </c:pt>
                <c:pt idx="14">
                  <c:v>841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023872"/>
        <c:axId val="128270336"/>
      </c:scatterChart>
      <c:valAx>
        <c:axId val="128023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mass (ug)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8270336"/>
        <c:crosses val="autoZero"/>
        <c:crossBetween val="midCat"/>
      </c:valAx>
      <c:valAx>
        <c:axId val="12827033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8023872"/>
        <c:crosses val="autoZero"/>
        <c:crossBetween val="midCat"/>
      </c:valAx>
    </c:plotArea>
    <c:legend>
      <c:legendPos val="b"/>
      <c:legendEntry>
        <c:idx val="6"/>
        <c:delete val="1"/>
      </c:legendEntry>
      <c:layout>
        <c:manualLayout>
          <c:xMode val="edge"/>
          <c:yMode val="edge"/>
          <c:x val="1.5289559238041388E-2"/>
          <c:y val="0.68727452888613638"/>
          <c:w val="0.96781498141665767"/>
          <c:h val="0.26714394408564096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" l="0.70000000000000095" r="0.70000000000000095" t="0.750000000000001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</a:t>
            </a:r>
            <a:r>
              <a:rPr lang="en-US" baseline="0"/>
              <a:t> x Intensity </a:t>
            </a:r>
            <a:r>
              <a:rPr lang="en-US" sz="1200" baseline="0"/>
              <a:t>(3drops, 600s)</a:t>
            </a:r>
            <a:endParaRPr lang="en-US"/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14281433956557901"/>
          <c:y val="3.8350672487182602E-2"/>
          <c:w val="0.81842195651469696"/>
          <c:h val="0.71647443279076284"/>
        </c:manualLayout>
      </c:layout>
      <c:scatterChart>
        <c:scatterStyle val="lineMarker"/>
        <c:varyColors val="0"/>
        <c:ser>
          <c:idx val="0"/>
          <c:order val="0"/>
          <c:tx>
            <c:v>Previous</c:v>
          </c:tx>
          <c:spPr>
            <a:ln w="28575">
              <a:noFill/>
            </a:ln>
          </c:spPr>
          <c:marker>
            <c:symbol val="diamond"/>
            <c:size val="6"/>
            <c:spPr>
              <a:noFill/>
            </c:spPr>
          </c:marker>
          <c:xVal>
            <c:numRef>
              <c:f>('After instal'!$AG$6:$AG$13,'After instal'!$AG$30:$AG$35,'After instal'!$AG$64:$AG$82,'After instal'!$AG$112:$AG$117)</c:f>
              <c:numCache>
                <c:formatCode>General</c:formatCode>
                <c:ptCount val="39"/>
                <c:pt idx="0">
                  <c:v>533</c:v>
                </c:pt>
                <c:pt idx="1">
                  <c:v>538</c:v>
                </c:pt>
                <c:pt idx="2">
                  <c:v>494</c:v>
                </c:pt>
                <c:pt idx="3">
                  <c:v>455</c:v>
                </c:pt>
                <c:pt idx="4">
                  <c:v>467</c:v>
                </c:pt>
                <c:pt idx="5">
                  <c:v>477</c:v>
                </c:pt>
                <c:pt idx="6">
                  <c:v>525</c:v>
                </c:pt>
                <c:pt idx="7">
                  <c:v>445</c:v>
                </c:pt>
                <c:pt idx="8">
                  <c:v>40</c:v>
                </c:pt>
                <c:pt idx="11">
                  <c:v>462</c:v>
                </c:pt>
                <c:pt idx="12">
                  <c:v>486</c:v>
                </c:pt>
                <c:pt idx="13">
                  <c:v>508</c:v>
                </c:pt>
                <c:pt idx="14">
                  <c:v>311</c:v>
                </c:pt>
                <c:pt idx="15">
                  <c:v>30</c:v>
                </c:pt>
                <c:pt idx="16">
                  <c:v>232</c:v>
                </c:pt>
                <c:pt idx="17">
                  <c:v>262</c:v>
                </c:pt>
                <c:pt idx="18">
                  <c:v>250</c:v>
                </c:pt>
                <c:pt idx="21">
                  <c:v>418</c:v>
                </c:pt>
                <c:pt idx="22">
                  <c:v>367</c:v>
                </c:pt>
                <c:pt idx="23">
                  <c:v>311</c:v>
                </c:pt>
                <c:pt idx="24">
                  <c:v>418</c:v>
                </c:pt>
                <c:pt idx="25">
                  <c:v>440</c:v>
                </c:pt>
                <c:pt idx="28">
                  <c:v>469</c:v>
                </c:pt>
                <c:pt idx="29">
                  <c:v>489</c:v>
                </c:pt>
                <c:pt idx="30">
                  <c:v>489</c:v>
                </c:pt>
                <c:pt idx="31">
                  <c:v>469</c:v>
                </c:pt>
                <c:pt idx="32">
                  <c:v>416</c:v>
                </c:pt>
                <c:pt idx="33">
                  <c:v>543</c:v>
                </c:pt>
                <c:pt idx="36">
                  <c:v>670</c:v>
                </c:pt>
                <c:pt idx="37">
                  <c:v>589</c:v>
                </c:pt>
                <c:pt idx="38">
                  <c:v>25</c:v>
                </c:pt>
              </c:numCache>
            </c:numRef>
          </c:xVal>
          <c:yVal>
            <c:numRef>
              <c:f>('After instal'!$AJ$6:$AJ$13,'After instal'!$AJ$30:$AJ$35,'After instal'!$AJ$64:$AJ$82,'After instal'!$AJ$112:$AJ$117)</c:f>
              <c:numCache>
                <c:formatCode>General</c:formatCode>
                <c:ptCount val="39"/>
                <c:pt idx="0">
                  <c:v>1775</c:v>
                </c:pt>
                <c:pt idx="1">
                  <c:v>1729</c:v>
                </c:pt>
                <c:pt idx="2">
                  <c:v>1375</c:v>
                </c:pt>
                <c:pt idx="3">
                  <c:v>1177</c:v>
                </c:pt>
                <c:pt idx="4">
                  <c:v>1187</c:v>
                </c:pt>
                <c:pt idx="5">
                  <c:v>1195</c:v>
                </c:pt>
                <c:pt idx="6">
                  <c:v>1652</c:v>
                </c:pt>
                <c:pt idx="7">
                  <c:v>1146</c:v>
                </c:pt>
                <c:pt idx="8">
                  <c:v>9</c:v>
                </c:pt>
                <c:pt idx="11">
                  <c:v>1355</c:v>
                </c:pt>
                <c:pt idx="12">
                  <c:v>1513</c:v>
                </c:pt>
                <c:pt idx="13">
                  <c:v>1748</c:v>
                </c:pt>
                <c:pt idx="14">
                  <c:v>631</c:v>
                </c:pt>
                <c:pt idx="15">
                  <c:v>12</c:v>
                </c:pt>
                <c:pt idx="16">
                  <c:v>407</c:v>
                </c:pt>
                <c:pt idx="17">
                  <c:v>245</c:v>
                </c:pt>
                <c:pt idx="18">
                  <c:v>435</c:v>
                </c:pt>
                <c:pt idx="21">
                  <c:v>1061</c:v>
                </c:pt>
                <c:pt idx="22">
                  <c:v>888</c:v>
                </c:pt>
                <c:pt idx="23">
                  <c:v>646</c:v>
                </c:pt>
                <c:pt idx="24">
                  <c:v>1149</c:v>
                </c:pt>
                <c:pt idx="25">
                  <c:v>1310</c:v>
                </c:pt>
                <c:pt idx="28">
                  <c:v>1467</c:v>
                </c:pt>
                <c:pt idx="29">
                  <c:v>1527</c:v>
                </c:pt>
                <c:pt idx="30">
                  <c:v>1519</c:v>
                </c:pt>
                <c:pt idx="31">
                  <c:v>1444</c:v>
                </c:pt>
                <c:pt idx="32">
                  <c:v>1112</c:v>
                </c:pt>
                <c:pt idx="33">
                  <c:v>1600</c:v>
                </c:pt>
                <c:pt idx="36">
                  <c:v>3209</c:v>
                </c:pt>
                <c:pt idx="37">
                  <c:v>2731</c:v>
                </c:pt>
                <c:pt idx="38">
                  <c:v>8</c:v>
                </c:pt>
              </c:numCache>
            </c:numRef>
          </c:yVal>
          <c:smooth val="0"/>
        </c:ser>
        <c:ser>
          <c:idx val="3"/>
          <c:order val="1"/>
          <c:tx>
            <c:v>Expected</c:v>
          </c:tx>
          <c:spPr>
            <a:ln w="28575">
              <a:solidFill>
                <a:srgbClr val="777777">
                  <a:alpha val="50000"/>
                </a:srgbClr>
              </a:solidFill>
            </a:ln>
          </c:spPr>
          <c:marker>
            <c:symbol val="none"/>
          </c:marker>
          <c:trendline>
            <c:spPr>
              <a:ln>
                <a:solidFill>
                  <a:srgbClr val="777777"/>
                </a:solidFill>
              </a:ln>
            </c:spPr>
            <c:trendlineType val="poly"/>
            <c:order val="2"/>
            <c:dispRSqr val="0"/>
            <c:dispEq val="0"/>
          </c:trendline>
          <c:xVal>
            <c:numRef>
              <c:f>'After software 19May'!$D$8:$D$17</c:f>
              <c:numCache>
                <c:formatCode>General</c:formatCode>
                <c:ptCount val="10"/>
                <c:pt idx="0">
                  <c:v>100</c:v>
                </c:pt>
                <c:pt idx="1">
                  <c:v>300</c:v>
                </c:pt>
                <c:pt idx="2">
                  <c:v>200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950</c:v>
                </c:pt>
              </c:numCache>
            </c:numRef>
          </c:xVal>
          <c:yVal>
            <c:numRef>
              <c:f>'After software 19May'!$E$8:$E$17</c:f>
              <c:numCache>
                <c:formatCode>General</c:formatCode>
                <c:ptCount val="10"/>
                <c:pt idx="0">
                  <c:v>0</c:v>
                </c:pt>
                <c:pt idx="1">
                  <c:v>900</c:v>
                </c:pt>
                <c:pt idx="2">
                  <c:v>440</c:v>
                </c:pt>
                <c:pt idx="3">
                  <c:v>1600</c:v>
                </c:pt>
                <c:pt idx="4">
                  <c:v>2400</c:v>
                </c:pt>
                <c:pt idx="5">
                  <c:v>3400</c:v>
                </c:pt>
                <c:pt idx="6">
                  <c:v>4500</c:v>
                </c:pt>
                <c:pt idx="7">
                  <c:v>5800</c:v>
                </c:pt>
                <c:pt idx="8">
                  <c:v>7000</c:v>
                </c:pt>
                <c:pt idx="9">
                  <c:v>8000</c:v>
                </c:pt>
              </c:numCache>
            </c:numRef>
          </c:yVal>
          <c:smooth val="0"/>
        </c:ser>
        <c:ser>
          <c:idx val="2"/>
          <c:order val="2"/>
          <c:tx>
            <c:v>20/mai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'After software 19May'!$AG$27:$AG$56</c:f>
              <c:numCache>
                <c:formatCode>General</c:formatCode>
                <c:ptCount val="30"/>
                <c:pt idx="0">
                  <c:v>352</c:v>
                </c:pt>
                <c:pt idx="1">
                  <c:v>420</c:v>
                </c:pt>
                <c:pt idx="2">
                  <c:v>820</c:v>
                </c:pt>
                <c:pt idx="3">
                  <c:v>714</c:v>
                </c:pt>
                <c:pt idx="4">
                  <c:v>813</c:v>
                </c:pt>
                <c:pt idx="5">
                  <c:v>866</c:v>
                </c:pt>
                <c:pt idx="6">
                  <c:v>823</c:v>
                </c:pt>
                <c:pt idx="7">
                  <c:v>791</c:v>
                </c:pt>
                <c:pt idx="8">
                  <c:v>848</c:v>
                </c:pt>
                <c:pt idx="9">
                  <c:v>859</c:v>
                </c:pt>
                <c:pt idx="10">
                  <c:v>416</c:v>
                </c:pt>
                <c:pt idx="11">
                  <c:v>349</c:v>
                </c:pt>
                <c:pt idx="12">
                  <c:v>604</c:v>
                </c:pt>
                <c:pt idx="13">
                  <c:v>565</c:v>
                </c:pt>
                <c:pt idx="14">
                  <c:v>533</c:v>
                </c:pt>
                <c:pt idx="15">
                  <c:v>515</c:v>
                </c:pt>
                <c:pt idx="16">
                  <c:v>625</c:v>
                </c:pt>
                <c:pt idx="17">
                  <c:v>742</c:v>
                </c:pt>
                <c:pt idx="18">
                  <c:v>717</c:v>
                </c:pt>
                <c:pt idx="19">
                  <c:v>643</c:v>
                </c:pt>
                <c:pt idx="20">
                  <c:v>830</c:v>
                </c:pt>
                <c:pt idx="21">
                  <c:v>884</c:v>
                </c:pt>
                <c:pt idx="22">
                  <c:v>795</c:v>
                </c:pt>
                <c:pt idx="23">
                  <c:v>887</c:v>
                </c:pt>
                <c:pt idx="24">
                  <c:v>958</c:v>
                </c:pt>
                <c:pt idx="25">
                  <c:v>940</c:v>
                </c:pt>
                <c:pt idx="26">
                  <c:v>781</c:v>
                </c:pt>
                <c:pt idx="27">
                  <c:v>937</c:v>
                </c:pt>
                <c:pt idx="28">
                  <c:v>930</c:v>
                </c:pt>
                <c:pt idx="29">
                  <c:v>894</c:v>
                </c:pt>
              </c:numCache>
            </c:numRef>
          </c:xVal>
          <c:yVal>
            <c:numRef>
              <c:f>'After software 19May'!$AJ$27:$AJ$56</c:f>
              <c:numCache>
                <c:formatCode>General</c:formatCode>
                <c:ptCount val="30"/>
                <c:pt idx="0">
                  <c:v>911</c:v>
                </c:pt>
                <c:pt idx="1">
                  <c:v>1396</c:v>
                </c:pt>
                <c:pt idx="2">
                  <c:v>4528</c:v>
                </c:pt>
                <c:pt idx="3">
                  <c:v>3564</c:v>
                </c:pt>
                <c:pt idx="4">
                  <c:v>4926</c:v>
                </c:pt>
                <c:pt idx="5">
                  <c:v>5536</c:v>
                </c:pt>
                <c:pt idx="6">
                  <c:v>5235</c:v>
                </c:pt>
                <c:pt idx="7">
                  <c:v>4657</c:v>
                </c:pt>
                <c:pt idx="8">
                  <c:v>4947</c:v>
                </c:pt>
                <c:pt idx="9">
                  <c:v>5676</c:v>
                </c:pt>
                <c:pt idx="10">
                  <c:v>1154</c:v>
                </c:pt>
                <c:pt idx="11">
                  <c:v>898</c:v>
                </c:pt>
                <c:pt idx="12">
                  <c:v>2447</c:v>
                </c:pt>
                <c:pt idx="13">
                  <c:v>1987</c:v>
                </c:pt>
                <c:pt idx="14">
                  <c:v>1686</c:v>
                </c:pt>
                <c:pt idx="15">
                  <c:v>1728</c:v>
                </c:pt>
                <c:pt idx="16">
                  <c:v>2366</c:v>
                </c:pt>
                <c:pt idx="17">
                  <c:v>3404</c:v>
                </c:pt>
                <c:pt idx="18">
                  <c:v>3373</c:v>
                </c:pt>
                <c:pt idx="19">
                  <c:v>2600</c:v>
                </c:pt>
                <c:pt idx="20">
                  <c:v>4586</c:v>
                </c:pt>
                <c:pt idx="21">
                  <c:v>6009</c:v>
                </c:pt>
                <c:pt idx="22">
                  <c:v>4339</c:v>
                </c:pt>
                <c:pt idx="23">
                  <c:v>6357</c:v>
                </c:pt>
                <c:pt idx="24">
                  <c:v>7750</c:v>
                </c:pt>
                <c:pt idx="25">
                  <c:v>8073</c:v>
                </c:pt>
                <c:pt idx="26">
                  <c:v>5264</c:v>
                </c:pt>
                <c:pt idx="27">
                  <c:v>7602</c:v>
                </c:pt>
                <c:pt idx="28">
                  <c:v>7957</c:v>
                </c:pt>
                <c:pt idx="29">
                  <c:v>7509</c:v>
                </c:pt>
              </c:numCache>
            </c:numRef>
          </c:yVal>
          <c:smooth val="0"/>
        </c:ser>
        <c:ser>
          <c:idx val="6"/>
          <c:order val="3"/>
          <c:tx>
            <c:v>08/jun</c:v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</c:spPr>
          </c:marker>
          <c:xVal>
            <c:numRef>
              <c:f>'After Oring 29May'!$AI$66:$AI$111</c:f>
              <c:numCache>
                <c:formatCode>General</c:formatCode>
                <c:ptCount val="46"/>
                <c:pt idx="0">
                  <c:v>922</c:v>
                </c:pt>
                <c:pt idx="1">
                  <c:v>891</c:v>
                </c:pt>
                <c:pt idx="2">
                  <c:v>891</c:v>
                </c:pt>
                <c:pt idx="3">
                  <c:v>937</c:v>
                </c:pt>
                <c:pt idx="4">
                  <c:v>884</c:v>
                </c:pt>
                <c:pt idx="5">
                  <c:v>784</c:v>
                </c:pt>
                <c:pt idx="6">
                  <c:v>919</c:v>
                </c:pt>
                <c:pt idx="7">
                  <c:v>862</c:v>
                </c:pt>
                <c:pt idx="8">
                  <c:v>979</c:v>
                </c:pt>
                <c:pt idx="9">
                  <c:v>997</c:v>
                </c:pt>
                <c:pt idx="10">
                  <c:v>944</c:v>
                </c:pt>
                <c:pt idx="11">
                  <c:v>915</c:v>
                </c:pt>
                <c:pt idx="12">
                  <c:v>820</c:v>
                </c:pt>
                <c:pt idx="13">
                  <c:v>983</c:v>
                </c:pt>
                <c:pt idx="14">
                  <c:v>837</c:v>
                </c:pt>
                <c:pt idx="15">
                  <c:v>919</c:v>
                </c:pt>
                <c:pt idx="16">
                  <c:v>912</c:v>
                </c:pt>
                <c:pt idx="17">
                  <c:v>848</c:v>
                </c:pt>
                <c:pt idx="18">
                  <c:v>837</c:v>
                </c:pt>
                <c:pt idx="19">
                  <c:v>873</c:v>
                </c:pt>
                <c:pt idx="20">
                  <c:v>908</c:v>
                </c:pt>
                <c:pt idx="21">
                  <c:v>884</c:v>
                </c:pt>
                <c:pt idx="22">
                  <c:v>841</c:v>
                </c:pt>
                <c:pt idx="23">
                  <c:v>905</c:v>
                </c:pt>
                <c:pt idx="24">
                  <c:v>859</c:v>
                </c:pt>
                <c:pt idx="25">
                  <c:v>891</c:v>
                </c:pt>
                <c:pt idx="26">
                  <c:v>926</c:v>
                </c:pt>
                <c:pt idx="27">
                  <c:v>845</c:v>
                </c:pt>
                <c:pt idx="28">
                  <c:v>876</c:v>
                </c:pt>
                <c:pt idx="29">
                  <c:v>908</c:v>
                </c:pt>
                <c:pt idx="30">
                  <c:v>784</c:v>
                </c:pt>
                <c:pt idx="31">
                  <c:v>884</c:v>
                </c:pt>
                <c:pt idx="32">
                  <c:v>901</c:v>
                </c:pt>
                <c:pt idx="33">
                  <c:v>845</c:v>
                </c:pt>
                <c:pt idx="34">
                  <c:v>873</c:v>
                </c:pt>
                <c:pt idx="35">
                  <c:v>806</c:v>
                </c:pt>
                <c:pt idx="36">
                  <c:v>940</c:v>
                </c:pt>
                <c:pt idx="37">
                  <c:v>908</c:v>
                </c:pt>
                <c:pt idx="38">
                  <c:v>841</c:v>
                </c:pt>
                <c:pt idx="39">
                  <c:v>898</c:v>
                </c:pt>
                <c:pt idx="40">
                  <c:v>905</c:v>
                </c:pt>
                <c:pt idx="41">
                  <c:v>876</c:v>
                </c:pt>
                <c:pt idx="42">
                  <c:v>933</c:v>
                </c:pt>
                <c:pt idx="43">
                  <c:v>884</c:v>
                </c:pt>
                <c:pt idx="44">
                  <c:v>930</c:v>
                </c:pt>
                <c:pt idx="45">
                  <c:v>859</c:v>
                </c:pt>
              </c:numCache>
            </c:numRef>
          </c:xVal>
          <c:yVal>
            <c:numRef>
              <c:f>'After Oring 29May'!$AJ$66:$AJ$111</c:f>
              <c:numCache>
                <c:formatCode>General</c:formatCode>
                <c:ptCount val="46"/>
                <c:pt idx="0">
                  <c:v>2938</c:v>
                </c:pt>
                <c:pt idx="1">
                  <c:v>3096</c:v>
                </c:pt>
                <c:pt idx="2">
                  <c:v>3024</c:v>
                </c:pt>
                <c:pt idx="3">
                  <c:v>3249</c:v>
                </c:pt>
                <c:pt idx="4">
                  <c:v>2774</c:v>
                </c:pt>
                <c:pt idx="5">
                  <c:v>2110</c:v>
                </c:pt>
                <c:pt idx="6">
                  <c:v>2785</c:v>
                </c:pt>
                <c:pt idx="7">
                  <c:v>2472</c:v>
                </c:pt>
                <c:pt idx="8">
                  <c:v>2662</c:v>
                </c:pt>
                <c:pt idx="9">
                  <c:v>2638</c:v>
                </c:pt>
                <c:pt idx="10">
                  <c:v>2398</c:v>
                </c:pt>
                <c:pt idx="11">
                  <c:v>2451</c:v>
                </c:pt>
                <c:pt idx="12">
                  <c:v>1778</c:v>
                </c:pt>
                <c:pt idx="13">
                  <c:v>3839</c:v>
                </c:pt>
                <c:pt idx="14">
                  <c:v>2154</c:v>
                </c:pt>
                <c:pt idx="15">
                  <c:v>3170</c:v>
                </c:pt>
                <c:pt idx="16">
                  <c:v>3174</c:v>
                </c:pt>
                <c:pt idx="17">
                  <c:v>2307</c:v>
                </c:pt>
                <c:pt idx="18">
                  <c:v>2333</c:v>
                </c:pt>
                <c:pt idx="19">
                  <c:v>2496</c:v>
                </c:pt>
                <c:pt idx="20">
                  <c:v>2646</c:v>
                </c:pt>
                <c:pt idx="21">
                  <c:v>2786</c:v>
                </c:pt>
                <c:pt idx="22">
                  <c:v>2526</c:v>
                </c:pt>
                <c:pt idx="23">
                  <c:v>2829</c:v>
                </c:pt>
                <c:pt idx="24">
                  <c:v>2731</c:v>
                </c:pt>
                <c:pt idx="25">
                  <c:v>2645</c:v>
                </c:pt>
                <c:pt idx="26">
                  <c:v>3003</c:v>
                </c:pt>
                <c:pt idx="27">
                  <c:v>2548</c:v>
                </c:pt>
                <c:pt idx="28">
                  <c:v>2726</c:v>
                </c:pt>
                <c:pt idx="29">
                  <c:v>2605</c:v>
                </c:pt>
                <c:pt idx="30">
                  <c:v>2046</c:v>
                </c:pt>
                <c:pt idx="31">
                  <c:v>3012</c:v>
                </c:pt>
                <c:pt idx="32">
                  <c:v>2629</c:v>
                </c:pt>
                <c:pt idx="33">
                  <c:v>2514</c:v>
                </c:pt>
                <c:pt idx="34">
                  <c:v>2761</c:v>
                </c:pt>
                <c:pt idx="35">
                  <c:v>2059</c:v>
                </c:pt>
                <c:pt idx="36">
                  <c:v>2984</c:v>
                </c:pt>
                <c:pt idx="37">
                  <c:v>2784</c:v>
                </c:pt>
                <c:pt idx="38">
                  <c:v>2229</c:v>
                </c:pt>
                <c:pt idx="39">
                  <c:v>2616</c:v>
                </c:pt>
                <c:pt idx="40">
                  <c:v>2879</c:v>
                </c:pt>
                <c:pt idx="41">
                  <c:v>2423</c:v>
                </c:pt>
                <c:pt idx="42">
                  <c:v>3068</c:v>
                </c:pt>
                <c:pt idx="43">
                  <c:v>2820</c:v>
                </c:pt>
                <c:pt idx="44">
                  <c:v>2997</c:v>
                </c:pt>
                <c:pt idx="45">
                  <c:v>2612</c:v>
                </c:pt>
              </c:numCache>
            </c:numRef>
          </c:yVal>
          <c:smooth val="0"/>
        </c:ser>
        <c:ser>
          <c:idx val="1"/>
          <c:order val="4"/>
          <c:tx>
            <c:v>19/jun</c:v>
          </c:tx>
          <c:spPr>
            <a:ln w="28575">
              <a:noFill/>
            </a:ln>
          </c:spPr>
          <c:marker>
            <c:symbol val="star"/>
            <c:size val="5"/>
            <c:spPr>
              <a:noFill/>
              <a:ln>
                <a:solidFill>
                  <a:srgbClr val="5C28A8"/>
                </a:solidFill>
              </a:ln>
            </c:spPr>
          </c:marker>
          <c:xVal>
            <c:numRef>
              <c:f>'After capilar 19Jun'!$AM$4:$AM$43</c:f>
              <c:numCache>
                <c:formatCode>General</c:formatCode>
                <c:ptCount val="40"/>
                <c:pt idx="0">
                  <c:v>887</c:v>
                </c:pt>
                <c:pt idx="1">
                  <c:v>908</c:v>
                </c:pt>
                <c:pt idx="2">
                  <c:v>884</c:v>
                </c:pt>
                <c:pt idx="3">
                  <c:v>830</c:v>
                </c:pt>
                <c:pt idx="4">
                  <c:v>876</c:v>
                </c:pt>
                <c:pt idx="5">
                  <c:v>862</c:v>
                </c:pt>
                <c:pt idx="6">
                  <c:v>876</c:v>
                </c:pt>
                <c:pt idx="7">
                  <c:v>855</c:v>
                </c:pt>
                <c:pt idx="8">
                  <c:v>841</c:v>
                </c:pt>
                <c:pt idx="9">
                  <c:v>891</c:v>
                </c:pt>
                <c:pt idx="10">
                  <c:v>887</c:v>
                </c:pt>
                <c:pt idx="11">
                  <c:v>926</c:v>
                </c:pt>
                <c:pt idx="12">
                  <c:v>901</c:v>
                </c:pt>
                <c:pt idx="13">
                  <c:v>834</c:v>
                </c:pt>
                <c:pt idx="14">
                  <c:v>880</c:v>
                </c:pt>
                <c:pt idx="15">
                  <c:v>848</c:v>
                </c:pt>
                <c:pt idx="16">
                  <c:v>841</c:v>
                </c:pt>
                <c:pt idx="17">
                  <c:v>816</c:v>
                </c:pt>
                <c:pt idx="18">
                  <c:v>855</c:v>
                </c:pt>
                <c:pt idx="19">
                  <c:v>912</c:v>
                </c:pt>
                <c:pt idx="20">
                  <c:v>859</c:v>
                </c:pt>
                <c:pt idx="21">
                  <c:v>891</c:v>
                </c:pt>
                <c:pt idx="22">
                  <c:v>845</c:v>
                </c:pt>
                <c:pt idx="23">
                  <c:v>791</c:v>
                </c:pt>
                <c:pt idx="24">
                  <c:v>869</c:v>
                </c:pt>
                <c:pt idx="25">
                  <c:v>820</c:v>
                </c:pt>
                <c:pt idx="26">
                  <c:v>830</c:v>
                </c:pt>
                <c:pt idx="27">
                  <c:v>869</c:v>
                </c:pt>
                <c:pt idx="28">
                  <c:v>958</c:v>
                </c:pt>
                <c:pt idx="29">
                  <c:v>869</c:v>
                </c:pt>
                <c:pt idx="30">
                  <c:v>912</c:v>
                </c:pt>
                <c:pt idx="33">
                  <c:v>795</c:v>
                </c:pt>
                <c:pt idx="34">
                  <c:v>791</c:v>
                </c:pt>
                <c:pt idx="35">
                  <c:v>937</c:v>
                </c:pt>
                <c:pt idx="36">
                  <c:v>880</c:v>
                </c:pt>
                <c:pt idx="37">
                  <c:v>912</c:v>
                </c:pt>
                <c:pt idx="38">
                  <c:v>816</c:v>
                </c:pt>
                <c:pt idx="39">
                  <c:v>802</c:v>
                </c:pt>
              </c:numCache>
            </c:numRef>
          </c:xVal>
          <c:yVal>
            <c:numRef>
              <c:f>'After capilar 19Jun'!$AN$4:$AN$43</c:f>
              <c:numCache>
                <c:formatCode>General</c:formatCode>
                <c:ptCount val="40"/>
                <c:pt idx="0">
                  <c:v>5471</c:v>
                </c:pt>
                <c:pt idx="1">
                  <c:v>8727</c:v>
                </c:pt>
                <c:pt idx="2">
                  <c:v>8433</c:v>
                </c:pt>
                <c:pt idx="3">
                  <c:v>4395</c:v>
                </c:pt>
                <c:pt idx="4">
                  <c:v>5296</c:v>
                </c:pt>
                <c:pt idx="5">
                  <c:v>5051</c:v>
                </c:pt>
                <c:pt idx="6">
                  <c:v>5144</c:v>
                </c:pt>
                <c:pt idx="7">
                  <c:v>4999</c:v>
                </c:pt>
                <c:pt idx="8">
                  <c:v>4682</c:v>
                </c:pt>
                <c:pt idx="9">
                  <c:v>5607</c:v>
                </c:pt>
                <c:pt idx="10">
                  <c:v>5281</c:v>
                </c:pt>
                <c:pt idx="11">
                  <c:v>6380</c:v>
                </c:pt>
                <c:pt idx="12">
                  <c:v>5950</c:v>
                </c:pt>
                <c:pt idx="13">
                  <c:v>4592</c:v>
                </c:pt>
                <c:pt idx="14">
                  <c:v>5738</c:v>
                </c:pt>
                <c:pt idx="15">
                  <c:v>4905</c:v>
                </c:pt>
                <c:pt idx="16">
                  <c:v>4938</c:v>
                </c:pt>
                <c:pt idx="17">
                  <c:v>4271</c:v>
                </c:pt>
                <c:pt idx="18">
                  <c:v>4987</c:v>
                </c:pt>
                <c:pt idx="19">
                  <c:v>5986</c:v>
                </c:pt>
                <c:pt idx="20">
                  <c:v>5115</c:v>
                </c:pt>
                <c:pt idx="21">
                  <c:v>5301</c:v>
                </c:pt>
                <c:pt idx="22">
                  <c:v>4712</c:v>
                </c:pt>
                <c:pt idx="23">
                  <c:v>4041</c:v>
                </c:pt>
                <c:pt idx="24">
                  <c:v>5191</c:v>
                </c:pt>
                <c:pt idx="25">
                  <c:v>4405</c:v>
                </c:pt>
                <c:pt idx="26">
                  <c:v>4494</c:v>
                </c:pt>
                <c:pt idx="27">
                  <c:v>5411</c:v>
                </c:pt>
                <c:pt idx="28">
                  <c:v>7484</c:v>
                </c:pt>
                <c:pt idx="29">
                  <c:v>6238</c:v>
                </c:pt>
                <c:pt idx="30">
                  <c:v>7053</c:v>
                </c:pt>
                <c:pt idx="33">
                  <c:v>8603</c:v>
                </c:pt>
                <c:pt idx="34">
                  <c:v>7581</c:v>
                </c:pt>
                <c:pt idx="35">
                  <c:v>9678</c:v>
                </c:pt>
                <c:pt idx="36">
                  <c:v>7884</c:v>
                </c:pt>
                <c:pt idx="37">
                  <c:v>8791</c:v>
                </c:pt>
                <c:pt idx="38">
                  <c:v>8101</c:v>
                </c:pt>
                <c:pt idx="39">
                  <c:v>5202</c:v>
                </c:pt>
              </c:numCache>
            </c:numRef>
          </c:yVal>
          <c:smooth val="0"/>
        </c:ser>
        <c:ser>
          <c:idx val="7"/>
          <c:order val="5"/>
          <c:tx>
            <c:v>26/jun</c:v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('After capilar 19Jun'!$AM$49:$AM$68,'After capilar 19Jun'!$AQ$71:$AQ$89)</c:f>
              <c:numCache>
                <c:formatCode>General</c:formatCode>
                <c:ptCount val="39"/>
                <c:pt idx="0">
                  <c:v>303</c:v>
                </c:pt>
                <c:pt idx="1">
                  <c:v>600</c:v>
                </c:pt>
                <c:pt idx="2">
                  <c:v>398</c:v>
                </c:pt>
                <c:pt idx="3">
                  <c:v>391</c:v>
                </c:pt>
                <c:pt idx="4">
                  <c:v>420</c:v>
                </c:pt>
                <c:pt idx="5">
                  <c:v>515</c:v>
                </c:pt>
                <c:pt idx="6">
                  <c:v>370</c:v>
                </c:pt>
                <c:pt idx="7">
                  <c:v>413</c:v>
                </c:pt>
                <c:pt idx="8">
                  <c:v>887</c:v>
                </c:pt>
                <c:pt idx="9">
                  <c:v>738</c:v>
                </c:pt>
                <c:pt idx="12">
                  <c:v>866</c:v>
                </c:pt>
                <c:pt idx="13">
                  <c:v>728</c:v>
                </c:pt>
                <c:pt idx="14">
                  <c:v>827</c:v>
                </c:pt>
                <c:pt idx="15">
                  <c:v>770</c:v>
                </c:pt>
                <c:pt idx="16">
                  <c:v>760</c:v>
                </c:pt>
                <c:pt idx="17">
                  <c:v>777</c:v>
                </c:pt>
                <c:pt idx="18">
                  <c:v>671</c:v>
                </c:pt>
                <c:pt idx="19">
                  <c:v>600</c:v>
                </c:pt>
                <c:pt idx="20">
                  <c:v>908</c:v>
                </c:pt>
                <c:pt idx="21">
                  <c:v>855</c:v>
                </c:pt>
                <c:pt idx="22">
                  <c:v>731</c:v>
                </c:pt>
                <c:pt idx="23">
                  <c:v>837</c:v>
                </c:pt>
                <c:pt idx="24">
                  <c:v>965</c:v>
                </c:pt>
                <c:pt idx="25">
                  <c:v>802</c:v>
                </c:pt>
                <c:pt idx="26">
                  <c:v>979</c:v>
                </c:pt>
                <c:pt idx="27">
                  <c:v>947</c:v>
                </c:pt>
                <c:pt idx="28">
                  <c:v>763</c:v>
                </c:pt>
                <c:pt idx="29">
                  <c:v>986</c:v>
                </c:pt>
                <c:pt idx="30">
                  <c:v>915</c:v>
                </c:pt>
                <c:pt idx="31">
                  <c:v>954</c:v>
                </c:pt>
                <c:pt idx="32">
                  <c:v>926</c:v>
                </c:pt>
                <c:pt idx="33">
                  <c:v>830</c:v>
                </c:pt>
                <c:pt idx="34">
                  <c:v>788</c:v>
                </c:pt>
                <c:pt idx="35">
                  <c:v>834</c:v>
                </c:pt>
                <c:pt idx="36">
                  <c:v>752</c:v>
                </c:pt>
                <c:pt idx="37">
                  <c:v>866</c:v>
                </c:pt>
                <c:pt idx="38">
                  <c:v>884</c:v>
                </c:pt>
              </c:numCache>
            </c:numRef>
          </c:xVal>
          <c:yVal>
            <c:numRef>
              <c:f>('After capilar 19Jun'!$AN$49:$AN$68,'After capilar 19Jun'!$AN$71:$AN$89)</c:f>
              <c:numCache>
                <c:formatCode>General</c:formatCode>
                <c:ptCount val="39"/>
                <c:pt idx="0">
                  <c:v>796</c:v>
                </c:pt>
                <c:pt idx="1">
                  <c:v>2879</c:v>
                </c:pt>
                <c:pt idx="2">
                  <c:v>1270</c:v>
                </c:pt>
                <c:pt idx="3">
                  <c:v>1277</c:v>
                </c:pt>
                <c:pt idx="4">
                  <c:v>1432</c:v>
                </c:pt>
                <c:pt idx="5">
                  <c:v>2049</c:v>
                </c:pt>
                <c:pt idx="6">
                  <c:v>1176</c:v>
                </c:pt>
                <c:pt idx="7">
                  <c:v>1490</c:v>
                </c:pt>
                <c:pt idx="8">
                  <c:v>10181</c:v>
                </c:pt>
                <c:pt idx="9">
                  <c:v>5571</c:v>
                </c:pt>
                <c:pt idx="12">
                  <c:v>7929</c:v>
                </c:pt>
                <c:pt idx="13">
                  <c:v>4989</c:v>
                </c:pt>
                <c:pt idx="14">
                  <c:v>6661</c:v>
                </c:pt>
                <c:pt idx="15">
                  <c:v>5039</c:v>
                </c:pt>
                <c:pt idx="16">
                  <c:v>5765</c:v>
                </c:pt>
                <c:pt idx="17">
                  <c:v>5861</c:v>
                </c:pt>
                <c:pt idx="18">
                  <c:v>4076</c:v>
                </c:pt>
                <c:pt idx="19">
                  <c:v>3360</c:v>
                </c:pt>
                <c:pt idx="20">
                  <c:v>7922</c:v>
                </c:pt>
                <c:pt idx="21">
                  <c:v>6557</c:v>
                </c:pt>
                <c:pt idx="22">
                  <c:v>2815</c:v>
                </c:pt>
                <c:pt idx="23">
                  <c:v>6225</c:v>
                </c:pt>
                <c:pt idx="24">
                  <c:v>11260</c:v>
                </c:pt>
                <c:pt idx="25">
                  <c:v>6664</c:v>
                </c:pt>
                <c:pt idx="26">
                  <c:v>12256</c:v>
                </c:pt>
                <c:pt idx="27">
                  <c:v>10563</c:v>
                </c:pt>
                <c:pt idx="28">
                  <c:v>5387</c:v>
                </c:pt>
                <c:pt idx="29">
                  <c:v>11312</c:v>
                </c:pt>
                <c:pt idx="30">
                  <c:v>10347</c:v>
                </c:pt>
                <c:pt idx="31">
                  <c:v>11198</c:v>
                </c:pt>
                <c:pt idx="32">
                  <c:v>12166</c:v>
                </c:pt>
                <c:pt idx="33">
                  <c:v>7196</c:v>
                </c:pt>
                <c:pt idx="34">
                  <c:v>6617</c:v>
                </c:pt>
                <c:pt idx="35">
                  <c:v>8394</c:v>
                </c:pt>
                <c:pt idx="36">
                  <c:v>6031</c:v>
                </c:pt>
                <c:pt idx="37">
                  <c:v>8146</c:v>
                </c:pt>
                <c:pt idx="38">
                  <c:v>6557</c:v>
                </c:pt>
              </c:numCache>
            </c:numRef>
          </c:yVal>
          <c:smooth val="0"/>
        </c:ser>
        <c:ser>
          <c:idx val="5"/>
          <c:order val="6"/>
          <c:tx>
            <c:v>15/jul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B818AD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('After adjust 15Jul'!$B$8,'After adjust 15Jul'!$B$20,'After adjust 15Jul'!$B$32,'After adjust 15Jul'!$B$44,'After adjust 15Jul'!$B$56,'After adjust 15Jul'!$B$68,'After adjust 15Jul'!$B$80,'After adjust 15Jul'!$B$92,'After adjust 15Jul'!$B$104,'After adjust 15Jul'!$B$116,'After adjust 15Jul'!$B$128,'After adjust 15Jul'!$B$140,'After adjust 15Jul'!$B$152,'After adjust 15Jul'!$B$164,'After adjust 15Jul'!$B$176)</c:f>
              <c:numCache>
                <c:formatCode>General</c:formatCode>
                <c:ptCount val="15"/>
                <c:pt idx="0">
                  <c:v>444</c:v>
                </c:pt>
                <c:pt idx="1">
                  <c:v>494</c:v>
                </c:pt>
                <c:pt idx="2">
                  <c:v>466</c:v>
                </c:pt>
                <c:pt idx="3">
                  <c:v>632</c:v>
                </c:pt>
                <c:pt idx="4">
                  <c:v>600</c:v>
                </c:pt>
                <c:pt idx="5">
                  <c:v>639</c:v>
                </c:pt>
                <c:pt idx="6">
                  <c:v>494</c:v>
                </c:pt>
                <c:pt idx="7">
                  <c:v>770</c:v>
                </c:pt>
                <c:pt idx="8">
                  <c:v>752</c:v>
                </c:pt>
                <c:pt idx="9">
                  <c:v>653</c:v>
                </c:pt>
                <c:pt idx="10">
                  <c:v>767</c:v>
                </c:pt>
                <c:pt idx="11">
                  <c:v>837</c:v>
                </c:pt>
                <c:pt idx="12">
                  <c:v>837</c:v>
                </c:pt>
                <c:pt idx="13">
                  <c:v>891</c:v>
                </c:pt>
                <c:pt idx="14">
                  <c:v>841</c:v>
                </c:pt>
              </c:numCache>
            </c:numRef>
          </c:xVal>
          <c:yVal>
            <c:numRef>
              <c:f>('After adjust 15Jul'!$B$11,'After adjust 15Jul'!$B$23,'After adjust 15Jul'!$B$35,'After adjust 15Jul'!$B$47,'After adjust 15Jul'!$B$59,'After adjust 15Jul'!$B$71,'After adjust 15Jul'!$B$83,'After adjust 15Jul'!$B$95,'After adjust 15Jul'!$B$107,'After adjust 15Jul'!$B$119,'After adjust 15Jul'!$B$131,'After adjust 15Jul'!$B$143,'After adjust 15Jul'!$B$155,'After adjust 15Jul'!$B$167,'After adjust 15Jul'!$B$179)</c:f>
              <c:numCache>
                <c:formatCode>General</c:formatCode>
                <c:ptCount val="15"/>
                <c:pt idx="0">
                  <c:v>1828.71</c:v>
                </c:pt>
                <c:pt idx="1">
                  <c:v>2377.2600000000002</c:v>
                </c:pt>
                <c:pt idx="2">
                  <c:v>2008.04</c:v>
                </c:pt>
                <c:pt idx="3">
                  <c:v>3889.05</c:v>
                </c:pt>
                <c:pt idx="4">
                  <c:v>3440.24</c:v>
                </c:pt>
                <c:pt idx="5">
                  <c:v>3809.05</c:v>
                </c:pt>
                <c:pt idx="6">
                  <c:v>2435.92</c:v>
                </c:pt>
                <c:pt idx="7">
                  <c:v>6700.88</c:v>
                </c:pt>
                <c:pt idx="8">
                  <c:v>5856.5</c:v>
                </c:pt>
                <c:pt idx="9">
                  <c:v>3646.66</c:v>
                </c:pt>
                <c:pt idx="10">
                  <c:v>5735.82</c:v>
                </c:pt>
                <c:pt idx="11">
                  <c:v>7555.78</c:v>
                </c:pt>
                <c:pt idx="12">
                  <c:v>7197.33</c:v>
                </c:pt>
                <c:pt idx="13">
                  <c:v>9164.5400000000009</c:v>
                </c:pt>
                <c:pt idx="14">
                  <c:v>7557.75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72064"/>
        <c:axId val="128272640"/>
      </c:scatterChart>
      <c:valAx>
        <c:axId val="128272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8272640"/>
        <c:crosses val="autoZero"/>
        <c:crossBetween val="midCat"/>
      </c:valAx>
      <c:valAx>
        <c:axId val="12827264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Initial intensity (mV)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8272064"/>
        <c:crosses val="autoZero"/>
        <c:crossBetween val="midCat"/>
      </c:valAx>
    </c:plotArea>
    <c:legend>
      <c:legendPos val="b"/>
      <c:legendEntry>
        <c:idx val="7"/>
        <c:delete val="1"/>
      </c:legendEntry>
      <c:layout>
        <c:manualLayout>
          <c:xMode val="edge"/>
          <c:yMode val="edge"/>
          <c:x val="8.573637113996356E-3"/>
          <c:y val="0.8714124054651271"/>
          <c:w val="0.97232608819072319"/>
          <c:h val="0.1034800799153837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" l="0.70000000000000095" r="0.70000000000000095" t="0.750000000000002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d18O</a:t>
            </a:r>
            <a:r>
              <a:rPr lang="en-US" baseline="0"/>
              <a:t> </a:t>
            </a:r>
            <a:r>
              <a:rPr lang="en-US"/>
              <a:t>means</a:t>
            </a:r>
          </a:p>
        </c:rich>
      </c:tx>
      <c:layout>
        <c:manualLayout>
          <c:xMode val="edge"/>
          <c:yMode val="edge"/>
          <c:x val="0.77321336436366084"/>
          <c:y val="0.72675521329064641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15323647112699"/>
          <c:y val="0.18112744756463001"/>
          <c:w val="0.85793892667917104"/>
          <c:h val="0.5759224827482935"/>
        </c:manualLayout>
      </c:layout>
      <c:scatterChart>
        <c:scatterStyle val="lineMarker"/>
        <c:varyColors val="0"/>
        <c:ser>
          <c:idx val="1"/>
          <c:order val="0"/>
          <c:tx>
            <c:v>Previous d18O</c:v>
          </c:tx>
          <c:spPr>
            <a:ln w="28575">
              <a:noFill/>
            </a:ln>
          </c:spPr>
          <c:marker>
            <c:symbol val="diamond"/>
            <c:size val="5"/>
            <c:spPr>
              <a:noFill/>
              <a:ln>
                <a:solidFill>
                  <a:schemeClr val="accent1"/>
                </a:solidFill>
              </a:ln>
            </c:spPr>
          </c:marker>
          <c:xVal>
            <c:numRef>
              <c:f>'After instal'!$AJ$6:$AJ$117</c:f>
              <c:numCache>
                <c:formatCode>General</c:formatCode>
                <c:ptCount val="112"/>
                <c:pt idx="0">
                  <c:v>1775</c:v>
                </c:pt>
                <c:pt idx="1">
                  <c:v>1729</c:v>
                </c:pt>
                <c:pt idx="2">
                  <c:v>1375</c:v>
                </c:pt>
                <c:pt idx="3">
                  <c:v>1177</c:v>
                </c:pt>
                <c:pt idx="4">
                  <c:v>1187</c:v>
                </c:pt>
                <c:pt idx="5">
                  <c:v>1195</c:v>
                </c:pt>
                <c:pt idx="6">
                  <c:v>1652</c:v>
                </c:pt>
                <c:pt idx="7">
                  <c:v>1146</c:v>
                </c:pt>
                <c:pt idx="10">
                  <c:v>1321</c:v>
                </c:pt>
                <c:pt idx="11">
                  <c:v>903</c:v>
                </c:pt>
                <c:pt idx="12">
                  <c:v>1068</c:v>
                </c:pt>
                <c:pt idx="13">
                  <c:v>1558</c:v>
                </c:pt>
                <c:pt idx="14">
                  <c:v>1676</c:v>
                </c:pt>
                <c:pt idx="15">
                  <c:v>1427</c:v>
                </c:pt>
                <c:pt idx="16">
                  <c:v>917</c:v>
                </c:pt>
                <c:pt idx="17">
                  <c:v>1532</c:v>
                </c:pt>
                <c:pt idx="18">
                  <c:v>1593</c:v>
                </c:pt>
                <c:pt idx="19">
                  <c:v>1711</c:v>
                </c:pt>
                <c:pt idx="20">
                  <c:v>1635</c:v>
                </c:pt>
                <c:pt idx="21">
                  <c:v>1641</c:v>
                </c:pt>
                <c:pt idx="24">
                  <c:v>9</c:v>
                </c:pt>
                <c:pt idx="27">
                  <c:v>1355</c:v>
                </c:pt>
                <c:pt idx="28">
                  <c:v>1513</c:v>
                </c:pt>
                <c:pt idx="29">
                  <c:v>1748</c:v>
                </c:pt>
                <c:pt idx="32">
                  <c:v>967</c:v>
                </c:pt>
                <c:pt idx="33">
                  <c:v>1496</c:v>
                </c:pt>
                <c:pt idx="34">
                  <c:v>1185</c:v>
                </c:pt>
                <c:pt idx="35">
                  <c:v>1097</c:v>
                </c:pt>
                <c:pt idx="36">
                  <c:v>1386</c:v>
                </c:pt>
                <c:pt idx="37">
                  <c:v>942</c:v>
                </c:pt>
                <c:pt idx="40">
                  <c:v>1201</c:v>
                </c:pt>
                <c:pt idx="41">
                  <c:v>1540</c:v>
                </c:pt>
                <c:pt idx="42">
                  <c:v>2014</c:v>
                </c:pt>
                <c:pt idx="43">
                  <c:v>1622</c:v>
                </c:pt>
                <c:pt idx="44">
                  <c:v>1696</c:v>
                </c:pt>
                <c:pt idx="45">
                  <c:v>1644</c:v>
                </c:pt>
                <c:pt idx="48">
                  <c:v>1614</c:v>
                </c:pt>
                <c:pt idx="49">
                  <c:v>1382</c:v>
                </c:pt>
                <c:pt idx="50">
                  <c:v>1399</c:v>
                </c:pt>
                <c:pt idx="51">
                  <c:v>1679</c:v>
                </c:pt>
                <c:pt idx="52">
                  <c:v>1809</c:v>
                </c:pt>
                <c:pt idx="53">
                  <c:v>1454</c:v>
                </c:pt>
                <c:pt idx="58">
                  <c:v>631</c:v>
                </c:pt>
                <c:pt idx="59">
                  <c:v>12</c:v>
                </c:pt>
                <c:pt idx="60">
                  <c:v>407</c:v>
                </c:pt>
                <c:pt idx="61">
                  <c:v>245</c:v>
                </c:pt>
                <c:pt idx="62">
                  <c:v>435</c:v>
                </c:pt>
                <c:pt idx="65">
                  <c:v>1061</c:v>
                </c:pt>
                <c:pt idx="66">
                  <c:v>888</c:v>
                </c:pt>
                <c:pt idx="67">
                  <c:v>646</c:v>
                </c:pt>
                <c:pt idx="68">
                  <c:v>1149</c:v>
                </c:pt>
                <c:pt idx="69">
                  <c:v>1310</c:v>
                </c:pt>
                <c:pt idx="72">
                  <c:v>1467</c:v>
                </c:pt>
                <c:pt idx="73">
                  <c:v>1527</c:v>
                </c:pt>
                <c:pt idx="74">
                  <c:v>1519</c:v>
                </c:pt>
                <c:pt idx="75">
                  <c:v>1444</c:v>
                </c:pt>
                <c:pt idx="76">
                  <c:v>1112</c:v>
                </c:pt>
                <c:pt idx="81">
                  <c:v>3698</c:v>
                </c:pt>
                <c:pt idx="82">
                  <c:v>3878</c:v>
                </c:pt>
                <c:pt idx="83">
                  <c:v>3608</c:v>
                </c:pt>
                <c:pt idx="84">
                  <c:v>3130</c:v>
                </c:pt>
                <c:pt idx="85">
                  <c:v>2954</c:v>
                </c:pt>
                <c:pt idx="86">
                  <c:v>4325</c:v>
                </c:pt>
                <c:pt idx="87">
                  <c:v>4032</c:v>
                </c:pt>
                <c:pt idx="88">
                  <c:v>3096</c:v>
                </c:pt>
                <c:pt idx="93">
                  <c:v>4090</c:v>
                </c:pt>
                <c:pt idx="96">
                  <c:v>2672</c:v>
                </c:pt>
                <c:pt idx="97">
                  <c:v>2761</c:v>
                </c:pt>
                <c:pt idx="98">
                  <c:v>3662</c:v>
                </c:pt>
                <c:pt idx="99">
                  <c:v>3629</c:v>
                </c:pt>
                <c:pt idx="100">
                  <c:v>3554</c:v>
                </c:pt>
                <c:pt idx="101">
                  <c:v>982</c:v>
                </c:pt>
                <c:pt idx="106">
                  <c:v>1600</c:v>
                </c:pt>
                <c:pt idx="109">
                  <c:v>3209</c:v>
                </c:pt>
                <c:pt idx="110">
                  <c:v>2731</c:v>
                </c:pt>
                <c:pt idx="111">
                  <c:v>8</c:v>
                </c:pt>
              </c:numCache>
            </c:numRef>
          </c:xVal>
          <c:yVal>
            <c:numRef>
              <c:f>'After instal'!$F$6:$F$117</c:f>
              <c:numCache>
                <c:formatCode>General</c:formatCode>
                <c:ptCount val="112"/>
                <c:pt idx="0">
                  <c:v>-2.4319999999999999</c:v>
                </c:pt>
                <c:pt idx="1">
                  <c:v>-2.1040000000000001</c:v>
                </c:pt>
                <c:pt idx="2">
                  <c:v>-2.339</c:v>
                </c:pt>
                <c:pt idx="3">
                  <c:v>-2.0630000000000002</c:v>
                </c:pt>
                <c:pt idx="4">
                  <c:v>-2.2970000000000002</c:v>
                </c:pt>
                <c:pt idx="5">
                  <c:v>-2.1259999999999999</c:v>
                </c:pt>
                <c:pt idx="6">
                  <c:v>-2.3029999999999999</c:v>
                </c:pt>
                <c:pt idx="7">
                  <c:v>-2.2480000000000002</c:v>
                </c:pt>
                <c:pt idx="10">
                  <c:v>-2.4569999999999999</c:v>
                </c:pt>
                <c:pt idx="11">
                  <c:v>-3.0129999999999999</c:v>
                </c:pt>
                <c:pt idx="12">
                  <c:v>-3.0680000000000001</c:v>
                </c:pt>
                <c:pt idx="13">
                  <c:v>-2.177</c:v>
                </c:pt>
                <c:pt idx="14">
                  <c:v>-2.3730000000000002</c:v>
                </c:pt>
                <c:pt idx="15">
                  <c:v>-2.1789999999999998</c:v>
                </c:pt>
                <c:pt idx="16">
                  <c:v>-3.3929999999999998</c:v>
                </c:pt>
                <c:pt idx="17">
                  <c:v>-2.17</c:v>
                </c:pt>
                <c:pt idx="18">
                  <c:v>-2.5099999999999998</c:v>
                </c:pt>
                <c:pt idx="19">
                  <c:v>-2.278</c:v>
                </c:pt>
                <c:pt idx="20">
                  <c:v>-2.4969999999999999</c:v>
                </c:pt>
                <c:pt idx="21">
                  <c:v>-2.2120000000000002</c:v>
                </c:pt>
                <c:pt idx="24">
                  <c:v>-18.856999999999999</c:v>
                </c:pt>
                <c:pt idx="27">
                  <c:v>-2.6890000000000001</c:v>
                </c:pt>
                <c:pt idx="28">
                  <c:v>-2.3610000000000002</c:v>
                </c:pt>
                <c:pt idx="29">
                  <c:v>-2.2730000000000001</c:v>
                </c:pt>
                <c:pt idx="32">
                  <c:v>-3.4609999999999999</c:v>
                </c:pt>
                <c:pt idx="33">
                  <c:v>-2.1840000000000002</c:v>
                </c:pt>
                <c:pt idx="34">
                  <c:v>-2.633</c:v>
                </c:pt>
                <c:pt idx="35">
                  <c:v>-2.4300000000000002</c:v>
                </c:pt>
                <c:pt idx="36">
                  <c:v>-2.5649999999999999</c:v>
                </c:pt>
                <c:pt idx="37">
                  <c:v>-2.7869999999999999</c:v>
                </c:pt>
                <c:pt idx="40">
                  <c:v>-2.6160000000000001</c:v>
                </c:pt>
                <c:pt idx="41">
                  <c:v>-2.2669999999999999</c:v>
                </c:pt>
                <c:pt idx="42">
                  <c:v>-2.5310000000000001</c:v>
                </c:pt>
                <c:pt idx="43">
                  <c:v>-2.234</c:v>
                </c:pt>
                <c:pt idx="44">
                  <c:v>-2.5430000000000001</c:v>
                </c:pt>
                <c:pt idx="45">
                  <c:v>-2.1859999999999999</c:v>
                </c:pt>
                <c:pt idx="48">
                  <c:v>-2.5230000000000001</c:v>
                </c:pt>
                <c:pt idx="49">
                  <c:v>-2.2040000000000002</c:v>
                </c:pt>
                <c:pt idx="50">
                  <c:v>-2.4950000000000001</c:v>
                </c:pt>
                <c:pt idx="51">
                  <c:v>-2.1560000000000001</c:v>
                </c:pt>
                <c:pt idx="52">
                  <c:v>-2.4500000000000002</c:v>
                </c:pt>
                <c:pt idx="53">
                  <c:v>-2.0950000000000002</c:v>
                </c:pt>
                <c:pt idx="56">
                  <c:v>0</c:v>
                </c:pt>
                <c:pt idx="58">
                  <c:v>-9.7859999999999996</c:v>
                </c:pt>
                <c:pt idx="59">
                  <c:v>-26.547999999999998</c:v>
                </c:pt>
                <c:pt idx="60">
                  <c:v>-8.968</c:v>
                </c:pt>
                <c:pt idx="61">
                  <c:v>-30.312000000000001</c:v>
                </c:pt>
                <c:pt idx="62">
                  <c:v>-9.1479999999999997</c:v>
                </c:pt>
                <c:pt idx="65">
                  <c:v>-3.6779999999999999</c:v>
                </c:pt>
                <c:pt idx="66">
                  <c:v>-2.9660000000000002</c:v>
                </c:pt>
                <c:pt idx="67">
                  <c:v>-4.5949999999999998</c:v>
                </c:pt>
                <c:pt idx="68">
                  <c:v>-2.7040000000000002</c:v>
                </c:pt>
                <c:pt idx="69">
                  <c:v>-3.3490000000000002</c:v>
                </c:pt>
                <c:pt idx="72">
                  <c:v>-2.3839999999999999</c:v>
                </c:pt>
                <c:pt idx="73">
                  <c:v>-2.1669999999999998</c:v>
                </c:pt>
                <c:pt idx="74">
                  <c:v>-2.3959999999999999</c:v>
                </c:pt>
                <c:pt idx="75">
                  <c:v>-2.157</c:v>
                </c:pt>
                <c:pt idx="76">
                  <c:v>-2.847</c:v>
                </c:pt>
                <c:pt idx="79">
                  <c:v>0</c:v>
                </c:pt>
                <c:pt idx="81">
                  <c:v>-2.0939999999999999</c:v>
                </c:pt>
                <c:pt idx="82">
                  <c:v>-2.258</c:v>
                </c:pt>
                <c:pt idx="83">
                  <c:v>-2.3119999999999998</c:v>
                </c:pt>
                <c:pt idx="84">
                  <c:v>-2.4209999999999998</c:v>
                </c:pt>
                <c:pt idx="85">
                  <c:v>-2.2679999999999998</c:v>
                </c:pt>
                <c:pt idx="86">
                  <c:v>-2.3879999999999999</c:v>
                </c:pt>
                <c:pt idx="87">
                  <c:v>-2.3090000000000002</c:v>
                </c:pt>
                <c:pt idx="88">
                  <c:v>-2.6080000000000001</c:v>
                </c:pt>
                <c:pt idx="91">
                  <c:v>0</c:v>
                </c:pt>
                <c:pt idx="93">
                  <c:v>-2.2930000000000001</c:v>
                </c:pt>
                <c:pt idx="96">
                  <c:v>-2.2879999999999998</c:v>
                </c:pt>
                <c:pt idx="97">
                  <c:v>-2.2949999999999999</c:v>
                </c:pt>
                <c:pt idx="98">
                  <c:v>-2.347</c:v>
                </c:pt>
                <c:pt idx="99">
                  <c:v>-2.2309999999999999</c:v>
                </c:pt>
                <c:pt idx="100">
                  <c:v>-2.35</c:v>
                </c:pt>
                <c:pt idx="101">
                  <c:v>-2.7120000000000002</c:v>
                </c:pt>
                <c:pt idx="104">
                  <c:v>0</c:v>
                </c:pt>
                <c:pt idx="106">
                  <c:v>1.123</c:v>
                </c:pt>
                <c:pt idx="109">
                  <c:v>-2.2789999999999999</c:v>
                </c:pt>
                <c:pt idx="110">
                  <c:v>-2.367</c:v>
                </c:pt>
                <c:pt idx="111">
                  <c:v>-14.964</c:v>
                </c:pt>
              </c:numCache>
            </c:numRef>
          </c:yVal>
          <c:smooth val="0"/>
        </c:ser>
        <c:ser>
          <c:idx val="3"/>
          <c:order val="1"/>
          <c:tx>
            <c:v>d18O</c:v>
          </c:tx>
          <c:spPr>
            <a:ln w="19050">
              <a:solidFill>
                <a:schemeClr val="accent2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7000</c:v>
              </c:pt>
            </c:numLit>
          </c:xVal>
          <c:yVal>
            <c:numRef>
              <c:f>'After instal'!$F$2:$F$3</c:f>
              <c:numCache>
                <c:formatCode>General</c:formatCode>
                <c:ptCount val="2"/>
                <c:pt idx="0">
                  <c:v>-2.2000000000000002</c:v>
                </c:pt>
                <c:pt idx="1">
                  <c:v>-2.2000000000000002</c:v>
                </c:pt>
              </c:numCache>
            </c:numRef>
          </c:yVal>
          <c:smooth val="0"/>
        </c:ser>
        <c:ser>
          <c:idx val="7"/>
          <c:order val="2"/>
          <c:tx>
            <c:v>20/mai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'After software 19May'!$AJ$27:$AJ$56</c:f>
              <c:numCache>
                <c:formatCode>General</c:formatCode>
                <c:ptCount val="30"/>
                <c:pt idx="0">
                  <c:v>911</c:v>
                </c:pt>
                <c:pt idx="1">
                  <c:v>1396</c:v>
                </c:pt>
                <c:pt idx="2">
                  <c:v>4528</c:v>
                </c:pt>
                <c:pt idx="3">
                  <c:v>3564</c:v>
                </c:pt>
                <c:pt idx="4">
                  <c:v>4926</c:v>
                </c:pt>
                <c:pt idx="5">
                  <c:v>5536</c:v>
                </c:pt>
                <c:pt idx="6">
                  <c:v>5235</c:v>
                </c:pt>
                <c:pt idx="7">
                  <c:v>4657</c:v>
                </c:pt>
                <c:pt idx="8">
                  <c:v>4947</c:v>
                </c:pt>
                <c:pt idx="9">
                  <c:v>5676</c:v>
                </c:pt>
                <c:pt idx="10">
                  <c:v>1154</c:v>
                </c:pt>
                <c:pt idx="11">
                  <c:v>898</c:v>
                </c:pt>
                <c:pt idx="12">
                  <c:v>2447</c:v>
                </c:pt>
                <c:pt idx="13">
                  <c:v>1987</c:v>
                </c:pt>
                <c:pt idx="14">
                  <c:v>1686</c:v>
                </c:pt>
                <c:pt idx="15">
                  <c:v>1728</c:v>
                </c:pt>
                <c:pt idx="16">
                  <c:v>2366</c:v>
                </c:pt>
                <c:pt idx="17">
                  <c:v>3404</c:v>
                </c:pt>
                <c:pt idx="18">
                  <c:v>3373</c:v>
                </c:pt>
                <c:pt idx="19">
                  <c:v>2600</c:v>
                </c:pt>
                <c:pt idx="20">
                  <c:v>4586</c:v>
                </c:pt>
                <c:pt idx="21">
                  <c:v>6009</c:v>
                </c:pt>
                <c:pt idx="22">
                  <c:v>4339</c:v>
                </c:pt>
                <c:pt idx="23">
                  <c:v>6357</c:v>
                </c:pt>
                <c:pt idx="24">
                  <c:v>7750</c:v>
                </c:pt>
                <c:pt idx="25">
                  <c:v>8073</c:v>
                </c:pt>
                <c:pt idx="26">
                  <c:v>5264</c:v>
                </c:pt>
                <c:pt idx="27">
                  <c:v>7602</c:v>
                </c:pt>
                <c:pt idx="28">
                  <c:v>7957</c:v>
                </c:pt>
                <c:pt idx="29">
                  <c:v>7509</c:v>
                </c:pt>
              </c:numCache>
            </c:numRef>
          </c:xVal>
          <c:yVal>
            <c:numRef>
              <c:f>'After software 19May'!$F$27:$F$56</c:f>
              <c:numCache>
                <c:formatCode>General</c:formatCode>
                <c:ptCount val="30"/>
                <c:pt idx="0">
                  <c:v>-4.7610000000000001</c:v>
                </c:pt>
                <c:pt idx="1">
                  <c:v>-7.0430000000000001</c:v>
                </c:pt>
                <c:pt idx="2">
                  <c:v>-1.8440000000000001</c:v>
                </c:pt>
                <c:pt idx="3">
                  <c:v>-3.0950000000000002</c:v>
                </c:pt>
                <c:pt idx="4">
                  <c:v>-1.726</c:v>
                </c:pt>
                <c:pt idx="5">
                  <c:v>-2.331</c:v>
                </c:pt>
                <c:pt idx="6">
                  <c:v>-3.1789999999999998</c:v>
                </c:pt>
                <c:pt idx="7">
                  <c:v>-1.498</c:v>
                </c:pt>
                <c:pt idx="8">
                  <c:v>-2.347</c:v>
                </c:pt>
                <c:pt idx="9">
                  <c:v>-3.1480000000000001</c:v>
                </c:pt>
                <c:pt idx="10">
                  <c:v>-2.2530000000000001</c:v>
                </c:pt>
                <c:pt idx="11">
                  <c:v>-4.7140000000000004</c:v>
                </c:pt>
                <c:pt idx="12">
                  <c:v>-4.3849999999999998</c:v>
                </c:pt>
                <c:pt idx="13">
                  <c:v>-1.925</c:v>
                </c:pt>
                <c:pt idx="14">
                  <c:v>-2.9420000000000002</c:v>
                </c:pt>
                <c:pt idx="15">
                  <c:v>-4.8319999999999999</c:v>
                </c:pt>
                <c:pt idx="16">
                  <c:v>-1.675</c:v>
                </c:pt>
                <c:pt idx="17">
                  <c:v>-2.5289999999999999</c:v>
                </c:pt>
                <c:pt idx="18">
                  <c:v>-3.6579999999999999</c:v>
                </c:pt>
                <c:pt idx="19">
                  <c:v>-2.0510000000000002</c:v>
                </c:pt>
                <c:pt idx="20">
                  <c:v>-2.488</c:v>
                </c:pt>
                <c:pt idx="21">
                  <c:v>-2.85</c:v>
                </c:pt>
                <c:pt idx="22">
                  <c:v>-1.88</c:v>
                </c:pt>
                <c:pt idx="23">
                  <c:v>-2.8410000000000002</c:v>
                </c:pt>
                <c:pt idx="24">
                  <c:v>-2.0070000000000001</c:v>
                </c:pt>
                <c:pt idx="25">
                  <c:v>-1.998</c:v>
                </c:pt>
                <c:pt idx="26">
                  <c:v>-1.8620000000000001</c:v>
                </c:pt>
                <c:pt idx="27">
                  <c:v>-2.2799999999999998</c:v>
                </c:pt>
                <c:pt idx="28">
                  <c:v>-2.722</c:v>
                </c:pt>
                <c:pt idx="29">
                  <c:v>-1.9730000000000001</c:v>
                </c:pt>
              </c:numCache>
            </c:numRef>
          </c:yVal>
          <c:smooth val="0"/>
        </c:ser>
        <c:ser>
          <c:idx val="4"/>
          <c:order val="3"/>
          <c:tx>
            <c:v>08/jun</c:v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</c:spPr>
          </c:marker>
          <c:xVal>
            <c:numRef>
              <c:f>'After Oring 29May'!$AJ$66:$AJ$111</c:f>
              <c:numCache>
                <c:formatCode>General</c:formatCode>
                <c:ptCount val="46"/>
                <c:pt idx="0">
                  <c:v>2938</c:v>
                </c:pt>
                <c:pt idx="1">
                  <c:v>3096</c:v>
                </c:pt>
                <c:pt idx="2">
                  <c:v>3024</c:v>
                </c:pt>
                <c:pt idx="3">
                  <c:v>3249</c:v>
                </c:pt>
                <c:pt idx="4">
                  <c:v>2774</c:v>
                </c:pt>
                <c:pt idx="5">
                  <c:v>2110</c:v>
                </c:pt>
                <c:pt idx="6">
                  <c:v>2785</c:v>
                </c:pt>
                <c:pt idx="7">
                  <c:v>2472</c:v>
                </c:pt>
                <c:pt idx="8">
                  <c:v>2662</c:v>
                </c:pt>
                <c:pt idx="9">
                  <c:v>2638</c:v>
                </c:pt>
                <c:pt idx="10">
                  <c:v>2398</c:v>
                </c:pt>
                <c:pt idx="11">
                  <c:v>2451</c:v>
                </c:pt>
                <c:pt idx="12">
                  <c:v>1778</c:v>
                </c:pt>
                <c:pt idx="13">
                  <c:v>3839</c:v>
                </c:pt>
                <c:pt idx="14">
                  <c:v>2154</c:v>
                </c:pt>
                <c:pt idx="15">
                  <c:v>3170</c:v>
                </c:pt>
                <c:pt idx="16">
                  <c:v>3174</c:v>
                </c:pt>
                <c:pt idx="17">
                  <c:v>2307</c:v>
                </c:pt>
                <c:pt idx="18">
                  <c:v>2333</c:v>
                </c:pt>
                <c:pt idx="19">
                  <c:v>2496</c:v>
                </c:pt>
                <c:pt idx="20">
                  <c:v>2646</c:v>
                </c:pt>
                <c:pt idx="21">
                  <c:v>2786</c:v>
                </c:pt>
                <c:pt idx="22">
                  <c:v>2526</c:v>
                </c:pt>
                <c:pt idx="23">
                  <c:v>2829</c:v>
                </c:pt>
                <c:pt idx="24">
                  <c:v>2731</c:v>
                </c:pt>
                <c:pt idx="25">
                  <c:v>2645</c:v>
                </c:pt>
                <c:pt idx="26">
                  <c:v>3003</c:v>
                </c:pt>
                <c:pt idx="27">
                  <c:v>2548</c:v>
                </c:pt>
                <c:pt idx="28">
                  <c:v>2726</c:v>
                </c:pt>
                <c:pt idx="29">
                  <c:v>2605</c:v>
                </c:pt>
                <c:pt idx="30">
                  <c:v>2046</c:v>
                </c:pt>
                <c:pt idx="31">
                  <c:v>3012</c:v>
                </c:pt>
                <c:pt idx="32">
                  <c:v>2629</c:v>
                </c:pt>
                <c:pt idx="33">
                  <c:v>2514</c:v>
                </c:pt>
                <c:pt idx="34">
                  <c:v>2761</c:v>
                </c:pt>
                <c:pt idx="35">
                  <c:v>2059</c:v>
                </c:pt>
                <c:pt idx="36">
                  <c:v>2984</c:v>
                </c:pt>
                <c:pt idx="37">
                  <c:v>2784</c:v>
                </c:pt>
                <c:pt idx="38">
                  <c:v>2229</c:v>
                </c:pt>
                <c:pt idx="39">
                  <c:v>2616</c:v>
                </c:pt>
                <c:pt idx="40">
                  <c:v>2879</c:v>
                </c:pt>
                <c:pt idx="41">
                  <c:v>2423</c:v>
                </c:pt>
                <c:pt idx="42">
                  <c:v>3068</c:v>
                </c:pt>
                <c:pt idx="43">
                  <c:v>2820</c:v>
                </c:pt>
                <c:pt idx="44">
                  <c:v>2997</c:v>
                </c:pt>
                <c:pt idx="45">
                  <c:v>2612</c:v>
                </c:pt>
              </c:numCache>
            </c:numRef>
          </c:xVal>
          <c:yVal>
            <c:numRef>
              <c:f>'After Oring 29May'!$F$66:$F$111</c:f>
              <c:numCache>
                <c:formatCode>General</c:formatCode>
                <c:ptCount val="46"/>
                <c:pt idx="0">
                  <c:v>-2.444</c:v>
                </c:pt>
                <c:pt idx="1">
                  <c:v>-2.4580000000000002</c:v>
                </c:pt>
                <c:pt idx="2">
                  <c:v>-2.3929999999999998</c:v>
                </c:pt>
                <c:pt idx="3">
                  <c:v>-2.4239999999999999</c:v>
                </c:pt>
                <c:pt idx="4">
                  <c:v>-2.5270000000000001</c:v>
                </c:pt>
                <c:pt idx="5">
                  <c:v>-2.5209999999999999</c:v>
                </c:pt>
                <c:pt idx="6">
                  <c:v>-2.5790000000000002</c:v>
                </c:pt>
                <c:pt idx="7">
                  <c:v>-2.5070000000000001</c:v>
                </c:pt>
                <c:pt idx="8">
                  <c:v>-2.6320000000000001</c:v>
                </c:pt>
                <c:pt idx="9">
                  <c:v>-2.4689999999999999</c:v>
                </c:pt>
                <c:pt idx="10">
                  <c:v>-2.5150000000000001</c:v>
                </c:pt>
                <c:pt idx="11">
                  <c:v>-2.5449999999999999</c:v>
                </c:pt>
                <c:pt idx="12">
                  <c:v>-2.6509999999999998</c:v>
                </c:pt>
                <c:pt idx="13">
                  <c:v>-2.339</c:v>
                </c:pt>
                <c:pt idx="14">
                  <c:v>-2.5979999999999999</c:v>
                </c:pt>
                <c:pt idx="15">
                  <c:v>-2.5190000000000001</c:v>
                </c:pt>
                <c:pt idx="16">
                  <c:v>-2.5350000000000001</c:v>
                </c:pt>
                <c:pt idx="17">
                  <c:v>-2.5030000000000001</c:v>
                </c:pt>
                <c:pt idx="18">
                  <c:v>-2.5419999999999998</c:v>
                </c:pt>
                <c:pt idx="19">
                  <c:v>-2.4079999999999999</c:v>
                </c:pt>
                <c:pt idx="20">
                  <c:v>-2.625</c:v>
                </c:pt>
                <c:pt idx="21">
                  <c:v>-2.4630000000000001</c:v>
                </c:pt>
                <c:pt idx="22">
                  <c:v>-2.448</c:v>
                </c:pt>
                <c:pt idx="23">
                  <c:v>-2.4289999999999998</c:v>
                </c:pt>
                <c:pt idx="24">
                  <c:v>-2.5750000000000002</c:v>
                </c:pt>
                <c:pt idx="25">
                  <c:v>-2.339</c:v>
                </c:pt>
                <c:pt idx="26">
                  <c:v>-2.5350000000000001</c:v>
                </c:pt>
                <c:pt idx="27">
                  <c:v>-2.6230000000000002</c:v>
                </c:pt>
                <c:pt idx="28">
                  <c:v>-2.3889999999999998</c:v>
                </c:pt>
                <c:pt idx="29">
                  <c:v>-2.512</c:v>
                </c:pt>
                <c:pt idx="30">
                  <c:v>-2.6019999999999999</c:v>
                </c:pt>
                <c:pt idx="31">
                  <c:v>-2.4380000000000002</c:v>
                </c:pt>
                <c:pt idx="32">
                  <c:v>-2.5009999999999999</c:v>
                </c:pt>
                <c:pt idx="33">
                  <c:v>-2.6059999999999999</c:v>
                </c:pt>
                <c:pt idx="34">
                  <c:v>-2.3370000000000002</c:v>
                </c:pt>
                <c:pt idx="35">
                  <c:v>-2.67</c:v>
                </c:pt>
                <c:pt idx="36">
                  <c:v>-2.4239999999999999</c:v>
                </c:pt>
                <c:pt idx="37">
                  <c:v>-2.69</c:v>
                </c:pt>
                <c:pt idx="38">
                  <c:v>-2.444</c:v>
                </c:pt>
                <c:pt idx="39">
                  <c:v>-2.5339999999999998</c:v>
                </c:pt>
                <c:pt idx="40">
                  <c:v>-2.5859999999999999</c:v>
                </c:pt>
                <c:pt idx="41">
                  <c:v>-2.4860000000000002</c:v>
                </c:pt>
                <c:pt idx="42">
                  <c:v>-2.4969999999999999</c:v>
                </c:pt>
                <c:pt idx="43">
                  <c:v>-2.4079999999999999</c:v>
                </c:pt>
                <c:pt idx="44">
                  <c:v>-2.5150000000000001</c:v>
                </c:pt>
                <c:pt idx="45">
                  <c:v>-2.48</c:v>
                </c:pt>
              </c:numCache>
            </c:numRef>
          </c:yVal>
          <c:smooth val="0"/>
        </c:ser>
        <c:ser>
          <c:idx val="0"/>
          <c:order val="4"/>
          <c:tx>
            <c:v>26/jun</c:v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00B0F0"/>
              </a:solidFill>
              <a:ln>
                <a:solidFill>
                  <a:schemeClr val="accent5"/>
                </a:solidFill>
              </a:ln>
            </c:spPr>
          </c:marker>
          <c:xVal>
            <c:numRef>
              <c:f>'After capilar 19Jun'!$AN$49:$AN$89</c:f>
              <c:numCache>
                <c:formatCode>General</c:formatCode>
                <c:ptCount val="41"/>
                <c:pt idx="0">
                  <c:v>796</c:v>
                </c:pt>
                <c:pt idx="1">
                  <c:v>2879</c:v>
                </c:pt>
                <c:pt idx="2">
                  <c:v>1270</c:v>
                </c:pt>
                <c:pt idx="3">
                  <c:v>1277</c:v>
                </c:pt>
                <c:pt idx="4">
                  <c:v>1432</c:v>
                </c:pt>
                <c:pt idx="5">
                  <c:v>2049</c:v>
                </c:pt>
                <c:pt idx="6">
                  <c:v>1176</c:v>
                </c:pt>
                <c:pt idx="7">
                  <c:v>1490</c:v>
                </c:pt>
                <c:pt idx="8">
                  <c:v>10181</c:v>
                </c:pt>
                <c:pt idx="9">
                  <c:v>5571</c:v>
                </c:pt>
                <c:pt idx="12">
                  <c:v>7929</c:v>
                </c:pt>
                <c:pt idx="13">
                  <c:v>4989</c:v>
                </c:pt>
                <c:pt idx="14">
                  <c:v>6661</c:v>
                </c:pt>
                <c:pt idx="15">
                  <c:v>5039</c:v>
                </c:pt>
                <c:pt idx="16">
                  <c:v>5765</c:v>
                </c:pt>
                <c:pt idx="17">
                  <c:v>5861</c:v>
                </c:pt>
                <c:pt idx="18">
                  <c:v>4076</c:v>
                </c:pt>
                <c:pt idx="19">
                  <c:v>3360</c:v>
                </c:pt>
                <c:pt idx="22">
                  <c:v>7922</c:v>
                </c:pt>
                <c:pt idx="23">
                  <c:v>6557</c:v>
                </c:pt>
                <c:pt idx="24">
                  <c:v>2815</c:v>
                </c:pt>
                <c:pt idx="25">
                  <c:v>6225</c:v>
                </c:pt>
                <c:pt idx="26">
                  <c:v>11260</c:v>
                </c:pt>
                <c:pt idx="27">
                  <c:v>6664</c:v>
                </c:pt>
                <c:pt idx="28">
                  <c:v>12256</c:v>
                </c:pt>
                <c:pt idx="29">
                  <c:v>10563</c:v>
                </c:pt>
                <c:pt idx="30">
                  <c:v>5387</c:v>
                </c:pt>
                <c:pt idx="31">
                  <c:v>11312</c:v>
                </c:pt>
                <c:pt idx="32">
                  <c:v>10347</c:v>
                </c:pt>
                <c:pt idx="33">
                  <c:v>11198</c:v>
                </c:pt>
                <c:pt idx="34">
                  <c:v>12166</c:v>
                </c:pt>
                <c:pt idx="35">
                  <c:v>7196</c:v>
                </c:pt>
                <c:pt idx="36">
                  <c:v>6617</c:v>
                </c:pt>
                <c:pt idx="37">
                  <c:v>8394</c:v>
                </c:pt>
                <c:pt idx="38">
                  <c:v>6031</c:v>
                </c:pt>
                <c:pt idx="39">
                  <c:v>8146</c:v>
                </c:pt>
                <c:pt idx="40">
                  <c:v>6557</c:v>
                </c:pt>
              </c:numCache>
            </c:numRef>
          </c:xVal>
          <c:yVal>
            <c:numRef>
              <c:f>'After capilar 19Jun'!$I$49:$I$89</c:f>
              <c:numCache>
                <c:formatCode>General</c:formatCode>
                <c:ptCount val="41"/>
                <c:pt idx="0">
                  <c:v>-6.2539999999999996</c:v>
                </c:pt>
                <c:pt idx="1">
                  <c:v>-3.331</c:v>
                </c:pt>
                <c:pt idx="2">
                  <c:v>-4.1210000000000004</c:v>
                </c:pt>
                <c:pt idx="3">
                  <c:v>-4.4470000000000001</c:v>
                </c:pt>
                <c:pt idx="4">
                  <c:v>-3.8050000000000002</c:v>
                </c:pt>
                <c:pt idx="5">
                  <c:v>-3.5739999999999998</c:v>
                </c:pt>
                <c:pt idx="6">
                  <c:v>-4.7030000000000003</c:v>
                </c:pt>
                <c:pt idx="7">
                  <c:v>-3.794</c:v>
                </c:pt>
                <c:pt idx="8">
                  <c:v>-2.4689999999999999</c:v>
                </c:pt>
                <c:pt idx="9">
                  <c:v>-2.6680000000000001</c:v>
                </c:pt>
                <c:pt idx="11">
                  <c:v>0</c:v>
                </c:pt>
                <c:pt idx="12">
                  <c:v>-2.6480000000000001</c:v>
                </c:pt>
                <c:pt idx="13">
                  <c:v>-2.819</c:v>
                </c:pt>
                <c:pt idx="14">
                  <c:v>-2.738</c:v>
                </c:pt>
                <c:pt idx="15">
                  <c:v>-2.262</c:v>
                </c:pt>
                <c:pt idx="16">
                  <c:v>-2.8210000000000002</c:v>
                </c:pt>
                <c:pt idx="17">
                  <c:v>-2.819</c:v>
                </c:pt>
                <c:pt idx="18">
                  <c:v>-3.0030000000000001</c:v>
                </c:pt>
                <c:pt idx="19">
                  <c:v>-3.1160000000000001</c:v>
                </c:pt>
                <c:pt idx="21">
                  <c:v>0</c:v>
                </c:pt>
                <c:pt idx="22">
                  <c:v>-2.5579999999999998</c:v>
                </c:pt>
                <c:pt idx="23">
                  <c:v>-2.6829999999999998</c:v>
                </c:pt>
                <c:pt idx="24">
                  <c:v>-1.365</c:v>
                </c:pt>
                <c:pt idx="25">
                  <c:v>-2.6909999999999998</c:v>
                </c:pt>
                <c:pt idx="26">
                  <c:v>-2.4740000000000002</c:v>
                </c:pt>
                <c:pt idx="27">
                  <c:v>-2.6829999999999998</c:v>
                </c:pt>
                <c:pt idx="28">
                  <c:v>-2.6349999999999998</c:v>
                </c:pt>
                <c:pt idx="29">
                  <c:v>-1.899</c:v>
                </c:pt>
                <c:pt idx="30">
                  <c:v>-2.7290000000000001</c:v>
                </c:pt>
                <c:pt idx="31">
                  <c:v>-2.383</c:v>
                </c:pt>
                <c:pt idx="32">
                  <c:v>-2.5659999999999998</c:v>
                </c:pt>
                <c:pt idx="33">
                  <c:v>-2.4420000000000002</c:v>
                </c:pt>
                <c:pt idx="34">
                  <c:v>-2.2189999999999999</c:v>
                </c:pt>
                <c:pt idx="35">
                  <c:v>-2.6640000000000001</c:v>
                </c:pt>
                <c:pt idx="36">
                  <c:v>-2.629</c:v>
                </c:pt>
                <c:pt idx="37">
                  <c:v>-2.4089999999999998</c:v>
                </c:pt>
                <c:pt idx="38">
                  <c:v>-2.7589999999999999</c:v>
                </c:pt>
                <c:pt idx="39">
                  <c:v>-2.5390000000000001</c:v>
                </c:pt>
                <c:pt idx="40">
                  <c:v>-2.4039999999999999</c:v>
                </c:pt>
              </c:numCache>
            </c:numRef>
          </c:yVal>
          <c:smooth val="0"/>
        </c:ser>
        <c:ser>
          <c:idx val="2"/>
          <c:order val="5"/>
          <c:tx>
            <c:v>15/jul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B818AD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('After adjust 15Jul'!$B$11,'After adjust 15Jul'!$B$23,'After adjust 15Jul'!$B$35,'After adjust 15Jul'!$B$47,'After adjust 15Jul'!$B$59,'After adjust 15Jul'!$B$71,'After adjust 15Jul'!$B$83,'After adjust 15Jul'!$B$95,'After adjust 15Jul'!$B$107,'After adjust 15Jul'!$B$119,'After adjust 15Jul'!$B$131,'After adjust 15Jul'!$B$143,'After adjust 15Jul'!$B$155,'After adjust 15Jul'!$B$167,'After adjust 15Jul'!$B$179)</c:f>
              <c:numCache>
                <c:formatCode>General</c:formatCode>
                <c:ptCount val="15"/>
                <c:pt idx="0">
                  <c:v>1828.71</c:v>
                </c:pt>
                <c:pt idx="1">
                  <c:v>2377.2600000000002</c:v>
                </c:pt>
                <c:pt idx="2">
                  <c:v>2008.04</c:v>
                </c:pt>
                <c:pt idx="3">
                  <c:v>3889.05</c:v>
                </c:pt>
                <c:pt idx="4">
                  <c:v>3440.24</c:v>
                </c:pt>
                <c:pt idx="5">
                  <c:v>3809.05</c:v>
                </c:pt>
                <c:pt idx="6">
                  <c:v>2435.92</c:v>
                </c:pt>
                <c:pt idx="7">
                  <c:v>6700.88</c:v>
                </c:pt>
                <c:pt idx="8">
                  <c:v>5856.5</c:v>
                </c:pt>
                <c:pt idx="9">
                  <c:v>3646.66</c:v>
                </c:pt>
                <c:pt idx="10">
                  <c:v>5735.82</c:v>
                </c:pt>
                <c:pt idx="11">
                  <c:v>7555.78</c:v>
                </c:pt>
                <c:pt idx="12">
                  <c:v>7197.33</c:v>
                </c:pt>
                <c:pt idx="13">
                  <c:v>9164.5400000000009</c:v>
                </c:pt>
                <c:pt idx="14">
                  <c:v>7557.75</c:v>
                </c:pt>
              </c:numCache>
            </c:numRef>
          </c:xVal>
          <c:yVal>
            <c:numRef>
              <c:f>('After adjust 15Jul'!$K$5,'After adjust 15Jul'!$K$17,'After adjust 15Jul'!$K$29,'After adjust 15Jul'!$K$41,'After adjust 15Jul'!$K$53,'After adjust 15Jul'!$K$65,'After adjust 15Jul'!$K$77,'After adjust 15Jul'!$K$89,'After adjust 15Jul'!$K$101,'After adjust 15Jul'!$K$113,'After adjust 15Jul'!$K$125,'After adjust 15Jul'!$K$137,'After adjust 15Jul'!$K$149,'After adjust 15Jul'!$K$161,'After adjust 15Jul'!$K$173)</c:f>
              <c:numCache>
                <c:formatCode>General</c:formatCode>
                <c:ptCount val="15"/>
                <c:pt idx="0">
                  <c:v>-3.3050000000000002</c:v>
                </c:pt>
                <c:pt idx="1">
                  <c:v>-3.427</c:v>
                </c:pt>
                <c:pt idx="2">
                  <c:v>-3.1850000000000001</c:v>
                </c:pt>
                <c:pt idx="3">
                  <c:v>-2.8490000000000002</c:v>
                </c:pt>
                <c:pt idx="4">
                  <c:v>-3.1059999999999999</c:v>
                </c:pt>
                <c:pt idx="5">
                  <c:v>-3.0129999999999999</c:v>
                </c:pt>
                <c:pt idx="6">
                  <c:v>-3.3940000000000001</c:v>
                </c:pt>
                <c:pt idx="7">
                  <c:v>-2.75</c:v>
                </c:pt>
                <c:pt idx="8">
                  <c:v>-2.6949999999999998</c:v>
                </c:pt>
                <c:pt idx="10">
                  <c:v>-2.7989999999999999</c:v>
                </c:pt>
                <c:pt idx="11">
                  <c:v>-2.7050000000000001</c:v>
                </c:pt>
                <c:pt idx="13">
                  <c:v>-2.6549999999999998</c:v>
                </c:pt>
                <c:pt idx="14">
                  <c:v>-2.7269999999999999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74368"/>
        <c:axId val="128274944"/>
      </c:scatterChart>
      <c:valAx>
        <c:axId val="128274368"/>
        <c:scaling>
          <c:orientation val="minMax"/>
          <c:max val="7000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Initial intensity (mV)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8274944"/>
        <c:crosses val="max"/>
        <c:crossBetween val="midCat"/>
      </c:valAx>
      <c:valAx>
        <c:axId val="128274944"/>
        <c:scaling>
          <c:orientation val="minMax"/>
          <c:min val="-9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Isotope ratio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8274368"/>
        <c:crosses val="autoZero"/>
        <c:crossBetween val="midCat"/>
      </c:valAx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7.4393251584089562E-2"/>
          <c:y val="0.87110672972534531"/>
          <c:w val="0.5242823151989896"/>
          <c:h val="0.10130483689538808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" l="0.70000000000000095" r="0.70000000000000095" t="0.750000000000001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d13C means</a:t>
            </a:r>
          </a:p>
        </c:rich>
      </c:tx>
      <c:layout>
        <c:manualLayout>
          <c:xMode val="edge"/>
          <c:yMode val="edge"/>
          <c:x val="0.756361326720281"/>
          <c:y val="0.73231716405819647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15323647112699"/>
          <c:y val="0.18112744756463001"/>
          <c:w val="0.85793892667917104"/>
          <c:h val="0.5759224827482935"/>
        </c:manualLayout>
      </c:layout>
      <c:scatterChart>
        <c:scatterStyle val="lineMarker"/>
        <c:varyColors val="0"/>
        <c:ser>
          <c:idx val="0"/>
          <c:order val="0"/>
          <c:tx>
            <c:v>Previous d13C</c:v>
          </c:tx>
          <c:spPr>
            <a:ln w="28575">
              <a:noFill/>
            </a:ln>
          </c:spPr>
          <c:marker>
            <c:symbol val="diamond"/>
            <c:size val="6"/>
            <c:spPr>
              <a:noFill/>
            </c:spPr>
          </c:marker>
          <c:xVal>
            <c:numRef>
              <c:f>'After instal'!$AJ$6:$AJ$117</c:f>
              <c:numCache>
                <c:formatCode>General</c:formatCode>
                <c:ptCount val="112"/>
                <c:pt idx="0">
                  <c:v>1775</c:v>
                </c:pt>
                <c:pt idx="1">
                  <c:v>1729</c:v>
                </c:pt>
                <c:pt idx="2">
                  <c:v>1375</c:v>
                </c:pt>
                <c:pt idx="3">
                  <c:v>1177</c:v>
                </c:pt>
                <c:pt idx="4">
                  <c:v>1187</c:v>
                </c:pt>
                <c:pt idx="5">
                  <c:v>1195</c:v>
                </c:pt>
                <c:pt idx="6">
                  <c:v>1652</c:v>
                </c:pt>
                <c:pt idx="7">
                  <c:v>1146</c:v>
                </c:pt>
                <c:pt idx="10">
                  <c:v>1321</c:v>
                </c:pt>
                <c:pt idx="11">
                  <c:v>903</c:v>
                </c:pt>
                <c:pt idx="12">
                  <c:v>1068</c:v>
                </c:pt>
                <c:pt idx="13">
                  <c:v>1558</c:v>
                </c:pt>
                <c:pt idx="14">
                  <c:v>1676</c:v>
                </c:pt>
                <c:pt idx="15">
                  <c:v>1427</c:v>
                </c:pt>
                <c:pt idx="16">
                  <c:v>917</c:v>
                </c:pt>
                <c:pt idx="17">
                  <c:v>1532</c:v>
                </c:pt>
                <c:pt idx="18">
                  <c:v>1593</c:v>
                </c:pt>
                <c:pt idx="19">
                  <c:v>1711</c:v>
                </c:pt>
                <c:pt idx="20">
                  <c:v>1635</c:v>
                </c:pt>
                <c:pt idx="21">
                  <c:v>1641</c:v>
                </c:pt>
                <c:pt idx="24">
                  <c:v>9</c:v>
                </c:pt>
                <c:pt idx="27">
                  <c:v>1355</c:v>
                </c:pt>
                <c:pt idx="28">
                  <c:v>1513</c:v>
                </c:pt>
                <c:pt idx="29">
                  <c:v>1748</c:v>
                </c:pt>
                <c:pt idx="32">
                  <c:v>967</c:v>
                </c:pt>
                <c:pt idx="33">
                  <c:v>1496</c:v>
                </c:pt>
                <c:pt idx="34">
                  <c:v>1185</c:v>
                </c:pt>
                <c:pt idx="35">
                  <c:v>1097</c:v>
                </c:pt>
                <c:pt idx="36">
                  <c:v>1386</c:v>
                </c:pt>
                <c:pt idx="37">
                  <c:v>942</c:v>
                </c:pt>
                <c:pt idx="40">
                  <c:v>1201</c:v>
                </c:pt>
                <c:pt idx="41">
                  <c:v>1540</c:v>
                </c:pt>
                <c:pt idx="42">
                  <c:v>2014</c:v>
                </c:pt>
                <c:pt idx="43">
                  <c:v>1622</c:v>
                </c:pt>
                <c:pt idx="44">
                  <c:v>1696</c:v>
                </c:pt>
                <c:pt idx="45">
                  <c:v>1644</c:v>
                </c:pt>
                <c:pt idx="48">
                  <c:v>1614</c:v>
                </c:pt>
                <c:pt idx="49">
                  <c:v>1382</c:v>
                </c:pt>
                <c:pt idx="50">
                  <c:v>1399</c:v>
                </c:pt>
                <c:pt idx="51">
                  <c:v>1679</c:v>
                </c:pt>
                <c:pt idx="52">
                  <c:v>1809</c:v>
                </c:pt>
                <c:pt idx="53">
                  <c:v>1454</c:v>
                </c:pt>
                <c:pt idx="58">
                  <c:v>631</c:v>
                </c:pt>
                <c:pt idx="59">
                  <c:v>12</c:v>
                </c:pt>
                <c:pt idx="60">
                  <c:v>407</c:v>
                </c:pt>
                <c:pt idx="61">
                  <c:v>245</c:v>
                </c:pt>
                <c:pt idx="62">
                  <c:v>435</c:v>
                </c:pt>
                <c:pt idx="65">
                  <c:v>1061</c:v>
                </c:pt>
                <c:pt idx="66">
                  <c:v>888</c:v>
                </c:pt>
                <c:pt idx="67">
                  <c:v>646</c:v>
                </c:pt>
                <c:pt idx="68">
                  <c:v>1149</c:v>
                </c:pt>
                <c:pt idx="69">
                  <c:v>1310</c:v>
                </c:pt>
                <c:pt idx="72">
                  <c:v>1467</c:v>
                </c:pt>
                <c:pt idx="73">
                  <c:v>1527</c:v>
                </c:pt>
                <c:pt idx="74">
                  <c:v>1519</c:v>
                </c:pt>
                <c:pt idx="75">
                  <c:v>1444</c:v>
                </c:pt>
                <c:pt idx="76">
                  <c:v>1112</c:v>
                </c:pt>
                <c:pt idx="81">
                  <c:v>3698</c:v>
                </c:pt>
                <c:pt idx="82">
                  <c:v>3878</c:v>
                </c:pt>
                <c:pt idx="83">
                  <c:v>3608</c:v>
                </c:pt>
                <c:pt idx="84">
                  <c:v>3130</c:v>
                </c:pt>
                <c:pt idx="85">
                  <c:v>2954</c:v>
                </c:pt>
                <c:pt idx="86">
                  <c:v>4325</c:v>
                </c:pt>
                <c:pt idx="87">
                  <c:v>4032</c:v>
                </c:pt>
                <c:pt idx="88">
                  <c:v>3096</c:v>
                </c:pt>
                <c:pt idx="93">
                  <c:v>4090</c:v>
                </c:pt>
                <c:pt idx="96">
                  <c:v>2672</c:v>
                </c:pt>
                <c:pt idx="97">
                  <c:v>2761</c:v>
                </c:pt>
                <c:pt idx="98">
                  <c:v>3662</c:v>
                </c:pt>
                <c:pt idx="99">
                  <c:v>3629</c:v>
                </c:pt>
                <c:pt idx="100">
                  <c:v>3554</c:v>
                </c:pt>
                <c:pt idx="101">
                  <c:v>982</c:v>
                </c:pt>
                <c:pt idx="106">
                  <c:v>1600</c:v>
                </c:pt>
                <c:pt idx="109">
                  <c:v>3209</c:v>
                </c:pt>
                <c:pt idx="110">
                  <c:v>2731</c:v>
                </c:pt>
                <c:pt idx="111">
                  <c:v>8</c:v>
                </c:pt>
              </c:numCache>
            </c:numRef>
          </c:xVal>
          <c:yVal>
            <c:numRef>
              <c:f>'After instal'!$D$6:$D$117</c:f>
              <c:numCache>
                <c:formatCode>General</c:formatCode>
                <c:ptCount val="112"/>
                <c:pt idx="0">
                  <c:v>1.768</c:v>
                </c:pt>
                <c:pt idx="1">
                  <c:v>1.8859999999999999</c:v>
                </c:pt>
                <c:pt idx="2">
                  <c:v>1.8240000000000001</c:v>
                </c:pt>
                <c:pt idx="3">
                  <c:v>1.9370000000000001</c:v>
                </c:pt>
                <c:pt idx="4">
                  <c:v>1.869</c:v>
                </c:pt>
                <c:pt idx="5">
                  <c:v>1.917</c:v>
                </c:pt>
                <c:pt idx="6">
                  <c:v>1.859</c:v>
                </c:pt>
                <c:pt idx="7">
                  <c:v>1.988</c:v>
                </c:pt>
                <c:pt idx="10">
                  <c:v>1.841</c:v>
                </c:pt>
                <c:pt idx="11">
                  <c:v>1.756</c:v>
                </c:pt>
                <c:pt idx="12">
                  <c:v>1.8580000000000001</c:v>
                </c:pt>
                <c:pt idx="13">
                  <c:v>1.8420000000000001</c:v>
                </c:pt>
                <c:pt idx="14">
                  <c:v>1.87</c:v>
                </c:pt>
                <c:pt idx="15">
                  <c:v>1.8240000000000001</c:v>
                </c:pt>
                <c:pt idx="16">
                  <c:v>1.7470000000000001</c:v>
                </c:pt>
                <c:pt idx="17">
                  <c:v>1.8080000000000001</c:v>
                </c:pt>
                <c:pt idx="18">
                  <c:v>1.8660000000000001</c:v>
                </c:pt>
                <c:pt idx="19">
                  <c:v>1.8</c:v>
                </c:pt>
                <c:pt idx="20">
                  <c:v>1.8540000000000001</c:v>
                </c:pt>
                <c:pt idx="21">
                  <c:v>1.87</c:v>
                </c:pt>
                <c:pt idx="24">
                  <c:v>-12.292</c:v>
                </c:pt>
                <c:pt idx="27">
                  <c:v>1.7430000000000001</c:v>
                </c:pt>
                <c:pt idx="28">
                  <c:v>1.865</c:v>
                </c:pt>
                <c:pt idx="29">
                  <c:v>1.867</c:v>
                </c:pt>
                <c:pt idx="32">
                  <c:v>1.8420000000000001</c:v>
                </c:pt>
                <c:pt idx="33">
                  <c:v>1.86</c:v>
                </c:pt>
                <c:pt idx="34">
                  <c:v>1.87</c:v>
                </c:pt>
                <c:pt idx="35">
                  <c:v>1.9350000000000001</c:v>
                </c:pt>
                <c:pt idx="36">
                  <c:v>1.8360000000000001</c:v>
                </c:pt>
                <c:pt idx="37">
                  <c:v>1.8560000000000001</c:v>
                </c:pt>
                <c:pt idx="40">
                  <c:v>1.873</c:v>
                </c:pt>
                <c:pt idx="41">
                  <c:v>1.8759999999999999</c:v>
                </c:pt>
                <c:pt idx="42">
                  <c:v>1.847</c:v>
                </c:pt>
                <c:pt idx="43">
                  <c:v>1.8779999999999999</c:v>
                </c:pt>
                <c:pt idx="44">
                  <c:v>1.861</c:v>
                </c:pt>
                <c:pt idx="45">
                  <c:v>1.9350000000000001</c:v>
                </c:pt>
                <c:pt idx="48">
                  <c:v>1.7909999999999999</c:v>
                </c:pt>
                <c:pt idx="49">
                  <c:v>1.9379999999999999</c:v>
                </c:pt>
                <c:pt idx="50">
                  <c:v>1.9019999999999999</c:v>
                </c:pt>
                <c:pt idx="51">
                  <c:v>1.917</c:v>
                </c:pt>
                <c:pt idx="52">
                  <c:v>1.847</c:v>
                </c:pt>
                <c:pt idx="53">
                  <c:v>1.931</c:v>
                </c:pt>
                <c:pt idx="56">
                  <c:v>0</c:v>
                </c:pt>
                <c:pt idx="58">
                  <c:v>4.1189999999999998</c:v>
                </c:pt>
                <c:pt idx="59">
                  <c:v>-6.5049999999999999</c:v>
                </c:pt>
                <c:pt idx="60">
                  <c:v>0.78</c:v>
                </c:pt>
                <c:pt idx="61">
                  <c:v>0.42199999999999999</c:v>
                </c:pt>
                <c:pt idx="62">
                  <c:v>0.97699999999999998</c:v>
                </c:pt>
                <c:pt idx="65">
                  <c:v>1.859</c:v>
                </c:pt>
                <c:pt idx="66">
                  <c:v>1.764</c:v>
                </c:pt>
                <c:pt idx="67">
                  <c:v>1.4370000000000001</c:v>
                </c:pt>
                <c:pt idx="68">
                  <c:v>1.76</c:v>
                </c:pt>
                <c:pt idx="69">
                  <c:v>1.617</c:v>
                </c:pt>
                <c:pt idx="72">
                  <c:v>1.899</c:v>
                </c:pt>
                <c:pt idx="73">
                  <c:v>1.8049999999999999</c:v>
                </c:pt>
                <c:pt idx="74">
                  <c:v>1.8580000000000001</c:v>
                </c:pt>
                <c:pt idx="75">
                  <c:v>1.76</c:v>
                </c:pt>
                <c:pt idx="76">
                  <c:v>1.9059999999999999</c:v>
                </c:pt>
                <c:pt idx="79">
                  <c:v>0</c:v>
                </c:pt>
                <c:pt idx="81">
                  <c:v>1.84</c:v>
                </c:pt>
                <c:pt idx="82">
                  <c:v>1.792</c:v>
                </c:pt>
                <c:pt idx="83">
                  <c:v>1.847</c:v>
                </c:pt>
                <c:pt idx="84">
                  <c:v>1.7989999999999999</c:v>
                </c:pt>
                <c:pt idx="85">
                  <c:v>1.865</c:v>
                </c:pt>
                <c:pt idx="86">
                  <c:v>1.8340000000000001</c:v>
                </c:pt>
                <c:pt idx="87">
                  <c:v>1.8340000000000001</c:v>
                </c:pt>
                <c:pt idx="88">
                  <c:v>1.8069999999999999</c:v>
                </c:pt>
                <c:pt idx="91">
                  <c:v>0</c:v>
                </c:pt>
                <c:pt idx="93">
                  <c:v>1.8240000000000001</c:v>
                </c:pt>
                <c:pt idx="96">
                  <c:v>1.831</c:v>
                </c:pt>
                <c:pt idx="97">
                  <c:v>1.839</c:v>
                </c:pt>
                <c:pt idx="98">
                  <c:v>1.8140000000000001</c:v>
                </c:pt>
                <c:pt idx="99">
                  <c:v>1.8280000000000001</c:v>
                </c:pt>
                <c:pt idx="100">
                  <c:v>1.8049999999999999</c:v>
                </c:pt>
                <c:pt idx="101">
                  <c:v>1.915</c:v>
                </c:pt>
                <c:pt idx="104">
                  <c:v>0</c:v>
                </c:pt>
                <c:pt idx="106">
                  <c:v>4.0209999999999999</c:v>
                </c:pt>
                <c:pt idx="109">
                  <c:v>1.8480000000000001</c:v>
                </c:pt>
                <c:pt idx="110">
                  <c:v>1.833</c:v>
                </c:pt>
                <c:pt idx="111">
                  <c:v>-27.681999999999999</c:v>
                </c:pt>
              </c:numCache>
            </c:numRef>
          </c:yVal>
          <c:smooth val="0"/>
        </c:ser>
        <c:ser>
          <c:idx val="2"/>
          <c:order val="1"/>
          <c:tx>
            <c:v>d13C</c:v>
          </c:tx>
          <c:spPr>
            <a:ln w="19050">
              <a:solidFill>
                <a:schemeClr val="accent1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7000</c:v>
              </c:pt>
            </c:numLit>
          </c:xVal>
          <c:yVal>
            <c:numRef>
              <c:f>'After instal'!$D$2:$D$3</c:f>
              <c:numCache>
                <c:formatCode>General</c:formatCode>
                <c:ptCount val="2"/>
                <c:pt idx="0">
                  <c:v>1.95</c:v>
                </c:pt>
                <c:pt idx="1">
                  <c:v>1.95</c:v>
                </c:pt>
              </c:numCache>
            </c:numRef>
          </c:yVal>
          <c:smooth val="0"/>
        </c:ser>
        <c:ser>
          <c:idx val="6"/>
          <c:order val="2"/>
          <c:tx>
            <c:v>20/mai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'After software 19May'!$AJ$27:$AJ$56</c:f>
              <c:numCache>
                <c:formatCode>General</c:formatCode>
                <c:ptCount val="30"/>
                <c:pt idx="0">
                  <c:v>911</c:v>
                </c:pt>
                <c:pt idx="1">
                  <c:v>1396</c:v>
                </c:pt>
                <c:pt idx="2">
                  <c:v>4528</c:v>
                </c:pt>
                <c:pt idx="3">
                  <c:v>3564</c:v>
                </c:pt>
                <c:pt idx="4">
                  <c:v>4926</c:v>
                </c:pt>
                <c:pt idx="5">
                  <c:v>5536</c:v>
                </c:pt>
                <c:pt idx="6">
                  <c:v>5235</c:v>
                </c:pt>
                <c:pt idx="7">
                  <c:v>4657</c:v>
                </c:pt>
                <c:pt idx="8">
                  <c:v>4947</c:v>
                </c:pt>
                <c:pt idx="9">
                  <c:v>5676</c:v>
                </c:pt>
                <c:pt idx="10">
                  <c:v>1154</c:v>
                </c:pt>
                <c:pt idx="11">
                  <c:v>898</c:v>
                </c:pt>
                <c:pt idx="12">
                  <c:v>2447</c:v>
                </c:pt>
                <c:pt idx="13">
                  <c:v>1987</c:v>
                </c:pt>
                <c:pt idx="14">
                  <c:v>1686</c:v>
                </c:pt>
                <c:pt idx="15">
                  <c:v>1728</c:v>
                </c:pt>
                <c:pt idx="16">
                  <c:v>2366</c:v>
                </c:pt>
                <c:pt idx="17">
                  <c:v>3404</c:v>
                </c:pt>
                <c:pt idx="18">
                  <c:v>3373</c:v>
                </c:pt>
                <c:pt idx="19">
                  <c:v>2600</c:v>
                </c:pt>
                <c:pt idx="20">
                  <c:v>4586</c:v>
                </c:pt>
                <c:pt idx="21">
                  <c:v>6009</c:v>
                </c:pt>
                <c:pt idx="22">
                  <c:v>4339</c:v>
                </c:pt>
                <c:pt idx="23">
                  <c:v>6357</c:v>
                </c:pt>
                <c:pt idx="24">
                  <c:v>7750</c:v>
                </c:pt>
                <c:pt idx="25">
                  <c:v>8073</c:v>
                </c:pt>
                <c:pt idx="26">
                  <c:v>5264</c:v>
                </c:pt>
                <c:pt idx="27">
                  <c:v>7602</c:v>
                </c:pt>
                <c:pt idx="28">
                  <c:v>7957</c:v>
                </c:pt>
                <c:pt idx="29">
                  <c:v>7509</c:v>
                </c:pt>
              </c:numCache>
            </c:numRef>
          </c:xVal>
          <c:yVal>
            <c:numRef>
              <c:f>'After software 19May'!$D$27:$D$56</c:f>
              <c:numCache>
                <c:formatCode>General</c:formatCode>
                <c:ptCount val="30"/>
                <c:pt idx="0">
                  <c:v>1.6919999999999999</c:v>
                </c:pt>
                <c:pt idx="1">
                  <c:v>2.5499999999999998</c:v>
                </c:pt>
                <c:pt idx="2">
                  <c:v>2.1659999999999999</c:v>
                </c:pt>
                <c:pt idx="3">
                  <c:v>2.073</c:v>
                </c:pt>
                <c:pt idx="4">
                  <c:v>2.1909999999999998</c:v>
                </c:pt>
                <c:pt idx="5">
                  <c:v>2.0529999999999999</c:v>
                </c:pt>
                <c:pt idx="6">
                  <c:v>2.11</c:v>
                </c:pt>
                <c:pt idx="7">
                  <c:v>2.359</c:v>
                </c:pt>
                <c:pt idx="8">
                  <c:v>2.0510000000000002</c:v>
                </c:pt>
                <c:pt idx="9">
                  <c:v>2.0739999999999998</c:v>
                </c:pt>
                <c:pt idx="10">
                  <c:v>2.1389999999999998</c:v>
                </c:pt>
                <c:pt idx="11">
                  <c:v>1.6619999999999999</c:v>
                </c:pt>
                <c:pt idx="12">
                  <c:v>2.1360000000000001</c:v>
                </c:pt>
                <c:pt idx="13">
                  <c:v>2.1560000000000001</c:v>
                </c:pt>
                <c:pt idx="14">
                  <c:v>2.0609999999999999</c:v>
                </c:pt>
                <c:pt idx="15">
                  <c:v>2.08</c:v>
                </c:pt>
                <c:pt idx="16">
                  <c:v>2.2930000000000001</c:v>
                </c:pt>
                <c:pt idx="17">
                  <c:v>2.036</c:v>
                </c:pt>
                <c:pt idx="18">
                  <c:v>2.0779999999999998</c:v>
                </c:pt>
                <c:pt idx="19">
                  <c:v>1.966</c:v>
                </c:pt>
                <c:pt idx="20">
                  <c:v>2.0270000000000001</c:v>
                </c:pt>
                <c:pt idx="21">
                  <c:v>2.2050000000000001</c:v>
                </c:pt>
                <c:pt idx="22">
                  <c:v>2.1520000000000001</c:v>
                </c:pt>
                <c:pt idx="23">
                  <c:v>2.0539999999999998</c:v>
                </c:pt>
                <c:pt idx="24">
                  <c:v>2.161</c:v>
                </c:pt>
                <c:pt idx="25">
                  <c:v>2.1389999999999998</c:v>
                </c:pt>
                <c:pt idx="26">
                  <c:v>2.1219999999999999</c:v>
                </c:pt>
                <c:pt idx="27">
                  <c:v>2.0219999999999998</c:v>
                </c:pt>
                <c:pt idx="28">
                  <c:v>2.0049999999999999</c:v>
                </c:pt>
                <c:pt idx="29">
                  <c:v>2.1240000000000001</c:v>
                </c:pt>
              </c:numCache>
            </c:numRef>
          </c:yVal>
          <c:smooth val="0"/>
        </c:ser>
        <c:ser>
          <c:idx val="5"/>
          <c:order val="3"/>
          <c:tx>
            <c:v>08/jun</c:v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</c:spPr>
          </c:marker>
          <c:xVal>
            <c:numRef>
              <c:f>'After Oring 29May'!$AJ$66:$AJ$111</c:f>
              <c:numCache>
                <c:formatCode>General</c:formatCode>
                <c:ptCount val="46"/>
                <c:pt idx="0">
                  <c:v>2938</c:v>
                </c:pt>
                <c:pt idx="1">
                  <c:v>3096</c:v>
                </c:pt>
                <c:pt idx="2">
                  <c:v>3024</c:v>
                </c:pt>
                <c:pt idx="3">
                  <c:v>3249</c:v>
                </c:pt>
                <c:pt idx="4">
                  <c:v>2774</c:v>
                </c:pt>
                <c:pt idx="5">
                  <c:v>2110</c:v>
                </c:pt>
                <c:pt idx="6">
                  <c:v>2785</c:v>
                </c:pt>
                <c:pt idx="7">
                  <c:v>2472</c:v>
                </c:pt>
                <c:pt idx="8">
                  <c:v>2662</c:v>
                </c:pt>
                <c:pt idx="9">
                  <c:v>2638</c:v>
                </c:pt>
                <c:pt idx="10">
                  <c:v>2398</c:v>
                </c:pt>
                <c:pt idx="11">
                  <c:v>2451</c:v>
                </c:pt>
                <c:pt idx="12">
                  <c:v>1778</c:v>
                </c:pt>
                <c:pt idx="13">
                  <c:v>3839</c:v>
                </c:pt>
                <c:pt idx="14">
                  <c:v>2154</c:v>
                </c:pt>
                <c:pt idx="15">
                  <c:v>3170</c:v>
                </c:pt>
                <c:pt idx="16">
                  <c:v>3174</c:v>
                </c:pt>
                <c:pt idx="17">
                  <c:v>2307</c:v>
                </c:pt>
                <c:pt idx="18">
                  <c:v>2333</c:v>
                </c:pt>
                <c:pt idx="19">
                  <c:v>2496</c:v>
                </c:pt>
                <c:pt idx="20">
                  <c:v>2646</c:v>
                </c:pt>
                <c:pt idx="21">
                  <c:v>2786</c:v>
                </c:pt>
                <c:pt idx="22">
                  <c:v>2526</c:v>
                </c:pt>
                <c:pt idx="23">
                  <c:v>2829</c:v>
                </c:pt>
                <c:pt idx="24">
                  <c:v>2731</c:v>
                </c:pt>
                <c:pt idx="25">
                  <c:v>2645</c:v>
                </c:pt>
                <c:pt idx="26">
                  <c:v>3003</c:v>
                </c:pt>
                <c:pt idx="27">
                  <c:v>2548</c:v>
                </c:pt>
                <c:pt idx="28">
                  <c:v>2726</c:v>
                </c:pt>
                <c:pt idx="29">
                  <c:v>2605</c:v>
                </c:pt>
                <c:pt idx="30">
                  <c:v>2046</c:v>
                </c:pt>
                <c:pt idx="31">
                  <c:v>3012</c:v>
                </c:pt>
                <c:pt idx="32">
                  <c:v>2629</c:v>
                </c:pt>
                <c:pt idx="33">
                  <c:v>2514</c:v>
                </c:pt>
                <c:pt idx="34">
                  <c:v>2761</c:v>
                </c:pt>
                <c:pt idx="35">
                  <c:v>2059</c:v>
                </c:pt>
                <c:pt idx="36">
                  <c:v>2984</c:v>
                </c:pt>
                <c:pt idx="37">
                  <c:v>2784</c:v>
                </c:pt>
                <c:pt idx="38">
                  <c:v>2229</c:v>
                </c:pt>
                <c:pt idx="39">
                  <c:v>2616</c:v>
                </c:pt>
                <c:pt idx="40">
                  <c:v>2879</c:v>
                </c:pt>
                <c:pt idx="41">
                  <c:v>2423</c:v>
                </c:pt>
                <c:pt idx="42">
                  <c:v>3068</c:v>
                </c:pt>
                <c:pt idx="43">
                  <c:v>2820</c:v>
                </c:pt>
                <c:pt idx="44">
                  <c:v>2997</c:v>
                </c:pt>
                <c:pt idx="45">
                  <c:v>2612</c:v>
                </c:pt>
              </c:numCache>
            </c:numRef>
          </c:xVal>
          <c:yVal>
            <c:numRef>
              <c:f>'After Oring 29May'!$D$66:$D$111</c:f>
              <c:numCache>
                <c:formatCode>General</c:formatCode>
                <c:ptCount val="46"/>
                <c:pt idx="0">
                  <c:v>1.8340000000000001</c:v>
                </c:pt>
                <c:pt idx="1">
                  <c:v>1.8340000000000001</c:v>
                </c:pt>
                <c:pt idx="2">
                  <c:v>1.847</c:v>
                </c:pt>
                <c:pt idx="3">
                  <c:v>1.8149999999999999</c:v>
                </c:pt>
                <c:pt idx="4">
                  <c:v>1.825</c:v>
                </c:pt>
                <c:pt idx="5">
                  <c:v>1.819</c:v>
                </c:pt>
                <c:pt idx="6">
                  <c:v>1.78</c:v>
                </c:pt>
                <c:pt idx="7">
                  <c:v>1.782</c:v>
                </c:pt>
                <c:pt idx="8">
                  <c:v>1.762</c:v>
                </c:pt>
                <c:pt idx="9">
                  <c:v>1.8169999999999999</c:v>
                </c:pt>
                <c:pt idx="10">
                  <c:v>1.786</c:v>
                </c:pt>
                <c:pt idx="11">
                  <c:v>1.802</c:v>
                </c:pt>
                <c:pt idx="12">
                  <c:v>1.8540000000000001</c:v>
                </c:pt>
                <c:pt idx="13">
                  <c:v>1.8580000000000001</c:v>
                </c:pt>
                <c:pt idx="14">
                  <c:v>1.8109999999999999</c:v>
                </c:pt>
                <c:pt idx="15">
                  <c:v>1.8240000000000001</c:v>
                </c:pt>
                <c:pt idx="16">
                  <c:v>1.8260000000000001</c:v>
                </c:pt>
                <c:pt idx="17">
                  <c:v>1.8069999999999999</c:v>
                </c:pt>
                <c:pt idx="18">
                  <c:v>1.835</c:v>
                </c:pt>
                <c:pt idx="19">
                  <c:v>1.788</c:v>
                </c:pt>
                <c:pt idx="20">
                  <c:v>1.7989999999999999</c:v>
                </c:pt>
                <c:pt idx="21">
                  <c:v>1.8149999999999999</c:v>
                </c:pt>
                <c:pt idx="22">
                  <c:v>1.8380000000000001</c:v>
                </c:pt>
                <c:pt idx="23">
                  <c:v>1.87</c:v>
                </c:pt>
                <c:pt idx="24">
                  <c:v>1.8480000000000001</c:v>
                </c:pt>
                <c:pt idx="25">
                  <c:v>1.8759999999999999</c:v>
                </c:pt>
                <c:pt idx="26">
                  <c:v>1.8120000000000001</c:v>
                </c:pt>
                <c:pt idx="27">
                  <c:v>1.7829999999999999</c:v>
                </c:pt>
                <c:pt idx="28">
                  <c:v>1.8560000000000001</c:v>
                </c:pt>
                <c:pt idx="29">
                  <c:v>1.792</c:v>
                </c:pt>
                <c:pt idx="30">
                  <c:v>1.8360000000000001</c:v>
                </c:pt>
                <c:pt idx="31">
                  <c:v>1.8680000000000001</c:v>
                </c:pt>
                <c:pt idx="32">
                  <c:v>1.794</c:v>
                </c:pt>
                <c:pt idx="33">
                  <c:v>1.7909999999999999</c:v>
                </c:pt>
                <c:pt idx="34">
                  <c:v>1.929</c:v>
                </c:pt>
                <c:pt idx="35">
                  <c:v>1.784</c:v>
                </c:pt>
                <c:pt idx="36">
                  <c:v>1.885</c:v>
                </c:pt>
                <c:pt idx="37">
                  <c:v>1.7569999999999999</c:v>
                </c:pt>
                <c:pt idx="38">
                  <c:v>1.853</c:v>
                </c:pt>
                <c:pt idx="39">
                  <c:v>1.7949999999999999</c:v>
                </c:pt>
                <c:pt idx="40">
                  <c:v>1.8779999999999999</c:v>
                </c:pt>
                <c:pt idx="41">
                  <c:v>1.8049999999999999</c:v>
                </c:pt>
                <c:pt idx="42">
                  <c:v>1.865</c:v>
                </c:pt>
                <c:pt idx="43">
                  <c:v>1.89</c:v>
                </c:pt>
                <c:pt idx="44">
                  <c:v>1.8340000000000001</c:v>
                </c:pt>
                <c:pt idx="45">
                  <c:v>1.83</c:v>
                </c:pt>
              </c:numCache>
            </c:numRef>
          </c:yVal>
          <c:smooth val="0"/>
        </c:ser>
        <c:ser>
          <c:idx val="1"/>
          <c:order val="4"/>
          <c:tx>
            <c:v>26/jun</c:v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5"/>
              </a:solidFill>
              <a:ln>
                <a:solidFill>
                  <a:schemeClr val="accent5"/>
                </a:solidFill>
              </a:ln>
            </c:spPr>
          </c:marker>
          <c:xVal>
            <c:numRef>
              <c:f>'After capilar 19Jun'!$AN$49:$AN$89</c:f>
              <c:numCache>
                <c:formatCode>General</c:formatCode>
                <c:ptCount val="41"/>
                <c:pt idx="0">
                  <c:v>796</c:v>
                </c:pt>
                <c:pt idx="1">
                  <c:v>2879</c:v>
                </c:pt>
                <c:pt idx="2">
                  <c:v>1270</c:v>
                </c:pt>
                <c:pt idx="3">
                  <c:v>1277</c:v>
                </c:pt>
                <c:pt idx="4">
                  <c:v>1432</c:v>
                </c:pt>
                <c:pt idx="5">
                  <c:v>2049</c:v>
                </c:pt>
                <c:pt idx="6">
                  <c:v>1176</c:v>
                </c:pt>
                <c:pt idx="7">
                  <c:v>1490</c:v>
                </c:pt>
                <c:pt idx="8">
                  <c:v>10181</c:v>
                </c:pt>
                <c:pt idx="9">
                  <c:v>5571</c:v>
                </c:pt>
                <c:pt idx="12">
                  <c:v>7929</c:v>
                </c:pt>
                <c:pt idx="13">
                  <c:v>4989</c:v>
                </c:pt>
                <c:pt idx="14">
                  <c:v>6661</c:v>
                </c:pt>
                <c:pt idx="15">
                  <c:v>5039</c:v>
                </c:pt>
                <c:pt idx="16">
                  <c:v>5765</c:v>
                </c:pt>
                <c:pt idx="17">
                  <c:v>5861</c:v>
                </c:pt>
                <c:pt idx="18">
                  <c:v>4076</c:v>
                </c:pt>
                <c:pt idx="19">
                  <c:v>3360</c:v>
                </c:pt>
                <c:pt idx="22">
                  <c:v>7922</c:v>
                </c:pt>
                <c:pt idx="23">
                  <c:v>6557</c:v>
                </c:pt>
                <c:pt idx="24">
                  <c:v>2815</c:v>
                </c:pt>
                <c:pt idx="25">
                  <c:v>6225</c:v>
                </c:pt>
                <c:pt idx="26">
                  <c:v>11260</c:v>
                </c:pt>
                <c:pt idx="27">
                  <c:v>6664</c:v>
                </c:pt>
                <c:pt idx="28">
                  <c:v>12256</c:v>
                </c:pt>
                <c:pt idx="29">
                  <c:v>10563</c:v>
                </c:pt>
                <c:pt idx="30">
                  <c:v>5387</c:v>
                </c:pt>
                <c:pt idx="31">
                  <c:v>11312</c:v>
                </c:pt>
                <c:pt idx="32">
                  <c:v>10347</c:v>
                </c:pt>
                <c:pt idx="33">
                  <c:v>11198</c:v>
                </c:pt>
                <c:pt idx="34">
                  <c:v>12166</c:v>
                </c:pt>
                <c:pt idx="35">
                  <c:v>7196</c:v>
                </c:pt>
                <c:pt idx="36">
                  <c:v>6617</c:v>
                </c:pt>
                <c:pt idx="37">
                  <c:v>8394</c:v>
                </c:pt>
                <c:pt idx="38">
                  <c:v>6031</c:v>
                </c:pt>
                <c:pt idx="39">
                  <c:v>8146</c:v>
                </c:pt>
                <c:pt idx="40">
                  <c:v>6557</c:v>
                </c:pt>
              </c:numCache>
            </c:numRef>
          </c:xVal>
          <c:yVal>
            <c:numRef>
              <c:f>'After capilar 19Jun'!$F$49:$F$89</c:f>
              <c:numCache>
                <c:formatCode>General</c:formatCode>
                <c:ptCount val="41"/>
                <c:pt idx="0">
                  <c:v>1.145</c:v>
                </c:pt>
                <c:pt idx="1">
                  <c:v>1.629</c:v>
                </c:pt>
                <c:pt idx="2">
                  <c:v>1.3340000000000001</c:v>
                </c:pt>
                <c:pt idx="3">
                  <c:v>1.304</c:v>
                </c:pt>
                <c:pt idx="4">
                  <c:v>1.3879999999999999</c:v>
                </c:pt>
                <c:pt idx="5">
                  <c:v>1.496</c:v>
                </c:pt>
                <c:pt idx="6">
                  <c:v>1.321</c:v>
                </c:pt>
                <c:pt idx="7">
                  <c:v>1.3220000000000001</c:v>
                </c:pt>
                <c:pt idx="8">
                  <c:v>1.9850000000000001</c:v>
                </c:pt>
                <c:pt idx="9">
                  <c:v>1.87</c:v>
                </c:pt>
                <c:pt idx="11">
                  <c:v>0</c:v>
                </c:pt>
                <c:pt idx="12">
                  <c:v>1.855</c:v>
                </c:pt>
                <c:pt idx="13">
                  <c:v>1.8620000000000001</c:v>
                </c:pt>
                <c:pt idx="14">
                  <c:v>1.877</c:v>
                </c:pt>
                <c:pt idx="15">
                  <c:v>1.653</c:v>
                </c:pt>
                <c:pt idx="16">
                  <c:v>1.8180000000000001</c:v>
                </c:pt>
                <c:pt idx="17">
                  <c:v>1.8620000000000001</c:v>
                </c:pt>
                <c:pt idx="18">
                  <c:v>1.8089999999999999</c:v>
                </c:pt>
                <c:pt idx="19">
                  <c:v>1.6619999999999999</c:v>
                </c:pt>
                <c:pt idx="21">
                  <c:v>0</c:v>
                </c:pt>
                <c:pt idx="22">
                  <c:v>1.9359999999999999</c:v>
                </c:pt>
                <c:pt idx="23">
                  <c:v>1.913</c:v>
                </c:pt>
                <c:pt idx="24">
                  <c:v>1.625</c:v>
                </c:pt>
                <c:pt idx="25">
                  <c:v>1.962</c:v>
                </c:pt>
                <c:pt idx="26">
                  <c:v>1.9990000000000001</c:v>
                </c:pt>
                <c:pt idx="27">
                  <c:v>1.9610000000000001</c:v>
                </c:pt>
                <c:pt idx="28">
                  <c:v>1.944</c:v>
                </c:pt>
                <c:pt idx="29">
                  <c:v>1.923</c:v>
                </c:pt>
                <c:pt idx="30">
                  <c:v>1.9259999999999999</c:v>
                </c:pt>
                <c:pt idx="31">
                  <c:v>1.974</c:v>
                </c:pt>
                <c:pt idx="32">
                  <c:v>1.9510000000000001</c:v>
                </c:pt>
                <c:pt idx="33">
                  <c:v>1.968</c:v>
                </c:pt>
                <c:pt idx="34">
                  <c:v>2</c:v>
                </c:pt>
                <c:pt idx="35">
                  <c:v>1.9119999999999999</c:v>
                </c:pt>
                <c:pt idx="36">
                  <c:v>1.911</c:v>
                </c:pt>
                <c:pt idx="37">
                  <c:v>1.8440000000000001</c:v>
                </c:pt>
                <c:pt idx="38">
                  <c:v>1.865</c:v>
                </c:pt>
                <c:pt idx="39">
                  <c:v>1.9079999999999999</c:v>
                </c:pt>
                <c:pt idx="40">
                  <c:v>2</c:v>
                </c:pt>
              </c:numCache>
            </c:numRef>
          </c:yVal>
          <c:smooth val="0"/>
        </c:ser>
        <c:ser>
          <c:idx val="3"/>
          <c:order val="5"/>
          <c:tx>
            <c:v>15/jul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B818AD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('After adjust 15Jul'!$B$11,'After adjust 15Jul'!$B$23,'After adjust 15Jul'!$B$35,'After adjust 15Jul'!$B$47,'After adjust 15Jul'!$B$59,'After adjust 15Jul'!$B$71,'After adjust 15Jul'!$B$83,'After adjust 15Jul'!$B$95,'After adjust 15Jul'!$B$107,'After adjust 15Jul'!$B$119,'After adjust 15Jul'!$B$131,'After adjust 15Jul'!$B$143,'After adjust 15Jul'!$B$155,'After adjust 15Jul'!$B$167,'After adjust 15Jul'!$B$179)</c:f>
              <c:numCache>
                <c:formatCode>General</c:formatCode>
                <c:ptCount val="15"/>
                <c:pt idx="0">
                  <c:v>1828.71</c:v>
                </c:pt>
                <c:pt idx="1">
                  <c:v>2377.2600000000002</c:v>
                </c:pt>
                <c:pt idx="2">
                  <c:v>2008.04</c:v>
                </c:pt>
                <c:pt idx="3">
                  <c:v>3889.05</c:v>
                </c:pt>
                <c:pt idx="4">
                  <c:v>3440.24</c:v>
                </c:pt>
                <c:pt idx="5">
                  <c:v>3809.05</c:v>
                </c:pt>
                <c:pt idx="6">
                  <c:v>2435.92</c:v>
                </c:pt>
                <c:pt idx="7">
                  <c:v>6700.88</c:v>
                </c:pt>
                <c:pt idx="8">
                  <c:v>5856.5</c:v>
                </c:pt>
                <c:pt idx="9">
                  <c:v>3646.66</c:v>
                </c:pt>
                <c:pt idx="10">
                  <c:v>5735.82</c:v>
                </c:pt>
                <c:pt idx="11">
                  <c:v>7555.78</c:v>
                </c:pt>
                <c:pt idx="12">
                  <c:v>7197.33</c:v>
                </c:pt>
                <c:pt idx="13">
                  <c:v>9164.5400000000009</c:v>
                </c:pt>
                <c:pt idx="14">
                  <c:v>7557.75</c:v>
                </c:pt>
              </c:numCache>
            </c:numRef>
          </c:xVal>
          <c:yVal>
            <c:numRef>
              <c:f>('After adjust 15Jul'!$H$5,'After adjust 15Jul'!$H$17,'After adjust 15Jul'!$H$29,'After adjust 15Jul'!$H$41,'After adjust 15Jul'!$H$53,'After adjust 15Jul'!$H$65,'After adjust 15Jul'!$H$77,'After adjust 15Jul'!$H$89,'After adjust 15Jul'!$H$101,'After adjust 15Jul'!$H$113,'After adjust 15Jul'!$H$125,'After adjust 15Jul'!$H$137,'After adjust 15Jul'!$H$149,'After adjust 15Jul'!$H$161,'After adjust 15Jul'!$H$173)</c:f>
              <c:numCache>
                <c:formatCode>General</c:formatCode>
                <c:ptCount val="15"/>
                <c:pt idx="0">
                  <c:v>1.5229999999999999</c:v>
                </c:pt>
                <c:pt idx="1">
                  <c:v>1.597</c:v>
                </c:pt>
                <c:pt idx="2">
                  <c:v>1.7310000000000001</c:v>
                </c:pt>
                <c:pt idx="3">
                  <c:v>1.855</c:v>
                </c:pt>
                <c:pt idx="4">
                  <c:v>1.6279999999999999</c:v>
                </c:pt>
                <c:pt idx="5">
                  <c:v>1.7569999999999999</c:v>
                </c:pt>
                <c:pt idx="6">
                  <c:v>1.621</c:v>
                </c:pt>
                <c:pt idx="7">
                  <c:v>1.895</c:v>
                </c:pt>
                <c:pt idx="8">
                  <c:v>1.895</c:v>
                </c:pt>
                <c:pt idx="10">
                  <c:v>1.9159999999999999</c:v>
                </c:pt>
                <c:pt idx="11">
                  <c:v>1.9079999999999999</c:v>
                </c:pt>
                <c:pt idx="13">
                  <c:v>1.919</c:v>
                </c:pt>
                <c:pt idx="14">
                  <c:v>1.92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76672"/>
        <c:axId val="128277248"/>
      </c:scatterChart>
      <c:valAx>
        <c:axId val="128276672"/>
        <c:scaling>
          <c:orientation val="minMax"/>
          <c:max val="7000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Initial intensity (mV)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8277248"/>
        <c:crosses val="max"/>
        <c:crossBetween val="midCat"/>
      </c:valAx>
      <c:valAx>
        <c:axId val="128277248"/>
        <c:scaling>
          <c:orientation val="minMax"/>
          <c:min val="-1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Isotope ratio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8276672"/>
        <c:crosses val="autoZero"/>
        <c:crossBetween val="midCat"/>
      </c:valAx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6.7436813876526294E-2"/>
          <c:y val="0.87110672972534531"/>
          <c:w val="0.61805390847883135"/>
          <c:h val="0.1011631518088211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" l="0.70000000000000095" r="0.70000000000000095" t="0.750000000000001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01/jun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'CO2 Refil'!$A$3:$A$13</c:f>
              <c:numCache>
                <c:formatCode>General</c:formatCode>
                <c:ptCount val="11"/>
                <c:pt idx="0">
                  <c:v>25.3</c:v>
                </c:pt>
                <c:pt idx="1">
                  <c:v>33.299999999999997</c:v>
                </c:pt>
                <c:pt idx="2">
                  <c:v>21.3</c:v>
                </c:pt>
                <c:pt idx="3">
                  <c:v>30.7</c:v>
                </c:pt>
                <c:pt idx="4">
                  <c:v>33.6</c:v>
                </c:pt>
                <c:pt idx="5">
                  <c:v>34</c:v>
                </c:pt>
                <c:pt idx="6">
                  <c:v>20.8</c:v>
                </c:pt>
                <c:pt idx="7">
                  <c:v>21.8</c:v>
                </c:pt>
                <c:pt idx="8">
                  <c:v>5.5</c:v>
                </c:pt>
                <c:pt idx="9">
                  <c:v>11.2</c:v>
                </c:pt>
                <c:pt idx="10">
                  <c:v>40.6</c:v>
                </c:pt>
              </c:numCache>
            </c:numRef>
          </c:xVal>
          <c:yVal>
            <c:numRef>
              <c:f>'CO2 Refil'!$B$3:$B$13</c:f>
              <c:numCache>
                <c:formatCode>General</c:formatCode>
                <c:ptCount val="11"/>
                <c:pt idx="0">
                  <c:v>3083</c:v>
                </c:pt>
                <c:pt idx="1">
                  <c:v>4120</c:v>
                </c:pt>
                <c:pt idx="2">
                  <c:v>2749</c:v>
                </c:pt>
                <c:pt idx="3">
                  <c:v>3764</c:v>
                </c:pt>
                <c:pt idx="4">
                  <c:v>4137</c:v>
                </c:pt>
                <c:pt idx="5">
                  <c:v>4146</c:v>
                </c:pt>
                <c:pt idx="6">
                  <c:v>2562</c:v>
                </c:pt>
                <c:pt idx="7">
                  <c:v>2848</c:v>
                </c:pt>
                <c:pt idx="8">
                  <c:v>626</c:v>
                </c:pt>
                <c:pt idx="9">
                  <c:v>1365</c:v>
                </c:pt>
                <c:pt idx="10">
                  <c:v>5960</c:v>
                </c:pt>
              </c:numCache>
            </c:numRef>
          </c:yVal>
          <c:smooth val="0"/>
        </c:ser>
        <c:ser>
          <c:idx val="1"/>
          <c:order val="1"/>
          <c:tx>
            <c:v>29/jun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551873787755528"/>
                  <c:y val="-6.894575678040244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'CO2 Refil'!$A$15:$A$27</c:f>
              <c:numCache>
                <c:formatCode>General</c:formatCode>
                <c:ptCount val="13"/>
                <c:pt idx="0">
                  <c:v>8.8000000000000007</c:v>
                </c:pt>
                <c:pt idx="1">
                  <c:v>8.4</c:v>
                </c:pt>
                <c:pt idx="2">
                  <c:v>5.9</c:v>
                </c:pt>
                <c:pt idx="3">
                  <c:v>11.1</c:v>
                </c:pt>
                <c:pt idx="4">
                  <c:v>28.8</c:v>
                </c:pt>
                <c:pt idx="5">
                  <c:v>16.399999999999999</c:v>
                </c:pt>
                <c:pt idx="6">
                  <c:v>27.6</c:v>
                </c:pt>
                <c:pt idx="7">
                  <c:v>29.3</c:v>
                </c:pt>
                <c:pt idx="8">
                  <c:v>6.9</c:v>
                </c:pt>
              </c:numCache>
            </c:numRef>
          </c:xVal>
          <c:yVal>
            <c:numRef>
              <c:f>'CO2 Refil'!$B$15:$B$27</c:f>
              <c:numCache>
                <c:formatCode>General</c:formatCode>
                <c:ptCount val="13"/>
                <c:pt idx="0">
                  <c:v>1650</c:v>
                </c:pt>
                <c:pt idx="1">
                  <c:v>1548</c:v>
                </c:pt>
                <c:pt idx="2">
                  <c:v>1028</c:v>
                </c:pt>
                <c:pt idx="3">
                  <c:v>2006</c:v>
                </c:pt>
                <c:pt idx="4">
                  <c:v>5381</c:v>
                </c:pt>
                <c:pt idx="5">
                  <c:v>3098</c:v>
                </c:pt>
                <c:pt idx="6">
                  <c:v>5416</c:v>
                </c:pt>
                <c:pt idx="7">
                  <c:v>6243</c:v>
                </c:pt>
                <c:pt idx="8">
                  <c:v>1171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944384"/>
        <c:axId val="128944960"/>
      </c:scatterChart>
      <c:valAx>
        <c:axId val="128944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944960"/>
        <c:crosses val="autoZero"/>
        <c:crossBetween val="midCat"/>
      </c:valAx>
      <c:valAx>
        <c:axId val="1289449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944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23198549455697"/>
          <c:y val="0.10185185185185185"/>
          <c:w val="0.8504546910419738"/>
          <c:h val="0.69257728200641588"/>
        </c:manualLayout>
      </c:layout>
      <c:scatterChart>
        <c:scatterStyle val="lineMarker"/>
        <c:varyColors val="0"/>
        <c:ser>
          <c:idx val="0"/>
          <c:order val="0"/>
          <c:tx>
            <c:v>June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535770627096808"/>
                  <c:y val="-6.48148148148148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'CO2 Refil'!$O$3:$O$15</c:f>
              <c:numCache>
                <c:formatCode>General</c:formatCode>
                <c:ptCount val="13"/>
                <c:pt idx="0">
                  <c:v>20</c:v>
                </c:pt>
                <c:pt idx="1">
                  <c:v>25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35</c:v>
                </c:pt>
                <c:pt idx="6">
                  <c:v>40</c:v>
                </c:pt>
                <c:pt idx="7">
                  <c:v>40</c:v>
                </c:pt>
              </c:numCache>
            </c:numRef>
          </c:xVal>
          <c:yVal>
            <c:numRef>
              <c:f>'CO2 Refil'!$P$3:$P$15</c:f>
              <c:numCache>
                <c:formatCode>General</c:formatCode>
                <c:ptCount val="13"/>
                <c:pt idx="0">
                  <c:v>4.7</c:v>
                </c:pt>
                <c:pt idx="1">
                  <c:v>5.8</c:v>
                </c:pt>
                <c:pt idx="2">
                  <c:v>5.9</c:v>
                </c:pt>
                <c:pt idx="3">
                  <c:v>7.1</c:v>
                </c:pt>
                <c:pt idx="4">
                  <c:v>8.3000000000000007</c:v>
                </c:pt>
                <c:pt idx="5">
                  <c:v>8.1999999999999993</c:v>
                </c:pt>
                <c:pt idx="6">
                  <c:v>9.3000000000000007</c:v>
                </c:pt>
                <c:pt idx="7">
                  <c:v>9.4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946688"/>
        <c:axId val="128947264"/>
      </c:scatterChart>
      <c:valAx>
        <c:axId val="128946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Refil</a:t>
                </a:r>
                <a:r>
                  <a:rPr lang="pt-BR" baseline="0"/>
                  <a:t> time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947264"/>
        <c:crosses val="autoZero"/>
        <c:crossBetween val="midCat"/>
      </c:valAx>
      <c:valAx>
        <c:axId val="128947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946688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3826902887139109"/>
                  <c:y val="-0.577924686497521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'CO2 Refil'!$Z$3:$Z$12</c:f>
              <c:numCache>
                <c:formatCode>General</c:formatCode>
                <c:ptCount val="10"/>
                <c:pt idx="0">
                  <c:v>100</c:v>
                </c:pt>
                <c:pt idx="1">
                  <c:v>10</c:v>
                </c:pt>
                <c:pt idx="2">
                  <c:v>85</c:v>
                </c:pt>
                <c:pt idx="3">
                  <c:v>80</c:v>
                </c:pt>
                <c:pt idx="4">
                  <c:v>70</c:v>
                </c:pt>
                <c:pt idx="5">
                  <c:v>60</c:v>
                </c:pt>
                <c:pt idx="6">
                  <c:v>55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</c:numCache>
            </c:numRef>
          </c:xVal>
          <c:yVal>
            <c:numRef>
              <c:f>'CO2 Refil'!$Y$3:$Y$12</c:f>
              <c:numCache>
                <c:formatCode>General</c:formatCode>
                <c:ptCount val="10"/>
                <c:pt idx="0">
                  <c:v>30.4</c:v>
                </c:pt>
                <c:pt idx="1">
                  <c:v>216</c:v>
                </c:pt>
                <c:pt idx="2">
                  <c:v>36.1</c:v>
                </c:pt>
                <c:pt idx="3">
                  <c:v>38.200000000000003</c:v>
                </c:pt>
                <c:pt idx="4">
                  <c:v>43.5</c:v>
                </c:pt>
                <c:pt idx="5">
                  <c:v>51.2</c:v>
                </c:pt>
                <c:pt idx="6">
                  <c:v>56.5</c:v>
                </c:pt>
                <c:pt idx="7">
                  <c:v>80.099999999999994</c:v>
                </c:pt>
                <c:pt idx="8">
                  <c:v>166.5</c:v>
                </c:pt>
                <c:pt idx="9">
                  <c:v>216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948992"/>
        <c:axId val="128949568"/>
      </c:scatterChart>
      <c:valAx>
        <c:axId val="128948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%</a:t>
                </a:r>
                <a:r>
                  <a:rPr lang="pt-BR" baseline="0"/>
                  <a:t> do bellow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949568"/>
        <c:crosses val="autoZero"/>
        <c:crossBetween val="midCat"/>
      </c:valAx>
      <c:valAx>
        <c:axId val="1289495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948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3.xml"/><Relationship Id="rId13" Type="http://schemas.openxmlformats.org/officeDocument/2006/relationships/chart" Target="../charts/chart38.xml"/><Relationship Id="rId18" Type="http://schemas.openxmlformats.org/officeDocument/2006/relationships/chart" Target="../charts/chart43.xml"/><Relationship Id="rId3" Type="http://schemas.openxmlformats.org/officeDocument/2006/relationships/chart" Target="../charts/chart28.xml"/><Relationship Id="rId21" Type="http://schemas.openxmlformats.org/officeDocument/2006/relationships/chart" Target="../charts/chart46.xml"/><Relationship Id="rId7" Type="http://schemas.openxmlformats.org/officeDocument/2006/relationships/chart" Target="../charts/chart32.xml"/><Relationship Id="rId12" Type="http://schemas.openxmlformats.org/officeDocument/2006/relationships/chart" Target="../charts/chart37.xml"/><Relationship Id="rId17" Type="http://schemas.openxmlformats.org/officeDocument/2006/relationships/chart" Target="../charts/chart42.xml"/><Relationship Id="rId2" Type="http://schemas.openxmlformats.org/officeDocument/2006/relationships/chart" Target="../charts/chart27.xml"/><Relationship Id="rId16" Type="http://schemas.openxmlformats.org/officeDocument/2006/relationships/chart" Target="../charts/chart41.xml"/><Relationship Id="rId20" Type="http://schemas.openxmlformats.org/officeDocument/2006/relationships/chart" Target="../charts/chart45.xml"/><Relationship Id="rId1" Type="http://schemas.openxmlformats.org/officeDocument/2006/relationships/chart" Target="../charts/chart26.xml"/><Relationship Id="rId6" Type="http://schemas.openxmlformats.org/officeDocument/2006/relationships/chart" Target="../charts/chart31.xml"/><Relationship Id="rId11" Type="http://schemas.openxmlformats.org/officeDocument/2006/relationships/chart" Target="../charts/chart36.xml"/><Relationship Id="rId5" Type="http://schemas.openxmlformats.org/officeDocument/2006/relationships/chart" Target="../charts/chart30.xml"/><Relationship Id="rId15" Type="http://schemas.openxmlformats.org/officeDocument/2006/relationships/chart" Target="../charts/chart40.xml"/><Relationship Id="rId10" Type="http://schemas.openxmlformats.org/officeDocument/2006/relationships/chart" Target="../charts/chart35.xml"/><Relationship Id="rId19" Type="http://schemas.openxmlformats.org/officeDocument/2006/relationships/chart" Target="../charts/chart44.xml"/><Relationship Id="rId4" Type="http://schemas.openxmlformats.org/officeDocument/2006/relationships/chart" Target="../charts/chart29.xml"/><Relationship Id="rId9" Type="http://schemas.openxmlformats.org/officeDocument/2006/relationships/chart" Target="../charts/chart34.xml"/><Relationship Id="rId14" Type="http://schemas.openxmlformats.org/officeDocument/2006/relationships/chart" Target="../charts/chart39.xml"/><Relationship Id="rId22" Type="http://schemas.openxmlformats.org/officeDocument/2006/relationships/chart" Target="../charts/chart4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0.xml"/><Relationship Id="rId2" Type="http://schemas.openxmlformats.org/officeDocument/2006/relationships/chart" Target="../charts/chart49.xml"/><Relationship Id="rId1" Type="http://schemas.openxmlformats.org/officeDocument/2006/relationships/chart" Target="../charts/chart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10</xdr:row>
      <xdr:rowOff>66675</xdr:rowOff>
    </xdr:from>
    <xdr:to>
      <xdr:col>48</xdr:col>
      <xdr:colOff>361950</xdr:colOff>
      <xdr:row>30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48</xdr:col>
      <xdr:colOff>485775</xdr:colOff>
      <xdr:row>10</xdr:row>
      <xdr:rowOff>85725</xdr:rowOff>
    </xdr:from>
    <xdr:to>
      <xdr:col>56</xdr:col>
      <xdr:colOff>238125</xdr:colOff>
      <xdr:row>30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371475</xdr:colOff>
      <xdr:row>0</xdr:row>
      <xdr:rowOff>142875</xdr:rowOff>
    </xdr:from>
    <xdr:to>
      <xdr:col>22</xdr:col>
      <xdr:colOff>123825</xdr:colOff>
      <xdr:row>21</xdr:row>
      <xdr:rowOff>133350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247650</xdr:colOff>
      <xdr:row>1</xdr:row>
      <xdr:rowOff>9525</xdr:rowOff>
    </xdr:from>
    <xdr:to>
      <xdr:col>30</xdr:col>
      <xdr:colOff>0</xdr:colOff>
      <xdr:row>22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419100</xdr:colOff>
      <xdr:row>22</xdr:row>
      <xdr:rowOff>85725</xdr:rowOff>
    </xdr:from>
    <xdr:to>
      <xdr:col>22</xdr:col>
      <xdr:colOff>171450</xdr:colOff>
      <xdr:row>42</xdr:row>
      <xdr:rowOff>76200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257175</xdr:colOff>
      <xdr:row>22</xdr:row>
      <xdr:rowOff>114300</xdr:rowOff>
    </xdr:from>
    <xdr:to>
      <xdr:col>30</xdr:col>
      <xdr:colOff>9525</xdr:colOff>
      <xdr:row>42</xdr:row>
      <xdr:rowOff>104775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428625</xdr:colOff>
      <xdr:row>1</xdr:row>
      <xdr:rowOff>28575</xdr:rowOff>
    </xdr:from>
    <xdr:to>
      <xdr:col>14</xdr:col>
      <xdr:colOff>180975</xdr:colOff>
      <xdr:row>21</xdr:row>
      <xdr:rowOff>19050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361950</xdr:colOff>
      <xdr:row>62</xdr:row>
      <xdr:rowOff>120650</xdr:rowOff>
    </xdr:from>
    <xdr:to>
      <xdr:col>20</xdr:col>
      <xdr:colOff>565150</xdr:colOff>
      <xdr:row>87</xdr:row>
      <xdr:rowOff>73025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57150</xdr:colOff>
      <xdr:row>62</xdr:row>
      <xdr:rowOff>120650</xdr:rowOff>
    </xdr:from>
    <xdr:to>
      <xdr:col>30</xdr:col>
      <xdr:colOff>552450</xdr:colOff>
      <xdr:row>87</xdr:row>
      <xdr:rowOff>88900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288925</xdr:colOff>
      <xdr:row>62</xdr:row>
      <xdr:rowOff>123825</xdr:rowOff>
    </xdr:from>
    <xdr:to>
      <xdr:col>10</xdr:col>
      <xdr:colOff>266700</xdr:colOff>
      <xdr:row>87</xdr:row>
      <xdr:rowOff>82550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409575</xdr:colOff>
      <xdr:row>27</xdr:row>
      <xdr:rowOff>76200</xdr:rowOff>
    </xdr:from>
    <xdr:to>
      <xdr:col>49</xdr:col>
      <xdr:colOff>323850</xdr:colOff>
      <xdr:row>52</xdr:row>
      <xdr:rowOff>44450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244475</xdr:colOff>
      <xdr:row>113</xdr:row>
      <xdr:rowOff>133350</xdr:rowOff>
    </xdr:from>
    <xdr:to>
      <xdr:col>29</xdr:col>
      <xdr:colOff>161925</xdr:colOff>
      <xdr:row>138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349250</xdr:colOff>
      <xdr:row>113</xdr:row>
      <xdr:rowOff>152400</xdr:rowOff>
    </xdr:from>
    <xdr:to>
      <xdr:col>38</xdr:col>
      <xdr:colOff>587375</xdr:colOff>
      <xdr:row>138</xdr:row>
      <xdr:rowOff>120650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76199</xdr:colOff>
      <xdr:row>113</xdr:row>
      <xdr:rowOff>98425</xdr:rowOff>
    </xdr:from>
    <xdr:to>
      <xdr:col>18</xdr:col>
      <xdr:colOff>530224</xdr:colOff>
      <xdr:row>127</xdr:row>
      <xdr:rowOff>142875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113</xdr:row>
      <xdr:rowOff>95250</xdr:rowOff>
    </xdr:from>
    <xdr:to>
      <xdr:col>8</xdr:col>
      <xdr:colOff>590550</xdr:colOff>
      <xdr:row>127</xdr:row>
      <xdr:rowOff>142875</xdr:rowOff>
    </xdr:to>
    <xdr:graphicFrame macro="">
      <xdr:nvGraphicFramePr>
        <xdr:cNvPr id="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85724</xdr:colOff>
      <xdr:row>128</xdr:row>
      <xdr:rowOff>79375</xdr:rowOff>
    </xdr:from>
    <xdr:to>
      <xdr:col>18</xdr:col>
      <xdr:colOff>539749</xdr:colOff>
      <xdr:row>142</xdr:row>
      <xdr:rowOff>123825</xdr:rowOff>
    </xdr:to>
    <xdr:graphicFrame macro="">
      <xdr:nvGraphicFramePr>
        <xdr:cNvPr id="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123825</xdr:colOff>
      <xdr:row>128</xdr:row>
      <xdr:rowOff>76200</xdr:rowOff>
    </xdr:from>
    <xdr:to>
      <xdr:col>8</xdr:col>
      <xdr:colOff>600075</xdr:colOff>
      <xdr:row>142</xdr:row>
      <xdr:rowOff>123825</xdr:rowOff>
    </xdr:to>
    <xdr:graphicFrame macro="">
      <xdr:nvGraphicFramePr>
        <xdr:cNvPr id="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381000</xdr:colOff>
      <xdr:row>161</xdr:row>
      <xdr:rowOff>47625</xdr:rowOff>
    </xdr:from>
    <xdr:to>
      <xdr:col>29</xdr:col>
      <xdr:colOff>298450</xdr:colOff>
      <xdr:row>186</xdr:row>
      <xdr:rowOff>0</xdr:rowOff>
    </xdr:to>
    <xdr:graphicFrame macro="">
      <xdr:nvGraphicFramePr>
        <xdr:cNvPr id="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390525</xdr:colOff>
      <xdr:row>161</xdr:row>
      <xdr:rowOff>47625</xdr:rowOff>
    </xdr:from>
    <xdr:to>
      <xdr:col>39</xdr:col>
      <xdr:colOff>19050</xdr:colOff>
      <xdr:row>186</xdr:row>
      <xdr:rowOff>15875</xdr:rowOff>
    </xdr:to>
    <xdr:graphicFrame macro="">
      <xdr:nvGraphicFramePr>
        <xdr:cNvPr id="1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380999</xdr:colOff>
      <xdr:row>161</xdr:row>
      <xdr:rowOff>41275</xdr:rowOff>
    </xdr:from>
    <xdr:to>
      <xdr:col>19</xdr:col>
      <xdr:colOff>225424</xdr:colOff>
      <xdr:row>179</xdr:row>
      <xdr:rowOff>123825</xdr:rowOff>
    </xdr:to>
    <xdr:graphicFrame macro="">
      <xdr:nvGraphicFramePr>
        <xdr:cNvPr id="1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323850</xdr:colOff>
      <xdr:row>161</xdr:row>
      <xdr:rowOff>38101</xdr:rowOff>
    </xdr:from>
    <xdr:to>
      <xdr:col>9</xdr:col>
      <xdr:colOff>352425</xdr:colOff>
      <xdr:row>179</xdr:row>
      <xdr:rowOff>114301</xdr:rowOff>
    </xdr:to>
    <xdr:graphicFrame macro="">
      <xdr:nvGraphicFramePr>
        <xdr:cNvPr id="1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314325</xdr:colOff>
      <xdr:row>179</xdr:row>
      <xdr:rowOff>142875</xdr:rowOff>
    </xdr:from>
    <xdr:to>
      <xdr:col>9</xdr:col>
      <xdr:colOff>342900</xdr:colOff>
      <xdr:row>198</xdr:row>
      <xdr:rowOff>57150</xdr:rowOff>
    </xdr:to>
    <xdr:graphicFrame macro="">
      <xdr:nvGraphicFramePr>
        <xdr:cNvPr id="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390525</xdr:colOff>
      <xdr:row>179</xdr:row>
      <xdr:rowOff>152400</xdr:rowOff>
    </xdr:from>
    <xdr:to>
      <xdr:col>19</xdr:col>
      <xdr:colOff>234950</xdr:colOff>
      <xdr:row>198</xdr:row>
      <xdr:rowOff>73025</xdr:rowOff>
    </xdr:to>
    <xdr:graphicFrame macro="">
      <xdr:nvGraphicFramePr>
        <xdr:cNvPr id="1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352425</xdr:colOff>
      <xdr:row>186</xdr:row>
      <xdr:rowOff>57150</xdr:rowOff>
    </xdr:from>
    <xdr:to>
      <xdr:col>29</xdr:col>
      <xdr:colOff>269875</xdr:colOff>
      <xdr:row>211</xdr:row>
      <xdr:rowOff>9525</xdr:rowOff>
    </xdr:to>
    <xdr:graphicFrame macro="">
      <xdr:nvGraphicFramePr>
        <xdr:cNvPr id="1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361950</xdr:colOff>
      <xdr:row>186</xdr:row>
      <xdr:rowOff>57150</xdr:rowOff>
    </xdr:from>
    <xdr:to>
      <xdr:col>38</xdr:col>
      <xdr:colOff>600075</xdr:colOff>
      <xdr:row>211</xdr:row>
      <xdr:rowOff>25400</xdr:rowOff>
    </xdr:to>
    <xdr:graphicFrame macro="">
      <xdr:nvGraphicFramePr>
        <xdr:cNvPr id="17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35</xdr:col>
      <xdr:colOff>152400</xdr:colOff>
      <xdr:row>172</xdr:row>
      <xdr:rowOff>47624</xdr:rowOff>
    </xdr:from>
    <xdr:to>
      <xdr:col>36</xdr:col>
      <xdr:colOff>142875</xdr:colOff>
      <xdr:row>179</xdr:row>
      <xdr:rowOff>123824</xdr:rowOff>
    </xdr:to>
    <xdr:sp macro="" textlink="">
      <xdr:nvSpPr>
        <xdr:cNvPr id="2" name="Retângulo 1"/>
        <xdr:cNvSpPr/>
      </xdr:nvSpPr>
      <xdr:spPr>
        <a:xfrm>
          <a:off x="21488400" y="27898724"/>
          <a:ext cx="600075" cy="12096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19051</xdr:colOff>
      <xdr:row>156</xdr:row>
      <xdr:rowOff>66675</xdr:rowOff>
    </xdr:from>
    <xdr:to>
      <xdr:col>40</xdr:col>
      <xdr:colOff>85725</xdr:colOff>
      <xdr:row>160</xdr:row>
      <xdr:rowOff>104772</xdr:rowOff>
    </xdr:to>
    <xdr:sp macro="" textlink="">
      <xdr:nvSpPr>
        <xdr:cNvPr id="3" name="Retângulo 2"/>
        <xdr:cNvSpPr/>
      </xdr:nvSpPr>
      <xdr:spPr>
        <a:xfrm>
          <a:off x="21964651" y="25326975"/>
          <a:ext cx="2505074" cy="68579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607219</xdr:colOff>
      <xdr:row>183</xdr:row>
      <xdr:rowOff>17463</xdr:rowOff>
    </xdr:from>
    <xdr:to>
      <xdr:col>8</xdr:col>
      <xdr:colOff>83344</xdr:colOff>
      <xdr:row>198</xdr:row>
      <xdr:rowOff>22225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321470</xdr:colOff>
      <xdr:row>182</xdr:row>
      <xdr:rowOff>176213</xdr:rowOff>
    </xdr:from>
    <xdr:to>
      <xdr:col>16</xdr:col>
      <xdr:colOff>194470</xdr:colOff>
      <xdr:row>197</xdr:row>
      <xdr:rowOff>180976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559593</xdr:colOff>
      <xdr:row>198</xdr:row>
      <xdr:rowOff>180181</xdr:rowOff>
    </xdr:from>
    <xdr:to>
      <xdr:col>16</xdr:col>
      <xdr:colOff>202406</xdr:colOff>
      <xdr:row>229</xdr:row>
      <xdr:rowOff>154780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3969</xdr:colOff>
      <xdr:row>2</xdr:row>
      <xdr:rowOff>0</xdr:rowOff>
    </xdr:from>
    <xdr:to>
      <xdr:col>18</xdr:col>
      <xdr:colOff>579438</xdr:colOff>
      <xdr:row>14</xdr:row>
      <xdr:rowOff>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14</xdr:row>
      <xdr:rowOff>0</xdr:rowOff>
    </xdr:from>
    <xdr:to>
      <xdr:col>18</xdr:col>
      <xdr:colOff>575469</xdr:colOff>
      <xdr:row>26</xdr:row>
      <xdr:rowOff>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26</xdr:row>
      <xdr:rowOff>0</xdr:rowOff>
    </xdr:from>
    <xdr:to>
      <xdr:col>18</xdr:col>
      <xdr:colOff>575469</xdr:colOff>
      <xdr:row>38</xdr:row>
      <xdr:rowOff>0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0</xdr:colOff>
      <xdr:row>146</xdr:row>
      <xdr:rowOff>0</xdr:rowOff>
    </xdr:from>
    <xdr:to>
      <xdr:col>18</xdr:col>
      <xdr:colOff>575469</xdr:colOff>
      <xdr:row>158</xdr:row>
      <xdr:rowOff>0</xdr:rowOff>
    </xdr:to>
    <xdr:graphicFrame macro="">
      <xdr:nvGraphicFramePr>
        <xdr:cNvPr id="8" name="Grá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0</xdr:colOff>
      <xdr:row>158</xdr:row>
      <xdr:rowOff>0</xdr:rowOff>
    </xdr:from>
    <xdr:to>
      <xdr:col>18</xdr:col>
      <xdr:colOff>575469</xdr:colOff>
      <xdr:row>170</xdr:row>
      <xdr:rowOff>0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0</xdr:colOff>
      <xdr:row>170</xdr:row>
      <xdr:rowOff>0</xdr:rowOff>
    </xdr:from>
    <xdr:to>
      <xdr:col>18</xdr:col>
      <xdr:colOff>575469</xdr:colOff>
      <xdr:row>182</xdr:row>
      <xdr:rowOff>0</xdr:rowOff>
    </xdr:to>
    <xdr:graphicFrame macro="">
      <xdr:nvGraphicFramePr>
        <xdr:cNvPr id="10" name="Grá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0</xdr:colOff>
      <xdr:row>38</xdr:row>
      <xdr:rowOff>0</xdr:rowOff>
    </xdr:from>
    <xdr:to>
      <xdr:col>18</xdr:col>
      <xdr:colOff>575469</xdr:colOff>
      <xdr:row>50</xdr:row>
      <xdr:rowOff>0</xdr:rowOff>
    </xdr:to>
    <xdr:graphicFrame macro="">
      <xdr:nvGraphicFramePr>
        <xdr:cNvPr id="11" name="Grá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0</xdr:colOff>
      <xdr:row>50</xdr:row>
      <xdr:rowOff>0</xdr:rowOff>
    </xdr:from>
    <xdr:to>
      <xdr:col>18</xdr:col>
      <xdr:colOff>575469</xdr:colOff>
      <xdr:row>62</xdr:row>
      <xdr:rowOff>0</xdr:rowOff>
    </xdr:to>
    <xdr:graphicFrame macro="">
      <xdr:nvGraphicFramePr>
        <xdr:cNvPr id="12" name="Grá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0</xdr:colOff>
      <xdr:row>62</xdr:row>
      <xdr:rowOff>0</xdr:rowOff>
    </xdr:from>
    <xdr:to>
      <xdr:col>18</xdr:col>
      <xdr:colOff>575469</xdr:colOff>
      <xdr:row>74</xdr:row>
      <xdr:rowOff>0</xdr:rowOff>
    </xdr:to>
    <xdr:graphicFrame macro="">
      <xdr:nvGraphicFramePr>
        <xdr:cNvPr id="13" name="Grá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0</xdr:colOff>
      <xdr:row>74</xdr:row>
      <xdr:rowOff>0</xdr:rowOff>
    </xdr:from>
    <xdr:to>
      <xdr:col>18</xdr:col>
      <xdr:colOff>575469</xdr:colOff>
      <xdr:row>86</xdr:row>
      <xdr:rowOff>0</xdr:rowOff>
    </xdr:to>
    <xdr:graphicFrame macro="">
      <xdr:nvGraphicFramePr>
        <xdr:cNvPr id="14" name="Grá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0</xdr:colOff>
      <xdr:row>86</xdr:row>
      <xdr:rowOff>0</xdr:rowOff>
    </xdr:from>
    <xdr:to>
      <xdr:col>18</xdr:col>
      <xdr:colOff>575469</xdr:colOff>
      <xdr:row>98</xdr:row>
      <xdr:rowOff>0</xdr:rowOff>
    </xdr:to>
    <xdr:graphicFrame macro="">
      <xdr:nvGraphicFramePr>
        <xdr:cNvPr id="15" name="Gráfico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</xdr:col>
      <xdr:colOff>0</xdr:colOff>
      <xdr:row>98</xdr:row>
      <xdr:rowOff>0</xdr:rowOff>
    </xdr:from>
    <xdr:to>
      <xdr:col>18</xdr:col>
      <xdr:colOff>575469</xdr:colOff>
      <xdr:row>110</xdr:row>
      <xdr:rowOff>0</xdr:rowOff>
    </xdr:to>
    <xdr:graphicFrame macro="">
      <xdr:nvGraphicFramePr>
        <xdr:cNvPr id="16" name="Gráfico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</xdr:col>
      <xdr:colOff>0</xdr:colOff>
      <xdr:row>110</xdr:row>
      <xdr:rowOff>0</xdr:rowOff>
    </xdr:from>
    <xdr:to>
      <xdr:col>18</xdr:col>
      <xdr:colOff>575469</xdr:colOff>
      <xdr:row>122</xdr:row>
      <xdr:rowOff>0</xdr:rowOff>
    </xdr:to>
    <xdr:graphicFrame macro="">
      <xdr:nvGraphicFramePr>
        <xdr:cNvPr id="17" name="Gráfico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0</xdr:colOff>
      <xdr:row>122</xdr:row>
      <xdr:rowOff>0</xdr:rowOff>
    </xdr:from>
    <xdr:to>
      <xdr:col>18</xdr:col>
      <xdr:colOff>575469</xdr:colOff>
      <xdr:row>134</xdr:row>
      <xdr:rowOff>0</xdr:rowOff>
    </xdr:to>
    <xdr:graphicFrame macro="">
      <xdr:nvGraphicFramePr>
        <xdr:cNvPr id="18" name="Gráfico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0</xdr:colOff>
      <xdr:row>134</xdr:row>
      <xdr:rowOff>0</xdr:rowOff>
    </xdr:from>
    <xdr:to>
      <xdr:col>18</xdr:col>
      <xdr:colOff>575469</xdr:colOff>
      <xdr:row>146</xdr:row>
      <xdr:rowOff>0</xdr:rowOff>
    </xdr:to>
    <xdr:graphicFrame macro="">
      <xdr:nvGraphicFramePr>
        <xdr:cNvPr id="19" name="Gráfico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20</xdr:col>
      <xdr:colOff>571499</xdr:colOff>
      <xdr:row>175</xdr:row>
      <xdr:rowOff>107497</xdr:rowOff>
    </xdr:from>
    <xdr:to>
      <xdr:col>29</xdr:col>
      <xdr:colOff>544286</xdr:colOff>
      <xdr:row>199</xdr:row>
      <xdr:rowOff>46265</xdr:rowOff>
    </xdr:to>
    <xdr:graphicFrame macro="">
      <xdr:nvGraphicFramePr>
        <xdr:cNvPr id="2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29</xdr:col>
      <xdr:colOff>594631</xdr:colOff>
      <xdr:row>175</xdr:row>
      <xdr:rowOff>93889</xdr:rowOff>
    </xdr:from>
    <xdr:to>
      <xdr:col>39</xdr:col>
      <xdr:colOff>195943</xdr:colOff>
      <xdr:row>199</xdr:row>
      <xdr:rowOff>48532</xdr:rowOff>
    </xdr:to>
    <xdr:graphicFrame macro="">
      <xdr:nvGraphicFramePr>
        <xdr:cNvPr id="2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25</xdr:col>
      <xdr:colOff>449487</xdr:colOff>
      <xdr:row>205</xdr:row>
      <xdr:rowOff>57603</xdr:rowOff>
    </xdr:from>
    <xdr:to>
      <xdr:col>35</xdr:col>
      <xdr:colOff>209548</xdr:colOff>
      <xdr:row>219</xdr:row>
      <xdr:rowOff>38553</xdr:rowOff>
    </xdr:to>
    <xdr:graphicFrame macro="">
      <xdr:nvGraphicFramePr>
        <xdr:cNvPr id="2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16</xdr:col>
      <xdr:colOff>435428</xdr:colOff>
      <xdr:row>205</xdr:row>
      <xdr:rowOff>54428</xdr:rowOff>
    </xdr:from>
    <xdr:to>
      <xdr:col>25</xdr:col>
      <xdr:colOff>360588</xdr:colOff>
      <xdr:row>219</xdr:row>
      <xdr:rowOff>38553</xdr:rowOff>
    </xdr:to>
    <xdr:graphicFrame macro="">
      <xdr:nvGraphicFramePr>
        <xdr:cNvPr id="2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36</xdr:col>
      <xdr:colOff>27214</xdr:colOff>
      <xdr:row>187</xdr:row>
      <xdr:rowOff>54428</xdr:rowOff>
    </xdr:from>
    <xdr:to>
      <xdr:col>38</xdr:col>
      <xdr:colOff>0</xdr:colOff>
      <xdr:row>191</xdr:row>
      <xdr:rowOff>54428</xdr:rowOff>
    </xdr:to>
    <xdr:sp macro="" textlink="">
      <xdr:nvSpPr>
        <xdr:cNvPr id="28" name="Elipse 27"/>
        <xdr:cNvSpPr/>
      </xdr:nvSpPr>
      <xdr:spPr>
        <a:xfrm rot="20260951">
          <a:off x="22397357" y="33364714"/>
          <a:ext cx="1197429" cy="653143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95250</xdr:colOff>
      <xdr:row>191</xdr:row>
      <xdr:rowOff>81642</xdr:rowOff>
    </xdr:from>
    <xdr:to>
      <xdr:col>35</xdr:col>
      <xdr:colOff>557893</xdr:colOff>
      <xdr:row>201</xdr:row>
      <xdr:rowOff>95250</xdr:rowOff>
    </xdr:to>
    <xdr:cxnSp macro="">
      <xdr:nvCxnSpPr>
        <xdr:cNvPr id="30" name="Conector de seta reta 29"/>
        <xdr:cNvCxnSpPr/>
      </xdr:nvCxnSpPr>
      <xdr:spPr>
        <a:xfrm flipV="1">
          <a:off x="18179143" y="34045071"/>
          <a:ext cx="4136571" cy="164646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354770</xdr:colOff>
      <xdr:row>184</xdr:row>
      <xdr:rowOff>111950</xdr:rowOff>
    </xdr:from>
    <xdr:to>
      <xdr:col>25</xdr:col>
      <xdr:colOff>415599</xdr:colOff>
      <xdr:row>187</xdr:row>
      <xdr:rowOff>30307</xdr:rowOff>
    </xdr:to>
    <xdr:sp macro="" textlink="">
      <xdr:nvSpPr>
        <xdr:cNvPr id="31" name="Elipse 30"/>
        <xdr:cNvSpPr/>
      </xdr:nvSpPr>
      <xdr:spPr>
        <a:xfrm rot="20260951">
          <a:off x="13444841" y="32687450"/>
          <a:ext cx="1897794" cy="653143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394607</xdr:colOff>
      <xdr:row>187</xdr:row>
      <xdr:rowOff>95250</xdr:rowOff>
    </xdr:from>
    <xdr:to>
      <xdr:col>25</xdr:col>
      <xdr:colOff>122464</xdr:colOff>
      <xdr:row>200</xdr:row>
      <xdr:rowOff>108858</xdr:rowOff>
    </xdr:to>
    <xdr:cxnSp macro="">
      <xdr:nvCxnSpPr>
        <xdr:cNvPr id="32" name="Conector de seta reta 31"/>
        <xdr:cNvCxnSpPr/>
      </xdr:nvCxnSpPr>
      <xdr:spPr>
        <a:xfrm flipH="1" flipV="1">
          <a:off x="14709321" y="33405536"/>
          <a:ext cx="340179" cy="2136322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326571</xdr:colOff>
      <xdr:row>200</xdr:row>
      <xdr:rowOff>68036</xdr:rowOff>
    </xdr:from>
    <xdr:to>
      <xdr:col>28</xdr:col>
      <xdr:colOff>217714</xdr:colOff>
      <xdr:row>215</xdr:row>
      <xdr:rowOff>149678</xdr:rowOff>
    </xdr:to>
    <xdr:cxnSp macro="">
      <xdr:nvCxnSpPr>
        <xdr:cNvPr id="35" name="Conector de seta reta 34"/>
        <xdr:cNvCxnSpPr/>
      </xdr:nvCxnSpPr>
      <xdr:spPr>
        <a:xfrm flipH="1">
          <a:off x="17185821" y="35501036"/>
          <a:ext cx="503464" cy="2530928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81643</xdr:colOff>
      <xdr:row>217</xdr:row>
      <xdr:rowOff>13607</xdr:rowOff>
    </xdr:from>
    <xdr:to>
      <xdr:col>28</xdr:col>
      <xdr:colOff>108858</xdr:colOff>
      <xdr:row>219</xdr:row>
      <xdr:rowOff>48613</xdr:rowOff>
    </xdr:to>
    <xdr:sp macro="" textlink="">
      <xdr:nvSpPr>
        <xdr:cNvPr id="39" name="Elipse 38"/>
        <xdr:cNvSpPr/>
      </xdr:nvSpPr>
      <xdr:spPr>
        <a:xfrm>
          <a:off x="16940893" y="38222464"/>
          <a:ext cx="639536" cy="36157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28</xdr:col>
      <xdr:colOff>244929</xdr:colOff>
      <xdr:row>202</xdr:row>
      <xdr:rowOff>108857</xdr:rowOff>
    </xdr:from>
    <xdr:to>
      <xdr:col>29</xdr:col>
      <xdr:colOff>285750</xdr:colOff>
      <xdr:row>217</xdr:row>
      <xdr:rowOff>0</xdr:rowOff>
    </xdr:to>
    <xdr:cxnSp macro="">
      <xdr:nvCxnSpPr>
        <xdr:cNvPr id="44" name="Conector de seta reta 43"/>
        <xdr:cNvCxnSpPr/>
      </xdr:nvCxnSpPr>
      <xdr:spPr>
        <a:xfrm>
          <a:off x="17716500" y="35868428"/>
          <a:ext cx="653143" cy="2340429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40822</xdr:colOff>
      <xdr:row>217</xdr:row>
      <xdr:rowOff>27213</xdr:rowOff>
    </xdr:from>
    <xdr:to>
      <xdr:col>30</xdr:col>
      <xdr:colOff>54431</xdr:colOff>
      <xdr:row>219</xdr:row>
      <xdr:rowOff>62219</xdr:rowOff>
    </xdr:to>
    <xdr:sp macro="" textlink="">
      <xdr:nvSpPr>
        <xdr:cNvPr id="47" name="Elipse 46"/>
        <xdr:cNvSpPr/>
      </xdr:nvSpPr>
      <xdr:spPr>
        <a:xfrm>
          <a:off x="18124715" y="38236070"/>
          <a:ext cx="625930" cy="36157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119062</xdr:colOff>
      <xdr:row>0</xdr:row>
      <xdr:rowOff>138112</xdr:rowOff>
    </xdr:from>
    <xdr:to>
      <xdr:col>13</xdr:col>
      <xdr:colOff>400050</xdr:colOff>
      <xdr:row>17</xdr:row>
      <xdr:rowOff>128587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180975</xdr:colOff>
      <xdr:row>0</xdr:row>
      <xdr:rowOff>104775</xdr:rowOff>
    </xdr:from>
    <xdr:to>
      <xdr:col>23</xdr:col>
      <xdr:colOff>409575</xdr:colOff>
      <xdr:row>16</xdr:row>
      <xdr:rowOff>104775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133350</xdr:colOff>
      <xdr:row>0</xdr:row>
      <xdr:rowOff>157162</xdr:rowOff>
    </xdr:from>
    <xdr:to>
      <xdr:col>33</xdr:col>
      <xdr:colOff>438150</xdr:colOff>
      <xdr:row>16</xdr:row>
      <xdr:rowOff>38100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8</xdr:col>
      <xdr:colOff>19050</xdr:colOff>
      <xdr:row>10</xdr:row>
      <xdr:rowOff>19050</xdr:rowOff>
    </xdr:to>
    <xdr:sp macro="" textlink="">
      <xdr:nvSpPr>
        <xdr:cNvPr id="8194" name="AutoShape 2" descr="https://mail.google.com/mail/u/0/?ui=2&amp;ik=49ed888653&amp;view=fimg&amp;th=14eb676749fb3852&amp;attid=0.2&amp;disp=emb&amp;attbid=ANGjdJ88_fOBpavUgooRgXkpPq5HiwyytlYdcbsFQpbLffXqo_aBGD7p3xSNK-yTQOrE4vxPPKS6xXeNgZXhvHtH1sCIemwCKMRtpU7EOF8ONF_b_iCWsRdiN-0r4CQ&amp;sz=w1028-h128&amp;ats=1437654285365&amp;rm=14eb676749fb3852&amp;zw&amp;atsh=1"/>
        <xdr:cNvSpPr>
          <a:spLocks noChangeAspect="1" noChangeArrowheads="1"/>
        </xdr:cNvSpPr>
      </xdr:nvSpPr>
      <xdr:spPr bwMode="auto">
        <a:xfrm>
          <a:off x="0" y="3171825"/>
          <a:ext cx="489585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riana/Desktop/NBS19_USP_1707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</sheetNames>
    <sheetDataSet>
      <sheetData sheetId="0">
        <row r="5">
          <cell r="C5">
            <v>9</v>
          </cell>
          <cell r="D5">
            <v>1</v>
          </cell>
          <cell r="E5">
            <v>1256.3979999999999</v>
          </cell>
          <cell r="F5">
            <v>1210.7270000000001</v>
          </cell>
          <cell r="H5">
            <v>1.5229999999999999</v>
          </cell>
          <cell r="K5">
            <v>-3.3050000000000002</v>
          </cell>
        </row>
        <row r="6">
          <cell r="D6">
            <v>2</v>
          </cell>
          <cell r="E6">
            <v>1152.7249999999999</v>
          </cell>
          <cell r="F6">
            <v>1159.5940000000001</v>
          </cell>
        </row>
        <row r="7">
          <cell r="D7">
            <v>3</v>
          </cell>
          <cell r="E7">
            <v>1059.4690000000001</v>
          </cell>
          <cell r="F7">
            <v>1111.046</v>
          </cell>
        </row>
        <row r="8">
          <cell r="B8">
            <v>444</v>
          </cell>
          <cell r="D8">
            <v>4</v>
          </cell>
          <cell r="E8">
            <v>975.30499999999995</v>
          </cell>
          <cell r="F8">
            <v>1064.3340000000001</v>
          </cell>
        </row>
        <row r="9">
          <cell r="D9">
            <v>5</v>
          </cell>
          <cell r="E9">
            <v>898.97199999999998</v>
          </cell>
          <cell r="F9">
            <v>1019.981</v>
          </cell>
        </row>
        <row r="10">
          <cell r="D10">
            <v>6</v>
          </cell>
          <cell r="E10">
            <v>830.08199999999999</v>
          </cell>
          <cell r="F10">
            <v>977.52300000000002</v>
          </cell>
        </row>
        <row r="11">
          <cell r="B11">
            <v>1828.71</v>
          </cell>
          <cell r="D11">
            <v>7</v>
          </cell>
          <cell r="E11">
            <v>768.31299999999999</v>
          </cell>
          <cell r="F11">
            <v>937.072</v>
          </cell>
        </row>
        <row r="12">
          <cell r="D12">
            <v>8</v>
          </cell>
          <cell r="E12">
            <v>712.03399999999999</v>
          </cell>
          <cell r="F12">
            <v>898.50699999999995</v>
          </cell>
        </row>
        <row r="17">
          <cell r="C17">
            <v>9</v>
          </cell>
          <cell r="D17">
            <v>1</v>
          </cell>
          <cell r="E17">
            <v>1437.3689999999999</v>
          </cell>
          <cell r="F17">
            <v>1396.0239999999999</v>
          </cell>
          <cell r="H17">
            <v>1.597</v>
          </cell>
          <cell r="K17">
            <v>-3.427</v>
          </cell>
        </row>
        <row r="18">
          <cell r="D18">
            <v>2</v>
          </cell>
          <cell r="E18">
            <v>1314.3530000000001</v>
          </cell>
          <cell r="F18">
            <v>1336.5450000000001</v>
          </cell>
        </row>
        <row r="19">
          <cell r="D19">
            <v>3</v>
          </cell>
          <cell r="E19">
            <v>1204.5409999999999</v>
          </cell>
          <cell r="F19">
            <v>1279.7059999999999</v>
          </cell>
        </row>
        <row r="20">
          <cell r="B20">
            <v>494</v>
          </cell>
          <cell r="D20">
            <v>4</v>
          </cell>
          <cell r="E20">
            <v>1105.5150000000001</v>
          </cell>
          <cell r="F20">
            <v>1225.7090000000001</v>
          </cell>
        </row>
        <row r="21">
          <cell r="D21">
            <v>5</v>
          </cell>
          <cell r="E21">
            <v>1013.307</v>
          </cell>
          <cell r="F21">
            <v>1173.9580000000001</v>
          </cell>
        </row>
        <row r="22">
          <cell r="D22">
            <v>6</v>
          </cell>
          <cell r="E22">
            <v>930.27</v>
          </cell>
          <cell r="F22">
            <v>1124.6669999999999</v>
          </cell>
        </row>
        <row r="23">
          <cell r="B23">
            <v>2377.2600000000002</v>
          </cell>
          <cell r="D23">
            <v>7</v>
          </cell>
          <cell r="E23">
            <v>857.16399999999999</v>
          </cell>
          <cell r="F23">
            <v>1077.5150000000001</v>
          </cell>
        </row>
        <row r="24">
          <cell r="D24">
            <v>8</v>
          </cell>
          <cell r="E24">
            <v>791.95299999999997</v>
          </cell>
          <cell r="F24">
            <v>1032.79</v>
          </cell>
        </row>
        <row r="29">
          <cell r="C29">
            <v>9</v>
          </cell>
          <cell r="D29">
            <v>1</v>
          </cell>
          <cell r="E29">
            <v>1389.7739999999999</v>
          </cell>
          <cell r="F29">
            <v>1342.318</v>
          </cell>
          <cell r="H29">
            <v>1.7310000000000001</v>
          </cell>
          <cell r="K29">
            <v>-3.1850000000000001</v>
          </cell>
        </row>
        <row r="30">
          <cell r="D30">
            <v>2</v>
          </cell>
          <cell r="E30">
            <v>1274.6389999999999</v>
          </cell>
          <cell r="F30">
            <v>1285.306</v>
          </cell>
        </row>
        <row r="31">
          <cell r="D31">
            <v>3</v>
          </cell>
          <cell r="E31">
            <v>1170.6279999999999</v>
          </cell>
          <cell r="F31">
            <v>1230.83</v>
          </cell>
        </row>
        <row r="32">
          <cell r="B32">
            <v>466</v>
          </cell>
          <cell r="D32">
            <v>4</v>
          </cell>
          <cell r="E32">
            <v>1077.115</v>
          </cell>
          <cell r="F32">
            <v>1178.8579999999999</v>
          </cell>
        </row>
        <row r="33">
          <cell r="D33">
            <v>5</v>
          </cell>
          <cell r="E33">
            <v>992.99400000000003</v>
          </cell>
          <cell r="F33">
            <v>1129.3610000000001</v>
          </cell>
        </row>
        <row r="34">
          <cell r="D34">
            <v>6</v>
          </cell>
          <cell r="E34">
            <v>916.42899999999997</v>
          </cell>
          <cell r="F34">
            <v>1082.0350000000001</v>
          </cell>
        </row>
        <row r="35">
          <cell r="B35">
            <v>2008.04</v>
          </cell>
          <cell r="D35">
            <v>7</v>
          </cell>
          <cell r="E35">
            <v>846.72900000000004</v>
          </cell>
          <cell r="F35">
            <v>1036.9259999999999</v>
          </cell>
        </row>
        <row r="36">
          <cell r="D36">
            <v>8</v>
          </cell>
          <cell r="E36">
            <v>783.74900000000002</v>
          </cell>
          <cell r="F36">
            <v>993.77700000000004</v>
          </cell>
        </row>
        <row r="41">
          <cell r="C41">
            <v>18</v>
          </cell>
          <cell r="D41">
            <v>1</v>
          </cell>
          <cell r="E41">
            <v>2548.7289999999998</v>
          </cell>
          <cell r="F41">
            <v>2586.9540000000002</v>
          </cell>
          <cell r="H41">
            <v>1.855</v>
          </cell>
          <cell r="K41">
            <v>-2.8490000000000002</v>
          </cell>
        </row>
        <row r="42">
          <cell r="D42">
            <v>2</v>
          </cell>
          <cell r="E42">
            <v>2309.5630000000001</v>
          </cell>
          <cell r="F42">
            <v>2471.2930000000001</v>
          </cell>
        </row>
        <row r="43">
          <cell r="D43">
            <v>3</v>
          </cell>
          <cell r="E43">
            <v>2096.681</v>
          </cell>
          <cell r="F43">
            <v>2360.9209999999998</v>
          </cell>
        </row>
        <row r="44">
          <cell r="B44">
            <v>632</v>
          </cell>
          <cell r="D44">
            <v>4</v>
          </cell>
          <cell r="E44">
            <v>1906.502</v>
          </cell>
          <cell r="F44">
            <v>2256.08</v>
          </cell>
        </row>
        <row r="45">
          <cell r="D45">
            <v>5</v>
          </cell>
          <cell r="E45">
            <v>1736.636</v>
          </cell>
          <cell r="F45">
            <v>2156.4340000000002</v>
          </cell>
        </row>
        <row r="46">
          <cell r="D46">
            <v>6</v>
          </cell>
          <cell r="E46">
            <v>1584.9059999999999</v>
          </cell>
          <cell r="F46">
            <v>2061.1239999999998</v>
          </cell>
        </row>
        <row r="47">
          <cell r="B47">
            <v>3889.05</v>
          </cell>
          <cell r="D47">
            <v>7</v>
          </cell>
          <cell r="E47">
            <v>1448.6</v>
          </cell>
          <cell r="F47">
            <v>1970.9359999999999</v>
          </cell>
        </row>
        <row r="48">
          <cell r="D48">
            <v>8</v>
          </cell>
          <cell r="E48">
            <v>1326.5630000000001</v>
          </cell>
          <cell r="F48">
            <v>1884.5920000000001</v>
          </cell>
        </row>
        <row r="53">
          <cell r="C53">
            <v>18</v>
          </cell>
          <cell r="D53">
            <v>1</v>
          </cell>
          <cell r="E53">
            <v>2340.6550000000002</v>
          </cell>
          <cell r="F53">
            <v>2338.627</v>
          </cell>
          <cell r="H53">
            <v>1.6279999999999999</v>
          </cell>
          <cell r="K53">
            <v>-3.1059999999999999</v>
          </cell>
        </row>
        <row r="54">
          <cell r="D54">
            <v>2</v>
          </cell>
          <cell r="E54">
            <v>2123.1170000000002</v>
          </cell>
          <cell r="F54">
            <v>2234.7800000000002</v>
          </cell>
        </row>
        <row r="55">
          <cell r="D55">
            <v>3</v>
          </cell>
          <cell r="E55">
            <v>1929.2809999999999</v>
          </cell>
          <cell r="F55">
            <v>2136.0770000000002</v>
          </cell>
        </row>
        <row r="56">
          <cell r="B56">
            <v>600</v>
          </cell>
          <cell r="D56">
            <v>4</v>
          </cell>
          <cell r="E56">
            <v>1755.6120000000001</v>
          </cell>
          <cell r="F56">
            <v>2041.5930000000001</v>
          </cell>
        </row>
        <row r="57">
          <cell r="D57">
            <v>5</v>
          </cell>
          <cell r="E57">
            <v>1601.0360000000001</v>
          </cell>
          <cell r="F57">
            <v>1952.249</v>
          </cell>
        </row>
        <row r="58">
          <cell r="D58">
            <v>6</v>
          </cell>
          <cell r="E58">
            <v>1463.509</v>
          </cell>
          <cell r="F58">
            <v>1866.8050000000001</v>
          </cell>
        </row>
        <row r="59">
          <cell r="B59">
            <v>3440.24</v>
          </cell>
          <cell r="D59">
            <v>7</v>
          </cell>
          <cell r="E59">
            <v>1339.5150000000001</v>
          </cell>
          <cell r="F59">
            <v>1785.6780000000001</v>
          </cell>
        </row>
        <row r="60">
          <cell r="D60">
            <v>8</v>
          </cell>
          <cell r="E60">
            <v>1218.249</v>
          </cell>
          <cell r="F60">
            <v>1707.8530000000001</v>
          </cell>
        </row>
        <row r="65">
          <cell r="C65">
            <v>18</v>
          </cell>
          <cell r="D65">
            <v>1</v>
          </cell>
          <cell r="E65">
            <v>2473.7820000000002</v>
          </cell>
          <cell r="F65">
            <v>2507.931</v>
          </cell>
          <cell r="H65">
            <v>1.7569999999999999</v>
          </cell>
          <cell r="K65">
            <v>-3.0129999999999999</v>
          </cell>
        </row>
        <row r="66">
          <cell r="D66">
            <v>2</v>
          </cell>
          <cell r="E66">
            <v>2239.241</v>
          </cell>
          <cell r="F66">
            <v>2395.42</v>
          </cell>
        </row>
        <row r="67">
          <cell r="D67">
            <v>3</v>
          </cell>
          <cell r="E67">
            <v>2029.807</v>
          </cell>
          <cell r="F67">
            <v>2288.375</v>
          </cell>
        </row>
        <row r="68">
          <cell r="B68">
            <v>639</v>
          </cell>
          <cell r="D68">
            <v>4</v>
          </cell>
          <cell r="E68">
            <v>1844.019</v>
          </cell>
          <cell r="F68">
            <v>2186.864</v>
          </cell>
        </row>
        <row r="69">
          <cell r="D69">
            <v>5</v>
          </cell>
          <cell r="E69">
            <v>1678.992</v>
          </cell>
          <cell r="F69">
            <v>2090.5610000000001</v>
          </cell>
        </row>
        <row r="70">
          <cell r="D70">
            <v>6</v>
          </cell>
          <cell r="E70">
            <v>1531.683</v>
          </cell>
          <cell r="F70">
            <v>1998.7190000000001</v>
          </cell>
        </row>
        <row r="71">
          <cell r="B71">
            <v>3809.05</v>
          </cell>
          <cell r="D71">
            <v>7</v>
          </cell>
          <cell r="E71">
            <v>1399.451</v>
          </cell>
          <cell r="F71">
            <v>1911.107</v>
          </cell>
        </row>
        <row r="72">
          <cell r="D72">
            <v>8</v>
          </cell>
          <cell r="E72">
            <v>1279.7280000000001</v>
          </cell>
          <cell r="F72">
            <v>1827.836</v>
          </cell>
        </row>
        <row r="77">
          <cell r="C77">
            <v>18</v>
          </cell>
          <cell r="D77">
            <v>1</v>
          </cell>
          <cell r="E77">
            <v>1690.508</v>
          </cell>
          <cell r="F77">
            <v>1686.9549999999999</v>
          </cell>
          <cell r="H77">
            <v>1.621</v>
          </cell>
          <cell r="K77">
            <v>-3.3940000000000001</v>
          </cell>
        </row>
        <row r="78">
          <cell r="D78">
            <v>2</v>
          </cell>
          <cell r="E78">
            <v>1540.069</v>
          </cell>
          <cell r="F78">
            <v>1613.8150000000001</v>
          </cell>
        </row>
        <row r="79">
          <cell r="D79">
            <v>3</v>
          </cell>
          <cell r="E79">
            <v>1405.9770000000001</v>
          </cell>
          <cell r="F79">
            <v>1544.211</v>
          </cell>
        </row>
        <row r="80">
          <cell r="B80">
            <v>494</v>
          </cell>
          <cell r="D80">
            <v>4</v>
          </cell>
          <cell r="E80">
            <v>1285.8399999999999</v>
          </cell>
          <cell r="F80">
            <v>1477.924</v>
          </cell>
        </row>
        <row r="81">
          <cell r="D81">
            <v>5</v>
          </cell>
          <cell r="E81">
            <v>1178.1489999999999</v>
          </cell>
          <cell r="F81">
            <v>1414.6289999999999</v>
          </cell>
        </row>
        <row r="82">
          <cell r="D82">
            <v>6</v>
          </cell>
          <cell r="E82">
            <v>1077.383</v>
          </cell>
          <cell r="F82">
            <v>1354.2280000000001</v>
          </cell>
        </row>
        <row r="83">
          <cell r="B83">
            <v>2435.92</v>
          </cell>
          <cell r="D83">
            <v>7</v>
          </cell>
          <cell r="E83">
            <v>984.298</v>
          </cell>
          <cell r="F83">
            <v>1296.845</v>
          </cell>
        </row>
        <row r="84">
          <cell r="D84">
            <v>8</v>
          </cell>
          <cell r="E84">
            <v>906.14300000000003</v>
          </cell>
          <cell r="F84">
            <v>1241.9849999999999</v>
          </cell>
        </row>
        <row r="89">
          <cell r="C89">
            <v>27</v>
          </cell>
          <cell r="D89">
            <v>1</v>
          </cell>
          <cell r="E89">
            <v>4235.2539999999999</v>
          </cell>
          <cell r="F89">
            <v>4169.7520000000004</v>
          </cell>
          <cell r="H89">
            <v>1.895</v>
          </cell>
          <cell r="K89">
            <v>-2.75</v>
          </cell>
        </row>
        <row r="90">
          <cell r="D90">
            <v>2</v>
          </cell>
          <cell r="E90">
            <v>3801.203</v>
          </cell>
          <cell r="F90">
            <v>3973.45</v>
          </cell>
        </row>
        <row r="91">
          <cell r="D91">
            <v>3</v>
          </cell>
          <cell r="E91">
            <v>3417.53</v>
          </cell>
          <cell r="F91">
            <v>3787.6550000000002</v>
          </cell>
        </row>
        <row r="92">
          <cell r="B92">
            <v>770</v>
          </cell>
          <cell r="D92">
            <v>4</v>
          </cell>
          <cell r="E92">
            <v>3077.4859999999999</v>
          </cell>
          <cell r="F92">
            <v>3611.866</v>
          </cell>
        </row>
        <row r="93">
          <cell r="D93">
            <v>5</v>
          </cell>
          <cell r="E93">
            <v>2776.498</v>
          </cell>
          <cell r="F93">
            <v>3445.0569999999998</v>
          </cell>
        </row>
        <row r="94">
          <cell r="D94">
            <v>6</v>
          </cell>
          <cell r="E94">
            <v>2509.259</v>
          </cell>
          <cell r="F94">
            <v>3286.76</v>
          </cell>
        </row>
        <row r="95">
          <cell r="B95">
            <v>6700.88</v>
          </cell>
          <cell r="D95">
            <v>7</v>
          </cell>
          <cell r="E95">
            <v>2271.7190000000001</v>
          </cell>
          <cell r="F95">
            <v>3136.9079999999999</v>
          </cell>
        </row>
        <row r="96">
          <cell r="D96">
            <v>8</v>
          </cell>
          <cell r="E96">
            <v>2060.9319999999998</v>
          </cell>
          <cell r="F96">
            <v>2994.4369999999999</v>
          </cell>
        </row>
        <row r="101">
          <cell r="C101">
            <v>27</v>
          </cell>
          <cell r="D101">
            <v>1</v>
          </cell>
          <cell r="E101">
            <v>3706.9659999999999</v>
          </cell>
          <cell r="F101">
            <v>3693.8069999999998</v>
          </cell>
          <cell r="H101">
            <v>1.895</v>
          </cell>
          <cell r="K101">
            <v>-2.6949999999999998</v>
          </cell>
        </row>
        <row r="102">
          <cell r="D102">
            <v>2</v>
          </cell>
          <cell r="E102">
            <v>3335.1550000000002</v>
          </cell>
          <cell r="F102">
            <v>3522.652</v>
          </cell>
        </row>
        <row r="103">
          <cell r="D103">
            <v>3</v>
          </cell>
          <cell r="E103">
            <v>3005.51</v>
          </cell>
          <cell r="F103">
            <v>3360.163</v>
          </cell>
        </row>
        <row r="104">
          <cell r="B104">
            <v>752</v>
          </cell>
          <cell r="D104">
            <v>4</v>
          </cell>
          <cell r="E104">
            <v>2713.915</v>
          </cell>
          <cell r="F104">
            <v>3206.509</v>
          </cell>
        </row>
        <row r="105">
          <cell r="D105">
            <v>5</v>
          </cell>
          <cell r="E105">
            <v>2454.683</v>
          </cell>
          <cell r="F105">
            <v>3060.3119999999999</v>
          </cell>
        </row>
        <row r="106">
          <cell r="D106">
            <v>6</v>
          </cell>
          <cell r="E106">
            <v>2212.0610000000001</v>
          </cell>
          <cell r="F106">
            <v>2921.558</v>
          </cell>
        </row>
        <row r="107">
          <cell r="B107">
            <v>5856.5</v>
          </cell>
          <cell r="D107">
            <v>7</v>
          </cell>
          <cell r="E107">
            <v>1993.269</v>
          </cell>
          <cell r="F107">
            <v>2789.5940000000001</v>
          </cell>
        </row>
        <row r="108">
          <cell r="D108">
            <v>8</v>
          </cell>
          <cell r="E108">
            <v>1809.34</v>
          </cell>
          <cell r="F108">
            <v>2663.8780000000002</v>
          </cell>
        </row>
        <row r="113">
          <cell r="C113">
            <v>27</v>
          </cell>
          <cell r="D113">
            <v>1</v>
          </cell>
          <cell r="E113">
            <v>2362.5010000000002</v>
          </cell>
          <cell r="F113">
            <v>2395.5929999999998</v>
          </cell>
        </row>
        <row r="114">
          <cell r="D114">
            <v>2</v>
          </cell>
          <cell r="E114">
            <v>2140.2199999999998</v>
          </cell>
          <cell r="F114">
            <v>2289.1109999999999</v>
          </cell>
        </row>
        <row r="115">
          <cell r="D115">
            <v>3</v>
          </cell>
          <cell r="E115">
            <v>1942.4290000000001</v>
          </cell>
          <cell r="F115">
            <v>2187.4670000000001</v>
          </cell>
        </row>
        <row r="116">
          <cell r="B116">
            <v>653</v>
          </cell>
          <cell r="D116">
            <v>4</v>
          </cell>
          <cell r="E116">
            <v>1766.1379999999999</v>
          </cell>
          <cell r="F116">
            <v>2090.7570000000001</v>
          </cell>
        </row>
        <row r="117">
          <cell r="D117">
            <v>5</v>
          </cell>
          <cell r="E117">
            <v>1609.0709999999999</v>
          </cell>
          <cell r="F117">
            <v>1998.481</v>
          </cell>
        </row>
        <row r="118">
          <cell r="D118">
            <v>6</v>
          </cell>
          <cell r="E118">
            <v>1468.048</v>
          </cell>
          <cell r="F118">
            <v>1910.3040000000001</v>
          </cell>
        </row>
        <row r="119">
          <cell r="B119">
            <v>3646.66</v>
          </cell>
          <cell r="D119">
            <v>7</v>
          </cell>
          <cell r="E119">
            <v>1337.377</v>
          </cell>
          <cell r="F119">
            <v>1826.41</v>
          </cell>
        </row>
        <row r="120">
          <cell r="D120">
            <v>8</v>
          </cell>
          <cell r="E120">
            <v>1215.7539999999999</v>
          </cell>
          <cell r="F120">
            <v>1746.72</v>
          </cell>
        </row>
        <row r="125">
          <cell r="C125">
            <v>27</v>
          </cell>
          <cell r="D125">
            <v>1</v>
          </cell>
          <cell r="E125">
            <v>3714.6779999999999</v>
          </cell>
          <cell r="F125">
            <v>3638.547</v>
          </cell>
          <cell r="H125">
            <v>1.9159999999999999</v>
          </cell>
          <cell r="K125">
            <v>-2.7989999999999999</v>
          </cell>
        </row>
        <row r="126">
          <cell r="D126">
            <v>2</v>
          </cell>
          <cell r="E126">
            <v>3345.748</v>
          </cell>
          <cell r="F126">
            <v>3470.277</v>
          </cell>
        </row>
        <row r="127">
          <cell r="D127">
            <v>3</v>
          </cell>
          <cell r="E127">
            <v>3018.55</v>
          </cell>
          <cell r="F127">
            <v>3310.614</v>
          </cell>
        </row>
        <row r="128">
          <cell r="B128">
            <v>767</v>
          </cell>
          <cell r="D128">
            <v>4</v>
          </cell>
          <cell r="E128">
            <v>2727.585</v>
          </cell>
          <cell r="F128">
            <v>3158.9749999999999</v>
          </cell>
        </row>
        <row r="129">
          <cell r="D129">
            <v>5</v>
          </cell>
          <cell r="E129">
            <v>2468.1109999999999</v>
          </cell>
          <cell r="F129">
            <v>3014.866</v>
          </cell>
        </row>
        <row r="130">
          <cell r="D130">
            <v>6</v>
          </cell>
          <cell r="E130">
            <v>2230.98</v>
          </cell>
          <cell r="F130">
            <v>2877.77</v>
          </cell>
        </row>
        <row r="131">
          <cell r="B131">
            <v>5735.82</v>
          </cell>
          <cell r="D131">
            <v>7</v>
          </cell>
          <cell r="E131">
            <v>2012.885</v>
          </cell>
          <cell r="F131">
            <v>2747.7530000000002</v>
          </cell>
        </row>
        <row r="132">
          <cell r="D132">
            <v>8</v>
          </cell>
          <cell r="E132">
            <v>1825.779</v>
          </cell>
          <cell r="F132">
            <v>2623.873</v>
          </cell>
        </row>
        <row r="137">
          <cell r="C137">
            <v>36</v>
          </cell>
          <cell r="D137">
            <v>1</v>
          </cell>
          <cell r="E137">
            <v>4775.6019999999999</v>
          </cell>
          <cell r="F137">
            <v>4680.6989999999996</v>
          </cell>
          <cell r="H137">
            <v>1.9079999999999999</v>
          </cell>
          <cell r="K137">
            <v>-2.7050000000000001</v>
          </cell>
        </row>
        <row r="138">
          <cell r="D138">
            <v>2</v>
          </cell>
          <cell r="E138">
            <v>4280.5820000000003</v>
          </cell>
          <cell r="F138">
            <v>4457.6639999999998</v>
          </cell>
        </row>
        <row r="139">
          <cell r="D139">
            <v>3</v>
          </cell>
          <cell r="E139">
            <v>3844.2310000000002</v>
          </cell>
          <cell r="F139">
            <v>4246.4759999999997</v>
          </cell>
        </row>
        <row r="140">
          <cell r="B140">
            <v>837</v>
          </cell>
          <cell r="D140">
            <v>4</v>
          </cell>
          <cell r="E140">
            <v>3459.4160000000002</v>
          </cell>
          <cell r="F140">
            <v>4046.97</v>
          </cell>
        </row>
        <row r="141">
          <cell r="D141">
            <v>5</v>
          </cell>
          <cell r="E141">
            <v>3118.2339999999999</v>
          </cell>
          <cell r="F141">
            <v>3858.1089999999999</v>
          </cell>
        </row>
        <row r="142">
          <cell r="D142">
            <v>6</v>
          </cell>
          <cell r="E142">
            <v>2800.9079999999999</v>
          </cell>
          <cell r="F142">
            <v>3678.7049999999999</v>
          </cell>
        </row>
        <row r="143">
          <cell r="B143">
            <v>7555.78</v>
          </cell>
          <cell r="D143">
            <v>7</v>
          </cell>
          <cell r="E143">
            <v>2522.9690000000001</v>
          </cell>
          <cell r="F143">
            <v>3508.7640000000001</v>
          </cell>
        </row>
        <row r="144">
          <cell r="D144">
            <v>8</v>
          </cell>
          <cell r="E144">
            <v>2284.895</v>
          </cell>
          <cell r="F144">
            <v>3347.4929999999999</v>
          </cell>
        </row>
        <row r="149">
          <cell r="C149">
            <v>36</v>
          </cell>
          <cell r="D149">
            <v>1</v>
          </cell>
          <cell r="E149">
            <v>4585.9870000000001</v>
          </cell>
          <cell r="F149">
            <v>4513.9970000000003</v>
          </cell>
        </row>
        <row r="150">
          <cell r="D150">
            <v>2</v>
          </cell>
          <cell r="E150">
            <v>4115.701</v>
          </cell>
          <cell r="F150">
            <v>4299.8770000000004</v>
          </cell>
        </row>
        <row r="151">
          <cell r="D151">
            <v>3</v>
          </cell>
          <cell r="E151">
            <v>3701.9360000000001</v>
          </cell>
          <cell r="F151">
            <v>4097.2340000000004</v>
          </cell>
        </row>
        <row r="152">
          <cell r="B152">
            <v>837</v>
          </cell>
          <cell r="D152">
            <v>4</v>
          </cell>
          <cell r="E152">
            <v>3336.5619999999999</v>
          </cell>
          <cell r="F152">
            <v>3905.3110000000001</v>
          </cell>
        </row>
        <row r="153">
          <cell r="D153">
            <v>5</v>
          </cell>
          <cell r="E153">
            <v>3010.7159999999999</v>
          </cell>
          <cell r="F153">
            <v>3723.49</v>
          </cell>
        </row>
        <row r="154">
          <cell r="D154">
            <v>6</v>
          </cell>
          <cell r="E154">
            <v>2722.13</v>
          </cell>
          <cell r="F154">
            <v>3551.0259999999998</v>
          </cell>
        </row>
        <row r="155">
          <cell r="B155">
            <v>7197.33</v>
          </cell>
          <cell r="D155">
            <v>7</v>
          </cell>
          <cell r="E155">
            <v>2463.9949999999999</v>
          </cell>
          <cell r="F155">
            <v>3387.4670000000001</v>
          </cell>
        </row>
        <row r="156">
          <cell r="D156">
            <v>8</v>
          </cell>
          <cell r="E156">
            <v>2234.2379999999998</v>
          </cell>
          <cell r="F156">
            <v>3231.88</v>
          </cell>
        </row>
        <row r="161">
          <cell r="C161">
            <v>36</v>
          </cell>
          <cell r="D161">
            <v>1</v>
          </cell>
          <cell r="E161">
            <v>5580.01</v>
          </cell>
          <cell r="F161">
            <v>5473.6130000000003</v>
          </cell>
          <cell r="H161">
            <v>1.919</v>
          </cell>
          <cell r="K161">
            <v>-2.6549999999999998</v>
          </cell>
        </row>
        <row r="162">
          <cell r="D162">
            <v>2</v>
          </cell>
          <cell r="E162">
            <v>4978.7240000000002</v>
          </cell>
          <cell r="F162">
            <v>5206.8530000000001</v>
          </cell>
        </row>
        <row r="163">
          <cell r="D163">
            <v>3</v>
          </cell>
          <cell r="E163">
            <v>4450.8609999999999</v>
          </cell>
          <cell r="F163">
            <v>4955.116</v>
          </cell>
        </row>
        <row r="164">
          <cell r="B164">
            <v>891</v>
          </cell>
          <cell r="D164">
            <v>4</v>
          </cell>
          <cell r="E164">
            <v>3987.1</v>
          </cell>
          <cell r="F164">
            <v>4717.5249999999996</v>
          </cell>
        </row>
        <row r="165">
          <cell r="D165">
            <v>5</v>
          </cell>
          <cell r="E165">
            <v>3576.799</v>
          </cell>
          <cell r="F165">
            <v>4492.7719999999999</v>
          </cell>
        </row>
        <row r="166">
          <cell r="D166">
            <v>6</v>
          </cell>
          <cell r="E166">
            <v>3199.973</v>
          </cell>
          <cell r="F166">
            <v>4280.308</v>
          </cell>
        </row>
        <row r="167">
          <cell r="B167">
            <v>9164.5400000000009</v>
          </cell>
          <cell r="D167">
            <v>7</v>
          </cell>
          <cell r="E167">
            <v>2857.232</v>
          </cell>
          <cell r="F167">
            <v>4079.6390000000001</v>
          </cell>
        </row>
        <row r="168">
          <cell r="D168">
            <v>8</v>
          </cell>
          <cell r="E168">
            <v>2574.779</v>
          </cell>
          <cell r="F168">
            <v>3888.7710000000002</v>
          </cell>
        </row>
        <row r="173">
          <cell r="C173">
            <v>36</v>
          </cell>
          <cell r="D173">
            <v>1</v>
          </cell>
          <cell r="E173">
            <v>4697.7740000000003</v>
          </cell>
          <cell r="F173">
            <v>4618.0619999999999</v>
          </cell>
          <cell r="H173">
            <v>1.92</v>
          </cell>
          <cell r="K173">
            <v>-2.7269999999999999</v>
          </cell>
        </row>
        <row r="174">
          <cell r="D174">
            <v>2</v>
          </cell>
          <cell r="E174">
            <v>4212.8559999999998</v>
          </cell>
          <cell r="F174">
            <v>4398.9269999999997</v>
          </cell>
        </row>
        <row r="175">
          <cell r="D175">
            <v>3</v>
          </cell>
          <cell r="E175">
            <v>3783.6190000000001</v>
          </cell>
          <cell r="F175">
            <v>4191.3530000000001</v>
          </cell>
        </row>
        <row r="176">
          <cell r="B176">
            <v>841</v>
          </cell>
          <cell r="D176">
            <v>4</v>
          </cell>
          <cell r="E176">
            <v>3404.3879999999999</v>
          </cell>
          <cell r="F176">
            <v>3995.36</v>
          </cell>
        </row>
        <row r="177">
          <cell r="D177">
            <v>5</v>
          </cell>
          <cell r="E177">
            <v>3068.0650000000001</v>
          </cell>
          <cell r="F177">
            <v>3809.2179999999998</v>
          </cell>
        </row>
        <row r="178">
          <cell r="D178">
            <v>6</v>
          </cell>
          <cell r="E178">
            <v>2769.3209999999999</v>
          </cell>
          <cell r="F178">
            <v>3632.1570000000002</v>
          </cell>
        </row>
        <row r="179">
          <cell r="B179">
            <v>7557.75</v>
          </cell>
          <cell r="D179">
            <v>7</v>
          </cell>
          <cell r="E179">
            <v>2504.3380000000002</v>
          </cell>
          <cell r="F179">
            <v>3464.6779999999999</v>
          </cell>
        </row>
        <row r="180">
          <cell r="D180">
            <v>8</v>
          </cell>
          <cell r="E180">
            <v>2267.3290000000002</v>
          </cell>
          <cell r="F180">
            <v>3305.8429999999998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T118"/>
  <sheetViews>
    <sheetView topLeftCell="V88" workbookViewId="0">
      <selection activeCell="K45" sqref="K45"/>
    </sheetView>
  </sheetViews>
  <sheetFormatPr defaultColWidth="8.7109375" defaultRowHeight="12.75" x14ac:dyDescent="0.2"/>
  <cols>
    <col min="45" max="45" width="10.5703125" customWidth="1"/>
  </cols>
  <sheetData>
    <row r="1" spans="1:46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AB1" s="4"/>
      <c r="AE1" s="4">
        <v>42129</v>
      </c>
    </row>
    <row r="2" spans="1:46" s="22" customFormat="1" x14ac:dyDescent="0.2">
      <c r="A2" s="19" t="s">
        <v>124</v>
      </c>
      <c r="B2" s="20"/>
      <c r="C2" s="20"/>
      <c r="D2" s="20">
        <v>1.95</v>
      </c>
      <c r="E2" s="20"/>
      <c r="F2" s="20">
        <v>-2.2000000000000002</v>
      </c>
      <c r="G2" s="20"/>
      <c r="H2" s="21"/>
      <c r="I2" s="21"/>
      <c r="AB2" s="23"/>
      <c r="AE2" s="23"/>
      <c r="AP2" s="24"/>
      <c r="AQ2" s="24">
        <v>42129</v>
      </c>
      <c r="AS2" s="24">
        <v>42138</v>
      </c>
      <c r="AT2" s="24"/>
    </row>
    <row r="3" spans="1:46" s="22" customFormat="1" x14ac:dyDescent="0.2">
      <c r="A3" s="19"/>
      <c r="B3" s="20"/>
      <c r="C3" s="20"/>
      <c r="D3" s="20">
        <v>1.95</v>
      </c>
      <c r="E3" s="20"/>
      <c r="F3" s="20">
        <v>-2.2000000000000002</v>
      </c>
      <c r="G3" s="20"/>
      <c r="H3" s="21"/>
      <c r="I3" s="21"/>
      <c r="AB3" s="23"/>
      <c r="AE3" s="23"/>
      <c r="AP3" s="24"/>
      <c r="AQ3" s="24"/>
      <c r="AS3" s="24"/>
      <c r="AT3" s="24"/>
    </row>
    <row r="4" spans="1:46" x14ac:dyDescent="0.2">
      <c r="A4" s="1"/>
      <c r="B4" s="1"/>
      <c r="C4" s="1"/>
      <c r="D4" s="2" t="s">
        <v>90</v>
      </c>
      <c r="E4" s="2" t="s">
        <v>91</v>
      </c>
      <c r="F4" s="2" t="s">
        <v>90</v>
      </c>
      <c r="G4" s="2" t="s">
        <v>91</v>
      </c>
      <c r="H4" s="1"/>
      <c r="I4" s="1"/>
      <c r="AF4" t="s">
        <v>92</v>
      </c>
      <c r="AG4" t="s">
        <v>93</v>
      </c>
      <c r="AH4" t="s">
        <v>94</v>
      </c>
      <c r="AI4" t="s">
        <v>95</v>
      </c>
      <c r="AJ4" t="s">
        <v>96</v>
      </c>
      <c r="AK4" t="s">
        <v>97</v>
      </c>
      <c r="AL4" t="s">
        <v>98</v>
      </c>
      <c r="AM4" t="s">
        <v>123</v>
      </c>
      <c r="AP4" t="s">
        <v>117</v>
      </c>
      <c r="AQ4">
        <v>44.467500000000001</v>
      </c>
      <c r="AR4" t="s">
        <v>118</v>
      </c>
      <c r="AS4">
        <v>44.468000000000004</v>
      </c>
      <c r="AT4" t="s">
        <v>118</v>
      </c>
    </row>
    <row r="5" spans="1:46" s="16" customFormat="1" x14ac:dyDescent="0.2">
      <c r="A5" s="14" t="s">
        <v>53</v>
      </c>
      <c r="B5" s="15"/>
      <c r="C5" s="15"/>
      <c r="D5" s="15"/>
      <c r="E5" s="15"/>
      <c r="F5" s="15"/>
      <c r="G5" s="15"/>
      <c r="H5" s="15"/>
      <c r="I5" s="15"/>
      <c r="AP5" s="16" t="s">
        <v>120</v>
      </c>
      <c r="AQ5" s="16">
        <v>44.561900000000001</v>
      </c>
      <c r="AR5" s="16" t="s">
        <v>118</v>
      </c>
      <c r="AS5" s="16">
        <v>44.547400000000003</v>
      </c>
      <c r="AT5" s="16" t="s">
        <v>118</v>
      </c>
    </row>
    <row r="6" spans="1:46" s="6" customFormat="1" x14ac:dyDescent="0.2">
      <c r="A6" s="5">
        <v>1</v>
      </c>
      <c r="B6" s="5" t="s">
        <v>11</v>
      </c>
      <c r="C6" s="7"/>
      <c r="D6" s="5">
        <v>1.768</v>
      </c>
      <c r="E6" s="5">
        <v>1.6E-2</v>
      </c>
      <c r="F6" s="5">
        <v>-2.4319999999999999</v>
      </c>
      <c r="G6" s="5">
        <v>1.6E-2</v>
      </c>
      <c r="H6" s="5" t="s">
        <v>12</v>
      </c>
      <c r="I6" s="5" t="s">
        <v>13</v>
      </c>
      <c r="AF6" s="6">
        <v>454</v>
      </c>
      <c r="AG6" s="6">
        <v>533</v>
      </c>
      <c r="AH6" s="6">
        <v>7.3</v>
      </c>
      <c r="AI6" s="6">
        <v>14.6</v>
      </c>
      <c r="AJ6" s="6">
        <v>1775</v>
      </c>
      <c r="AK6" s="6">
        <v>1712</v>
      </c>
      <c r="AL6" s="6">
        <v>1617</v>
      </c>
      <c r="AM6" s="6">
        <f>4*9</f>
        <v>36</v>
      </c>
      <c r="AP6" s="6" t="s">
        <v>119</v>
      </c>
      <c r="AQ6" s="6">
        <f>AQ5-AQ4</f>
        <v>9.4400000000000261E-2</v>
      </c>
      <c r="AR6" s="6" t="s">
        <v>118</v>
      </c>
      <c r="AS6" s="6">
        <f>AS5-AS4</f>
        <v>7.9399999999999693E-2</v>
      </c>
      <c r="AT6" s="6" t="s">
        <v>118</v>
      </c>
    </row>
    <row r="7" spans="1:46" s="6" customFormat="1" x14ac:dyDescent="0.2">
      <c r="A7" s="5">
        <v>2</v>
      </c>
      <c r="B7" s="5" t="s">
        <v>34</v>
      </c>
      <c r="D7" s="5">
        <v>1.8859999999999999</v>
      </c>
      <c r="E7" s="5">
        <v>1.2E-2</v>
      </c>
      <c r="F7" s="5">
        <v>-2.1040000000000001</v>
      </c>
      <c r="G7" s="5">
        <v>2.4E-2</v>
      </c>
      <c r="H7" s="5" t="s">
        <v>12</v>
      </c>
      <c r="I7" s="5" t="s">
        <v>35</v>
      </c>
      <c r="AF7" s="6">
        <v>801</v>
      </c>
      <c r="AG7" s="6">
        <v>538</v>
      </c>
      <c r="AI7" s="6">
        <v>14.2</v>
      </c>
      <c r="AJ7" s="6">
        <v>1729</v>
      </c>
      <c r="AK7" s="6">
        <v>1677</v>
      </c>
      <c r="AL7" s="6">
        <v>1585</v>
      </c>
      <c r="AM7" s="6">
        <f t="shared" ref="AM7:AM13" si="0">4*9</f>
        <v>36</v>
      </c>
      <c r="AP7" s="6" t="s">
        <v>121</v>
      </c>
      <c r="AQ7" s="6">
        <f>AQ6/10</f>
        <v>9.4400000000000265E-3</v>
      </c>
      <c r="AR7" s="6" t="s">
        <v>118</v>
      </c>
      <c r="AS7" s="6">
        <f>AS6/10</f>
        <v>7.9399999999999697E-3</v>
      </c>
      <c r="AT7" s="6" t="s">
        <v>118</v>
      </c>
    </row>
    <row r="8" spans="1:46" s="6" customFormat="1" x14ac:dyDescent="0.2">
      <c r="A8" s="5">
        <v>3</v>
      </c>
      <c r="B8" s="5" t="s">
        <v>38</v>
      </c>
      <c r="D8" s="5">
        <v>1.8240000000000001</v>
      </c>
      <c r="E8" s="5">
        <v>5.3999999999999999E-2</v>
      </c>
      <c r="F8" s="5">
        <v>-2.339</v>
      </c>
      <c r="G8" s="5">
        <v>3.2000000000000001E-2</v>
      </c>
      <c r="H8" s="5" t="s">
        <v>12</v>
      </c>
      <c r="I8" s="5" t="s">
        <v>39</v>
      </c>
      <c r="AF8" s="6">
        <v>190</v>
      </c>
      <c r="AG8" s="6">
        <v>494</v>
      </c>
      <c r="AI8" s="6">
        <v>13.9</v>
      </c>
      <c r="AJ8" s="6">
        <v>1375</v>
      </c>
      <c r="AK8" s="6">
        <v>1372</v>
      </c>
      <c r="AL8" s="6">
        <v>1312</v>
      </c>
      <c r="AM8" s="6">
        <f t="shared" si="0"/>
        <v>36</v>
      </c>
      <c r="AP8" s="6" t="s">
        <v>121</v>
      </c>
      <c r="AQ8" s="6">
        <f>AQ7*1000</f>
        <v>9.4400000000000261</v>
      </c>
      <c r="AR8" s="6" t="s">
        <v>122</v>
      </c>
      <c r="AS8" s="6">
        <f>AS7*1000</f>
        <v>7.9399999999999693</v>
      </c>
      <c r="AT8" s="6" t="s">
        <v>122</v>
      </c>
    </row>
    <row r="9" spans="1:46" s="6" customFormat="1" x14ac:dyDescent="0.2">
      <c r="A9" s="5">
        <v>4</v>
      </c>
      <c r="B9" s="5" t="s">
        <v>40</v>
      </c>
      <c r="D9" s="5">
        <v>1.9370000000000001</v>
      </c>
      <c r="E9" s="5">
        <v>2.4E-2</v>
      </c>
      <c r="F9" s="5">
        <v>-2.0630000000000002</v>
      </c>
      <c r="G9" s="5">
        <v>7.5999999999999998E-2</v>
      </c>
      <c r="H9" s="5" t="s">
        <v>12</v>
      </c>
      <c r="I9" s="5" t="s">
        <v>41</v>
      </c>
      <c r="AF9" s="6">
        <v>151</v>
      </c>
      <c r="AG9" s="6">
        <v>455</v>
      </c>
      <c r="AI9" s="6">
        <v>13.8</v>
      </c>
      <c r="AJ9" s="6">
        <v>1177</v>
      </c>
      <c r="AK9" s="6">
        <v>1150</v>
      </c>
      <c r="AL9" s="6">
        <v>1120</v>
      </c>
      <c r="AM9" s="6">
        <f t="shared" si="0"/>
        <v>36</v>
      </c>
      <c r="AP9" s="10" t="s">
        <v>126</v>
      </c>
      <c r="AS9" s="10" t="s">
        <v>125</v>
      </c>
    </row>
    <row r="10" spans="1:46" s="6" customFormat="1" x14ac:dyDescent="0.2">
      <c r="A10" s="5">
        <v>5</v>
      </c>
      <c r="B10" s="5" t="s">
        <v>42</v>
      </c>
      <c r="D10" s="5">
        <v>1.869</v>
      </c>
      <c r="E10" s="5">
        <v>5.3999999999999999E-2</v>
      </c>
      <c r="F10" s="5">
        <v>-2.2970000000000002</v>
      </c>
      <c r="G10" s="5">
        <v>4.9000000000000002E-2</v>
      </c>
      <c r="H10" s="5" t="s">
        <v>12</v>
      </c>
      <c r="I10" s="5" t="s">
        <v>43</v>
      </c>
      <c r="AF10" s="6">
        <v>190</v>
      </c>
      <c r="AG10" s="6">
        <v>467</v>
      </c>
      <c r="AI10" s="6">
        <v>13.5</v>
      </c>
      <c r="AJ10" s="6">
        <v>1187</v>
      </c>
      <c r="AK10" s="6">
        <v>1160</v>
      </c>
      <c r="AL10" s="6">
        <v>1116</v>
      </c>
      <c r="AM10" s="6">
        <f t="shared" si="0"/>
        <v>36</v>
      </c>
    </row>
    <row r="11" spans="1:46" s="6" customFormat="1" x14ac:dyDescent="0.2">
      <c r="A11" s="5">
        <v>6</v>
      </c>
      <c r="B11" s="5" t="s">
        <v>44</v>
      </c>
      <c r="D11" s="5">
        <v>1.917</v>
      </c>
      <c r="E11" s="5">
        <v>0.03</v>
      </c>
      <c r="F11" s="5">
        <v>-2.1259999999999999</v>
      </c>
      <c r="G11" s="5">
        <v>5.5E-2</v>
      </c>
      <c r="H11" s="5" t="s">
        <v>12</v>
      </c>
      <c r="I11" s="5" t="s">
        <v>45</v>
      </c>
      <c r="AF11" s="6">
        <v>103</v>
      </c>
      <c r="AG11" s="6">
        <v>477</v>
      </c>
      <c r="AH11" s="6">
        <v>7.2</v>
      </c>
      <c r="AI11" s="6">
        <v>14.7</v>
      </c>
      <c r="AJ11" s="6">
        <v>1195</v>
      </c>
      <c r="AK11" s="6">
        <v>1168</v>
      </c>
      <c r="AL11" s="6">
        <v>1159</v>
      </c>
      <c r="AM11" s="6">
        <f t="shared" si="0"/>
        <v>36</v>
      </c>
    </row>
    <row r="12" spans="1:46" s="6" customFormat="1" x14ac:dyDescent="0.2">
      <c r="A12" s="5">
        <v>7</v>
      </c>
      <c r="B12" s="5" t="s">
        <v>46</v>
      </c>
      <c r="D12" s="5">
        <v>1.859</v>
      </c>
      <c r="E12" s="5">
        <v>1.2E-2</v>
      </c>
      <c r="F12" s="5">
        <v>-2.3029999999999999</v>
      </c>
      <c r="G12" s="5">
        <v>4.2000000000000003E-2</v>
      </c>
      <c r="H12" s="5" t="s">
        <v>12</v>
      </c>
      <c r="I12" s="5" t="s">
        <v>47</v>
      </c>
      <c r="AF12" s="6">
        <v>166</v>
      </c>
      <c r="AG12" s="6">
        <v>525</v>
      </c>
      <c r="AI12" s="6">
        <v>14.3</v>
      </c>
      <c r="AJ12" s="6">
        <v>1652</v>
      </c>
      <c r="AK12" s="6">
        <v>1600</v>
      </c>
      <c r="AL12" s="6">
        <v>1512</v>
      </c>
      <c r="AM12" s="6">
        <f t="shared" si="0"/>
        <v>36</v>
      </c>
    </row>
    <row r="13" spans="1:46" s="6" customFormat="1" x14ac:dyDescent="0.2">
      <c r="A13" s="5">
        <v>8</v>
      </c>
      <c r="B13" s="5" t="s">
        <v>48</v>
      </c>
      <c r="D13" s="5">
        <v>1.988</v>
      </c>
      <c r="E13" s="5">
        <v>1.7999999999999999E-2</v>
      </c>
      <c r="F13" s="5">
        <v>-2.2480000000000002</v>
      </c>
      <c r="G13" s="5">
        <v>2.1000000000000001E-2</v>
      </c>
      <c r="H13" s="5" t="s">
        <v>12</v>
      </c>
      <c r="I13" s="5" t="s">
        <v>49</v>
      </c>
      <c r="AF13" s="6">
        <v>98</v>
      </c>
      <c r="AG13" s="6">
        <v>445</v>
      </c>
      <c r="AI13" s="6">
        <v>14.41</v>
      </c>
      <c r="AJ13" s="6">
        <v>1146</v>
      </c>
      <c r="AK13" s="6">
        <v>1120</v>
      </c>
      <c r="AL13" s="6">
        <v>1123</v>
      </c>
      <c r="AM13" s="6">
        <f t="shared" si="0"/>
        <v>36</v>
      </c>
    </row>
    <row r="14" spans="1:46" s="6" customFormat="1" x14ac:dyDescent="0.2">
      <c r="A14" s="5"/>
      <c r="B14" s="5"/>
      <c r="D14" s="5"/>
      <c r="E14" s="5"/>
      <c r="F14" s="5"/>
      <c r="G14" s="5"/>
      <c r="H14" s="5"/>
      <c r="I14" s="5"/>
    </row>
    <row r="15" spans="1:46" s="6" customFormat="1" x14ac:dyDescent="0.2">
      <c r="A15" s="7" t="s">
        <v>52</v>
      </c>
      <c r="B15" s="5"/>
      <c r="D15" s="5"/>
      <c r="E15" s="5"/>
      <c r="F15" s="5"/>
      <c r="G15" s="5"/>
      <c r="H15" s="5"/>
      <c r="I15" s="5"/>
    </row>
    <row r="16" spans="1:46" s="6" customFormat="1" x14ac:dyDescent="0.2">
      <c r="A16" s="5">
        <v>9</v>
      </c>
      <c r="B16" s="5" t="s">
        <v>50</v>
      </c>
      <c r="D16" s="5">
        <v>1.841</v>
      </c>
      <c r="E16" s="5">
        <v>4.1000000000000002E-2</v>
      </c>
      <c r="F16" s="5">
        <v>-2.4569999999999999</v>
      </c>
      <c r="G16" s="5">
        <v>2.5000000000000001E-2</v>
      </c>
      <c r="H16" s="5" t="s">
        <v>12</v>
      </c>
      <c r="I16" s="5" t="s">
        <v>51</v>
      </c>
      <c r="AF16" s="6">
        <v>166</v>
      </c>
      <c r="AG16" s="6">
        <v>472</v>
      </c>
      <c r="AI16" s="6">
        <v>14</v>
      </c>
      <c r="AJ16" s="6">
        <v>1321</v>
      </c>
      <c r="AK16" s="6">
        <v>1292</v>
      </c>
      <c r="AL16" s="6">
        <v>1249</v>
      </c>
      <c r="AM16" s="6">
        <f t="shared" ref="AM16:AM27" si="1">4*9</f>
        <v>36</v>
      </c>
    </row>
    <row r="17" spans="1:39" s="6" customFormat="1" x14ac:dyDescent="0.2">
      <c r="A17" s="5">
        <v>10</v>
      </c>
      <c r="B17" s="5" t="s">
        <v>14</v>
      </c>
      <c r="D17" s="5">
        <v>1.756</v>
      </c>
      <c r="E17" s="5">
        <v>6.8000000000000005E-2</v>
      </c>
      <c r="F17" s="5">
        <v>-3.0129999999999999</v>
      </c>
      <c r="G17" s="5">
        <v>0.11600000000000001</v>
      </c>
      <c r="H17" s="5" t="s">
        <v>12</v>
      </c>
      <c r="I17" s="5" t="s">
        <v>15</v>
      </c>
      <c r="AF17" s="6">
        <v>112</v>
      </c>
      <c r="AG17" s="6">
        <v>389</v>
      </c>
      <c r="AI17" s="6">
        <v>13.6</v>
      </c>
      <c r="AJ17" s="6">
        <v>903</v>
      </c>
      <c r="AK17" s="6">
        <v>883</v>
      </c>
      <c r="AL17" s="6">
        <v>1038</v>
      </c>
      <c r="AM17" s="6">
        <f t="shared" si="1"/>
        <v>36</v>
      </c>
    </row>
    <row r="18" spans="1:39" s="6" customFormat="1" x14ac:dyDescent="0.2">
      <c r="A18" s="5">
        <v>11</v>
      </c>
      <c r="B18" s="5" t="s">
        <v>16</v>
      </c>
      <c r="D18" s="5">
        <v>1.8580000000000001</v>
      </c>
      <c r="E18" s="5">
        <v>5.5E-2</v>
      </c>
      <c r="F18" s="5">
        <v>-3.0680000000000001</v>
      </c>
      <c r="G18" s="5">
        <v>4.2999999999999997E-2</v>
      </c>
      <c r="H18" s="5" t="s">
        <v>12</v>
      </c>
      <c r="I18" s="5" t="s">
        <v>17</v>
      </c>
      <c r="AF18" s="6">
        <v>190</v>
      </c>
      <c r="AG18" s="6">
        <v>425</v>
      </c>
      <c r="AH18" s="6">
        <v>7.3</v>
      </c>
      <c r="AI18" s="6">
        <v>14.6</v>
      </c>
      <c r="AJ18" s="6">
        <v>1068</v>
      </c>
      <c r="AK18" s="6">
        <v>1043</v>
      </c>
      <c r="AL18" s="6">
        <v>1115</v>
      </c>
      <c r="AM18" s="6">
        <f t="shared" si="1"/>
        <v>36</v>
      </c>
    </row>
    <row r="19" spans="1:39" s="6" customFormat="1" x14ac:dyDescent="0.2">
      <c r="A19" s="5">
        <v>12</v>
      </c>
      <c r="B19" s="5" t="s">
        <v>18</v>
      </c>
      <c r="D19" s="5">
        <v>1.8420000000000001</v>
      </c>
      <c r="E19" s="5">
        <v>1.2999999999999999E-2</v>
      </c>
      <c r="F19" s="5">
        <v>-2.177</v>
      </c>
      <c r="G19" s="5">
        <v>2.4E-2</v>
      </c>
      <c r="H19" s="5" t="s">
        <v>12</v>
      </c>
      <c r="I19" s="5" t="s">
        <v>19</v>
      </c>
      <c r="AF19" s="6">
        <v>107</v>
      </c>
      <c r="AG19" s="6">
        <v>506</v>
      </c>
      <c r="AI19" s="6">
        <v>14.3</v>
      </c>
      <c r="AJ19" s="6">
        <v>1558</v>
      </c>
      <c r="AK19" s="6">
        <v>1511</v>
      </c>
      <c r="AL19" s="6">
        <v>1428</v>
      </c>
      <c r="AM19" s="6">
        <f t="shared" si="1"/>
        <v>36</v>
      </c>
    </row>
    <row r="20" spans="1:39" s="6" customFormat="1" x14ac:dyDescent="0.2">
      <c r="A20" s="5">
        <v>13</v>
      </c>
      <c r="B20" s="5" t="s">
        <v>20</v>
      </c>
      <c r="D20" s="5">
        <v>1.87</v>
      </c>
      <c r="E20" s="5">
        <v>1.9E-2</v>
      </c>
      <c r="F20" s="5">
        <v>-2.3730000000000002</v>
      </c>
      <c r="G20" s="5">
        <v>3.9E-2</v>
      </c>
      <c r="H20" s="5" t="s">
        <v>12</v>
      </c>
      <c r="I20" s="5" t="s">
        <v>21</v>
      </c>
      <c r="AF20" s="6">
        <v>166</v>
      </c>
      <c r="AG20" s="6">
        <v>521</v>
      </c>
      <c r="AI20" s="6">
        <v>14.1</v>
      </c>
      <c r="AJ20" s="6">
        <v>1676</v>
      </c>
      <c r="AK20" s="6">
        <v>1611</v>
      </c>
      <c r="AL20" s="6">
        <v>1522</v>
      </c>
      <c r="AM20" s="6">
        <f t="shared" si="1"/>
        <v>36</v>
      </c>
    </row>
    <row r="21" spans="1:39" s="6" customFormat="1" x14ac:dyDescent="0.2">
      <c r="A21" s="5">
        <v>14</v>
      </c>
      <c r="B21" s="5" t="s">
        <v>22</v>
      </c>
      <c r="D21" s="5">
        <v>1.8240000000000001</v>
      </c>
      <c r="E21" s="5">
        <v>6.6000000000000003E-2</v>
      </c>
      <c r="F21" s="5">
        <v>-2.1789999999999998</v>
      </c>
      <c r="G21" s="5">
        <v>5.2999999999999999E-2</v>
      </c>
      <c r="H21" s="5" t="s">
        <v>12</v>
      </c>
      <c r="I21" s="5" t="s">
        <v>23</v>
      </c>
      <c r="AF21" s="6">
        <v>103</v>
      </c>
      <c r="AG21" s="6">
        <v>486</v>
      </c>
      <c r="AI21" s="6">
        <v>13.7</v>
      </c>
      <c r="AJ21" s="6">
        <v>1427</v>
      </c>
      <c r="AK21" s="6">
        <v>1397</v>
      </c>
      <c r="AL21" s="6">
        <v>1328</v>
      </c>
      <c r="AM21" s="6">
        <f t="shared" si="1"/>
        <v>36</v>
      </c>
    </row>
    <row r="22" spans="1:39" s="6" customFormat="1" x14ac:dyDescent="0.2">
      <c r="A22" s="5">
        <v>15</v>
      </c>
      <c r="B22" s="5" t="s">
        <v>24</v>
      </c>
      <c r="D22" s="5">
        <v>1.7470000000000001</v>
      </c>
      <c r="E22" s="5">
        <v>0.10100000000000001</v>
      </c>
      <c r="F22" s="5">
        <v>-3.3929999999999998</v>
      </c>
      <c r="G22" s="5">
        <v>3.2000000000000001E-2</v>
      </c>
      <c r="H22" s="5" t="s">
        <v>12</v>
      </c>
      <c r="I22" s="5" t="s">
        <v>25</v>
      </c>
      <c r="AF22" s="6">
        <v>166</v>
      </c>
      <c r="AG22" s="6">
        <v>399</v>
      </c>
      <c r="AI22" s="6">
        <v>13.6</v>
      </c>
      <c r="AJ22" s="6">
        <v>917</v>
      </c>
      <c r="AK22" s="6">
        <v>896</v>
      </c>
      <c r="AL22" s="6">
        <v>1034</v>
      </c>
      <c r="AM22" s="6">
        <f t="shared" si="1"/>
        <v>36</v>
      </c>
    </row>
    <row r="23" spans="1:39" s="6" customFormat="1" x14ac:dyDescent="0.2">
      <c r="A23" s="5">
        <v>16</v>
      </c>
      <c r="B23" s="5" t="s">
        <v>26</v>
      </c>
      <c r="D23" s="5">
        <v>1.8080000000000001</v>
      </c>
      <c r="E23" s="5">
        <v>0.03</v>
      </c>
      <c r="F23" s="5">
        <v>-2.17</v>
      </c>
      <c r="G23" s="5">
        <v>1.4999999999999999E-2</v>
      </c>
      <c r="H23" s="5" t="s">
        <v>12</v>
      </c>
      <c r="I23" s="5" t="s">
        <v>27</v>
      </c>
      <c r="AF23" s="6">
        <v>112</v>
      </c>
      <c r="AG23" s="6">
        <v>496</v>
      </c>
      <c r="AH23" s="6">
        <v>7.3</v>
      </c>
      <c r="AI23" s="6">
        <v>14.4</v>
      </c>
      <c r="AJ23" s="6">
        <v>1532</v>
      </c>
      <c r="AK23" s="6">
        <v>1794</v>
      </c>
      <c r="AL23" s="6">
        <v>1412</v>
      </c>
      <c r="AM23" s="6">
        <f t="shared" si="1"/>
        <v>36</v>
      </c>
    </row>
    <row r="24" spans="1:39" s="6" customFormat="1" x14ac:dyDescent="0.2">
      <c r="A24" s="5">
        <v>17</v>
      </c>
      <c r="B24" s="5" t="s">
        <v>28</v>
      </c>
      <c r="D24" s="5">
        <v>1.8660000000000001</v>
      </c>
      <c r="E24" s="5">
        <v>1.4999999999999999E-2</v>
      </c>
      <c r="F24" s="5">
        <v>-2.5099999999999998</v>
      </c>
      <c r="G24" s="5">
        <v>3.2000000000000001E-2</v>
      </c>
      <c r="H24" s="5" t="s">
        <v>12</v>
      </c>
      <c r="I24" s="5" t="s">
        <v>29</v>
      </c>
      <c r="AF24" s="6">
        <v>176</v>
      </c>
      <c r="AG24" s="6">
        <v>506</v>
      </c>
      <c r="AI24" s="6">
        <v>14.1</v>
      </c>
      <c r="AJ24" s="6">
        <v>1593</v>
      </c>
      <c r="AK24" s="6">
        <v>1546</v>
      </c>
      <c r="AL24" s="6">
        <v>1461</v>
      </c>
      <c r="AM24" s="6">
        <f t="shared" si="1"/>
        <v>36</v>
      </c>
    </row>
    <row r="25" spans="1:39" s="6" customFormat="1" x14ac:dyDescent="0.2">
      <c r="A25" s="5">
        <v>18</v>
      </c>
      <c r="B25" s="5" t="s">
        <v>30</v>
      </c>
      <c r="D25" s="5">
        <v>1.8</v>
      </c>
      <c r="E25" s="5">
        <v>3.4000000000000002E-2</v>
      </c>
      <c r="F25" s="5">
        <v>-2.278</v>
      </c>
      <c r="G25" s="5">
        <v>2.5999999999999999E-2</v>
      </c>
      <c r="H25" s="5" t="s">
        <v>12</v>
      </c>
      <c r="I25" s="5" t="s">
        <v>31</v>
      </c>
      <c r="AF25" s="6">
        <v>484</v>
      </c>
      <c r="AG25" s="6">
        <v>513</v>
      </c>
      <c r="AI25" s="6">
        <v>14</v>
      </c>
      <c r="AJ25" s="6">
        <v>1711</v>
      </c>
      <c r="AK25" s="6">
        <v>1673</v>
      </c>
      <c r="AL25" s="6">
        <v>1581</v>
      </c>
      <c r="AM25" s="6">
        <f t="shared" si="1"/>
        <v>36</v>
      </c>
    </row>
    <row r="26" spans="1:39" s="6" customFormat="1" x14ac:dyDescent="0.2">
      <c r="A26" s="5">
        <v>19</v>
      </c>
      <c r="B26" s="5" t="s">
        <v>32</v>
      </c>
      <c r="D26" s="5">
        <v>1.8540000000000001</v>
      </c>
      <c r="E26" s="5">
        <v>2.1000000000000001E-2</v>
      </c>
      <c r="F26" s="5">
        <v>-2.4969999999999999</v>
      </c>
      <c r="G26" s="5">
        <v>5.5E-2</v>
      </c>
      <c r="H26" s="5" t="s">
        <v>12</v>
      </c>
      <c r="I26" s="5" t="s">
        <v>33</v>
      </c>
      <c r="AF26" s="6">
        <v>186</v>
      </c>
      <c r="AG26" s="6">
        <v>508</v>
      </c>
      <c r="AI26" s="6">
        <v>13.7</v>
      </c>
      <c r="AJ26" s="6">
        <v>1635</v>
      </c>
      <c r="AK26" s="6">
        <v>1601</v>
      </c>
      <c r="AL26" s="6">
        <v>1516</v>
      </c>
      <c r="AM26" s="6">
        <f t="shared" si="1"/>
        <v>36</v>
      </c>
    </row>
    <row r="27" spans="1:39" s="6" customFormat="1" x14ac:dyDescent="0.2">
      <c r="A27" s="5">
        <v>20</v>
      </c>
      <c r="B27" s="5" t="s">
        <v>36</v>
      </c>
      <c r="D27" s="5">
        <v>1.87</v>
      </c>
      <c r="E27" s="5">
        <v>2.1999999999999999E-2</v>
      </c>
      <c r="F27" s="5">
        <v>-2.2120000000000002</v>
      </c>
      <c r="G27" s="5">
        <v>2.3E-2</v>
      </c>
      <c r="H27" s="5" t="s">
        <v>12</v>
      </c>
      <c r="I27" s="5" t="s">
        <v>37</v>
      </c>
      <c r="AF27" s="6">
        <v>151</v>
      </c>
      <c r="AG27" s="6">
        <v>506</v>
      </c>
      <c r="AI27" s="6">
        <v>13.4</v>
      </c>
      <c r="AJ27" s="6">
        <v>1641</v>
      </c>
      <c r="AK27" s="6">
        <v>1588</v>
      </c>
      <c r="AL27" s="6">
        <v>1501</v>
      </c>
      <c r="AM27" s="6">
        <f t="shared" si="1"/>
        <v>36</v>
      </c>
    </row>
    <row r="28" spans="1:39" s="8" customFormat="1" x14ac:dyDescent="0.2"/>
    <row r="29" spans="1:39" s="16" customFormat="1" x14ac:dyDescent="0.2">
      <c r="A29" s="16" t="s">
        <v>85</v>
      </c>
      <c r="AB29" s="17"/>
      <c r="AE29" s="17">
        <v>42131</v>
      </c>
    </row>
    <row r="30" spans="1:39" s="6" customFormat="1" x14ac:dyDescent="0.2">
      <c r="A30" s="5">
        <v>1</v>
      </c>
      <c r="B30" s="5" t="s">
        <v>11</v>
      </c>
      <c r="C30" s="5" t="s">
        <v>70</v>
      </c>
      <c r="D30" s="5">
        <v>-12.292</v>
      </c>
      <c r="E30" s="5">
        <v>0.42199999999999999</v>
      </c>
      <c r="F30" s="5">
        <v>-18.856999999999999</v>
      </c>
      <c r="G30" s="5">
        <v>1.831</v>
      </c>
      <c r="H30" s="5" t="s">
        <v>12</v>
      </c>
      <c r="I30" s="5" t="s">
        <v>71</v>
      </c>
      <c r="AF30" s="6">
        <v>747</v>
      </c>
      <c r="AG30" s="6">
        <v>40</v>
      </c>
      <c r="AH30" s="6">
        <v>7.1</v>
      </c>
      <c r="AI30" s="6">
        <v>14.1</v>
      </c>
      <c r="AJ30" s="6">
        <v>9</v>
      </c>
      <c r="AK30" s="6">
        <v>10</v>
      </c>
      <c r="AL30" s="6">
        <v>1138</v>
      </c>
      <c r="AM30" s="6">
        <f>2*9</f>
        <v>18</v>
      </c>
    </row>
    <row r="31" spans="1:39" s="6" customFormat="1" x14ac:dyDescent="0.2">
      <c r="A31" s="5"/>
      <c r="B31" s="5"/>
      <c r="C31" s="5"/>
      <c r="D31" s="5"/>
      <c r="E31" s="5"/>
      <c r="F31" s="5"/>
      <c r="G31" s="5"/>
      <c r="H31" s="5"/>
      <c r="I31" s="5"/>
    </row>
    <row r="32" spans="1:39" s="16" customFormat="1" x14ac:dyDescent="0.2">
      <c r="A32" s="14" t="s">
        <v>86</v>
      </c>
      <c r="B32" s="15"/>
      <c r="C32" s="15"/>
      <c r="D32" s="15"/>
      <c r="E32" s="15"/>
      <c r="F32" s="15"/>
      <c r="G32" s="15"/>
      <c r="H32" s="15"/>
      <c r="I32" s="15"/>
    </row>
    <row r="33" spans="1:39" s="6" customFormat="1" x14ac:dyDescent="0.2">
      <c r="A33" s="5">
        <v>2</v>
      </c>
      <c r="B33" s="5" t="s">
        <v>34</v>
      </c>
      <c r="C33" s="5" t="s">
        <v>70</v>
      </c>
      <c r="D33" s="5">
        <v>1.7430000000000001</v>
      </c>
      <c r="E33" s="5">
        <v>6.2E-2</v>
      </c>
      <c r="F33" s="5">
        <v>-2.6890000000000001</v>
      </c>
      <c r="G33" s="5">
        <v>0.188</v>
      </c>
      <c r="H33" s="5" t="s">
        <v>12</v>
      </c>
      <c r="I33" s="5" t="s">
        <v>77</v>
      </c>
      <c r="AF33" s="6">
        <v>103</v>
      </c>
      <c r="AG33" s="6">
        <v>462</v>
      </c>
      <c r="AI33" s="6">
        <v>14.1</v>
      </c>
      <c r="AJ33" s="6">
        <v>1355</v>
      </c>
      <c r="AK33" s="6">
        <v>1324</v>
      </c>
      <c r="AL33" s="6">
        <v>1275</v>
      </c>
      <c r="AM33" s="6">
        <f>3*9</f>
        <v>27</v>
      </c>
    </row>
    <row r="34" spans="1:39" s="6" customFormat="1" x14ac:dyDescent="0.2">
      <c r="A34" s="5">
        <v>3</v>
      </c>
      <c r="B34" s="5" t="s">
        <v>38</v>
      </c>
      <c r="C34" s="5" t="s">
        <v>70</v>
      </c>
      <c r="D34" s="5">
        <v>1.865</v>
      </c>
      <c r="E34" s="5">
        <v>1.9E-2</v>
      </c>
      <c r="F34" s="5">
        <v>-2.3610000000000002</v>
      </c>
      <c r="G34" s="5">
        <v>1.7000000000000001E-2</v>
      </c>
      <c r="H34" s="5" t="s">
        <v>12</v>
      </c>
      <c r="I34" s="5" t="s">
        <v>78</v>
      </c>
      <c r="AF34" s="6">
        <v>181</v>
      </c>
      <c r="AG34" s="6">
        <v>486</v>
      </c>
      <c r="AI34" s="6">
        <v>13.9</v>
      </c>
      <c r="AJ34" s="6">
        <v>1513</v>
      </c>
      <c r="AK34" s="6">
        <v>1470</v>
      </c>
      <c r="AL34" s="6">
        <v>1389</v>
      </c>
      <c r="AM34" s="6">
        <f t="shared" ref="AM34:AM35" si="2">3*9</f>
        <v>27</v>
      </c>
    </row>
    <row r="35" spans="1:39" s="6" customFormat="1" x14ac:dyDescent="0.2">
      <c r="A35" s="5">
        <v>4</v>
      </c>
      <c r="B35" s="5" t="s">
        <v>40</v>
      </c>
      <c r="C35" s="5" t="s">
        <v>70</v>
      </c>
      <c r="D35" s="5">
        <v>1.867</v>
      </c>
      <c r="E35" s="5">
        <v>1.2999999999999999E-2</v>
      </c>
      <c r="F35" s="5">
        <v>-2.2730000000000001</v>
      </c>
      <c r="G35" s="5">
        <v>3.4000000000000002E-2</v>
      </c>
      <c r="H35" s="5" t="s">
        <v>12</v>
      </c>
      <c r="I35" s="5" t="s">
        <v>79</v>
      </c>
      <c r="AF35" s="6">
        <v>122</v>
      </c>
      <c r="AG35" s="6">
        <v>508</v>
      </c>
      <c r="AI35" s="6">
        <v>13.6</v>
      </c>
      <c r="AJ35" s="6">
        <v>1748</v>
      </c>
      <c r="AK35" s="6">
        <v>1694</v>
      </c>
      <c r="AL35" s="6">
        <v>1601</v>
      </c>
      <c r="AM35" s="6">
        <f t="shared" si="2"/>
        <v>27</v>
      </c>
    </row>
    <row r="36" spans="1:39" x14ac:dyDescent="0.2">
      <c r="A36" s="1"/>
      <c r="B36" s="1"/>
      <c r="C36" s="1"/>
      <c r="D36" s="1"/>
      <c r="E36" s="1"/>
      <c r="F36" s="1"/>
      <c r="G36" s="1"/>
      <c r="H36" s="1"/>
      <c r="I36" s="1"/>
    </row>
    <row r="37" spans="1:39" x14ac:dyDescent="0.2">
      <c r="A37" s="2" t="s">
        <v>87</v>
      </c>
      <c r="B37" s="1"/>
      <c r="C37" s="1"/>
      <c r="D37" s="1"/>
      <c r="E37" s="1"/>
      <c r="F37" s="1"/>
      <c r="G37" s="1"/>
      <c r="H37" s="1"/>
      <c r="I37" s="1"/>
    </row>
    <row r="38" spans="1:39" x14ac:dyDescent="0.2">
      <c r="A38" s="1">
        <v>5</v>
      </c>
      <c r="B38" s="1" t="s">
        <v>42</v>
      </c>
      <c r="C38" s="1" t="s">
        <v>54</v>
      </c>
      <c r="D38" s="1">
        <v>1.8420000000000001</v>
      </c>
      <c r="E38" s="1">
        <v>4.1000000000000002E-2</v>
      </c>
      <c r="F38" s="1">
        <v>-3.4609999999999999</v>
      </c>
      <c r="G38" s="1">
        <v>2.5999999999999999E-2</v>
      </c>
      <c r="H38" s="1" t="s">
        <v>55</v>
      </c>
      <c r="I38" s="1" t="s">
        <v>80</v>
      </c>
      <c r="AF38">
        <v>181</v>
      </c>
      <c r="AG38">
        <v>401</v>
      </c>
      <c r="AI38">
        <v>13.4</v>
      </c>
      <c r="AJ38">
        <v>967</v>
      </c>
      <c r="AK38">
        <v>944</v>
      </c>
      <c r="AL38">
        <v>1028</v>
      </c>
      <c r="AM38" s="6">
        <f t="shared" ref="AM38:AM43" si="3">3*9</f>
        <v>27</v>
      </c>
    </row>
    <row r="39" spans="1:39" x14ac:dyDescent="0.2">
      <c r="A39" s="1">
        <v>6</v>
      </c>
      <c r="B39" s="1" t="s">
        <v>44</v>
      </c>
      <c r="C39" s="1" t="s">
        <v>54</v>
      </c>
      <c r="D39" s="1">
        <v>1.86</v>
      </c>
      <c r="E39" s="1">
        <v>3.3000000000000002E-2</v>
      </c>
      <c r="F39" s="1">
        <v>-2.1840000000000002</v>
      </c>
      <c r="G39" s="1">
        <v>2.8000000000000001E-2</v>
      </c>
      <c r="H39" s="1" t="s">
        <v>55</v>
      </c>
      <c r="I39" s="1" t="s">
        <v>81</v>
      </c>
      <c r="AF39">
        <v>122</v>
      </c>
      <c r="AG39">
        <v>484</v>
      </c>
      <c r="AI39">
        <v>13.3</v>
      </c>
      <c r="AJ39">
        <v>1496</v>
      </c>
      <c r="AK39">
        <v>1460</v>
      </c>
      <c r="AL39">
        <v>1380</v>
      </c>
      <c r="AM39" s="6">
        <f t="shared" si="3"/>
        <v>27</v>
      </c>
    </row>
    <row r="40" spans="1:39" x14ac:dyDescent="0.2">
      <c r="A40" s="1">
        <v>7</v>
      </c>
      <c r="B40" s="1" t="s">
        <v>46</v>
      </c>
      <c r="C40" s="1" t="s">
        <v>54</v>
      </c>
      <c r="D40" s="1">
        <v>1.87</v>
      </c>
      <c r="E40" s="1">
        <v>0.06</v>
      </c>
      <c r="F40" s="1">
        <v>-2.633</v>
      </c>
      <c r="G40" s="1">
        <v>1.7000000000000001E-2</v>
      </c>
      <c r="H40" s="1" t="s">
        <v>55</v>
      </c>
      <c r="I40" s="1" t="s">
        <v>82</v>
      </c>
      <c r="AF40">
        <v>161</v>
      </c>
      <c r="AG40">
        <v>438</v>
      </c>
      <c r="AH40">
        <v>7.1</v>
      </c>
      <c r="AI40">
        <v>14.4</v>
      </c>
      <c r="AJ40">
        <v>1185</v>
      </c>
      <c r="AK40">
        <v>1157</v>
      </c>
      <c r="AL40">
        <v>1149</v>
      </c>
      <c r="AM40" s="6">
        <f t="shared" si="3"/>
        <v>27</v>
      </c>
    </row>
    <row r="41" spans="1:39" x14ac:dyDescent="0.2">
      <c r="A41" s="1">
        <v>8</v>
      </c>
      <c r="B41" s="1" t="s">
        <v>48</v>
      </c>
      <c r="C41" s="1" t="s">
        <v>54</v>
      </c>
      <c r="D41" s="1">
        <v>1.9350000000000001</v>
      </c>
      <c r="E41" s="1">
        <v>3.1E-2</v>
      </c>
      <c r="F41" s="1">
        <v>-2.4300000000000002</v>
      </c>
      <c r="G41" s="1">
        <v>2.7E-2</v>
      </c>
      <c r="H41" s="1" t="s">
        <v>55</v>
      </c>
      <c r="I41" s="1" t="s">
        <v>83</v>
      </c>
      <c r="AF41">
        <v>93</v>
      </c>
      <c r="AG41">
        <v>416</v>
      </c>
      <c r="AI41">
        <v>14.1</v>
      </c>
      <c r="AJ41">
        <v>1097</v>
      </c>
      <c r="AK41">
        <v>1072</v>
      </c>
      <c r="AL41">
        <v>1096</v>
      </c>
      <c r="AM41" s="6">
        <f t="shared" si="3"/>
        <v>27</v>
      </c>
    </row>
    <row r="42" spans="1:39" x14ac:dyDescent="0.2">
      <c r="A42" s="1">
        <v>9</v>
      </c>
      <c r="B42" s="1" t="s">
        <v>50</v>
      </c>
      <c r="C42" s="1" t="s">
        <v>54</v>
      </c>
      <c r="D42" s="1">
        <v>1.8360000000000001</v>
      </c>
      <c r="E42" s="1">
        <v>0.03</v>
      </c>
      <c r="F42" s="1">
        <v>-2.5649999999999999</v>
      </c>
      <c r="G42" s="1">
        <v>3.1E-2</v>
      </c>
      <c r="H42" s="1" t="s">
        <v>55</v>
      </c>
      <c r="I42" s="1" t="s">
        <v>84</v>
      </c>
      <c r="AF42">
        <v>156</v>
      </c>
      <c r="AG42">
        <v>462</v>
      </c>
      <c r="AI42">
        <v>13.9</v>
      </c>
      <c r="AJ42">
        <v>1386</v>
      </c>
      <c r="AK42">
        <v>1355</v>
      </c>
      <c r="AL42">
        <v>1300</v>
      </c>
      <c r="AM42" s="6">
        <f t="shared" si="3"/>
        <v>27</v>
      </c>
    </row>
    <row r="43" spans="1:39" x14ac:dyDescent="0.2">
      <c r="A43" s="1">
        <v>10</v>
      </c>
      <c r="B43" s="1" t="s">
        <v>14</v>
      </c>
      <c r="C43" s="1" t="s">
        <v>54</v>
      </c>
      <c r="D43" s="1">
        <v>1.8560000000000001</v>
      </c>
      <c r="E43" s="1">
        <v>7.2999999999999995E-2</v>
      </c>
      <c r="F43" s="1">
        <v>-2.7869999999999999</v>
      </c>
      <c r="G43" s="1">
        <v>0.08</v>
      </c>
      <c r="H43" s="1" t="s">
        <v>55</v>
      </c>
      <c r="I43" s="1" t="s">
        <v>56</v>
      </c>
      <c r="AF43">
        <v>112</v>
      </c>
      <c r="AG43">
        <v>377</v>
      </c>
      <c r="AI43">
        <v>13.7</v>
      </c>
      <c r="AJ43">
        <v>942</v>
      </c>
      <c r="AK43">
        <v>921</v>
      </c>
      <c r="AL43">
        <v>1057</v>
      </c>
      <c r="AM43" s="6">
        <f t="shared" si="3"/>
        <v>27</v>
      </c>
    </row>
    <row r="44" spans="1:39" x14ac:dyDescent="0.2">
      <c r="A44" s="1"/>
      <c r="B44" s="1"/>
      <c r="C44" s="1"/>
      <c r="D44" s="1"/>
      <c r="E44" s="1"/>
      <c r="F44" s="1"/>
      <c r="G44" s="1"/>
      <c r="H44" s="1"/>
      <c r="I44" s="1"/>
    </row>
    <row r="45" spans="1:39" x14ac:dyDescent="0.2">
      <c r="A45" s="2" t="s">
        <v>88</v>
      </c>
      <c r="B45" s="1"/>
      <c r="C45" s="1"/>
      <c r="D45" s="1"/>
      <c r="E45" s="1"/>
      <c r="F45" s="1"/>
      <c r="G45" s="1"/>
      <c r="H45" s="1"/>
      <c r="I45" s="1"/>
    </row>
    <row r="46" spans="1:39" x14ac:dyDescent="0.2">
      <c r="A46" s="1">
        <v>11</v>
      </c>
      <c r="B46" s="1" t="s">
        <v>16</v>
      </c>
      <c r="C46" s="1" t="s">
        <v>57</v>
      </c>
      <c r="D46" s="1">
        <v>1.873</v>
      </c>
      <c r="E46" s="1">
        <v>4.5999999999999999E-2</v>
      </c>
      <c r="F46" s="1">
        <v>-2.6160000000000001</v>
      </c>
      <c r="G46" s="1">
        <v>2.4E-2</v>
      </c>
      <c r="H46" s="1" t="s">
        <v>58</v>
      </c>
      <c r="I46" s="1" t="s">
        <v>59</v>
      </c>
      <c r="AF46">
        <v>161</v>
      </c>
      <c r="AG46">
        <v>423</v>
      </c>
      <c r="AI46">
        <v>13.5</v>
      </c>
      <c r="AJ46">
        <v>1201</v>
      </c>
      <c r="AK46">
        <v>1173</v>
      </c>
      <c r="AL46">
        <v>1141</v>
      </c>
      <c r="AM46" s="6">
        <f t="shared" ref="AM46:AM51" si="4">3*9</f>
        <v>27</v>
      </c>
    </row>
    <row r="47" spans="1:39" x14ac:dyDescent="0.2">
      <c r="A47" s="1">
        <v>12</v>
      </c>
      <c r="B47" s="1" t="s">
        <v>18</v>
      </c>
      <c r="C47" s="1" t="s">
        <v>57</v>
      </c>
      <c r="D47" s="1">
        <v>1.8759999999999999</v>
      </c>
      <c r="E47" s="1">
        <v>4.2000000000000003E-2</v>
      </c>
      <c r="F47" s="1">
        <v>-2.2669999999999999</v>
      </c>
      <c r="G47" s="1">
        <v>4.2000000000000003E-2</v>
      </c>
      <c r="H47" s="1" t="s">
        <v>58</v>
      </c>
      <c r="I47" s="1" t="s">
        <v>60</v>
      </c>
      <c r="AF47">
        <v>107</v>
      </c>
      <c r="AG47">
        <v>474</v>
      </c>
      <c r="AI47">
        <v>13.5</v>
      </c>
      <c r="AJ47">
        <v>1540</v>
      </c>
      <c r="AK47">
        <v>1496</v>
      </c>
      <c r="AL47">
        <v>1414</v>
      </c>
      <c r="AM47" s="6">
        <f t="shared" si="4"/>
        <v>27</v>
      </c>
    </row>
    <row r="48" spans="1:39" x14ac:dyDescent="0.2">
      <c r="A48" s="1">
        <v>13</v>
      </c>
      <c r="B48" s="1" t="s">
        <v>20</v>
      </c>
      <c r="C48" s="1" t="s">
        <v>57</v>
      </c>
      <c r="D48" s="1">
        <v>1.847</v>
      </c>
      <c r="E48" s="1">
        <v>2.1000000000000001E-2</v>
      </c>
      <c r="F48" s="1">
        <v>-2.5310000000000001</v>
      </c>
      <c r="G48" s="1">
        <v>8.2000000000000003E-2</v>
      </c>
      <c r="H48" s="1" t="s">
        <v>58</v>
      </c>
      <c r="I48" s="1" t="s">
        <v>61</v>
      </c>
      <c r="AF48">
        <v>171</v>
      </c>
      <c r="AG48">
        <v>528</v>
      </c>
      <c r="AH48">
        <v>7.1</v>
      </c>
      <c r="AI48">
        <v>14.4</v>
      </c>
      <c r="AJ48">
        <v>2014</v>
      </c>
      <c r="AK48">
        <v>1934</v>
      </c>
      <c r="AL48">
        <v>1826</v>
      </c>
      <c r="AM48" s="6">
        <f t="shared" si="4"/>
        <v>27</v>
      </c>
    </row>
    <row r="49" spans="1:39" x14ac:dyDescent="0.2">
      <c r="A49" s="1">
        <v>14</v>
      </c>
      <c r="B49" s="1" t="s">
        <v>22</v>
      </c>
      <c r="C49" s="1" t="s">
        <v>57</v>
      </c>
      <c r="D49" s="1">
        <v>1.8779999999999999</v>
      </c>
      <c r="E49" s="1">
        <v>2.7E-2</v>
      </c>
      <c r="F49" s="1">
        <v>-2.234</v>
      </c>
      <c r="G49" s="1">
        <v>4.1000000000000002E-2</v>
      </c>
      <c r="H49" s="1" t="s">
        <v>58</v>
      </c>
      <c r="I49" s="1" t="s">
        <v>62</v>
      </c>
      <c r="AF49">
        <v>137</v>
      </c>
      <c r="AG49">
        <v>484</v>
      </c>
      <c r="AI49">
        <v>13.9</v>
      </c>
      <c r="AJ49">
        <v>1622</v>
      </c>
      <c r="AK49">
        <v>1578</v>
      </c>
      <c r="AL49">
        <v>1491</v>
      </c>
      <c r="AM49" s="6">
        <f t="shared" si="4"/>
        <v>27</v>
      </c>
    </row>
    <row r="50" spans="1:39" x14ac:dyDescent="0.2">
      <c r="A50" s="1">
        <v>15</v>
      </c>
      <c r="B50" s="1" t="s">
        <v>24</v>
      </c>
      <c r="C50" s="1" t="s">
        <v>57</v>
      </c>
      <c r="D50" s="1">
        <v>1.861</v>
      </c>
      <c r="E50" s="1">
        <v>2.3E-2</v>
      </c>
      <c r="F50" s="1">
        <v>-2.5430000000000001</v>
      </c>
      <c r="G50" s="1">
        <v>0.05</v>
      </c>
      <c r="H50" s="1" t="s">
        <v>58</v>
      </c>
      <c r="I50" s="1" t="s">
        <v>63</v>
      </c>
      <c r="AF50">
        <v>156</v>
      </c>
      <c r="AG50">
        <v>489</v>
      </c>
      <c r="AI50">
        <v>13.7</v>
      </c>
      <c r="AJ50">
        <v>1696</v>
      </c>
      <c r="AK50">
        <v>1628</v>
      </c>
      <c r="AL50">
        <v>1538</v>
      </c>
      <c r="AM50" s="6">
        <f t="shared" si="4"/>
        <v>27</v>
      </c>
    </row>
    <row r="51" spans="1:39" x14ac:dyDescent="0.2">
      <c r="A51" s="1">
        <v>16</v>
      </c>
      <c r="B51" s="1" t="s">
        <v>26</v>
      </c>
      <c r="C51" s="1" t="s">
        <v>57</v>
      </c>
      <c r="D51" s="1">
        <v>1.9350000000000001</v>
      </c>
      <c r="E51" s="1">
        <v>1.0999999999999999E-2</v>
      </c>
      <c r="F51" s="1">
        <v>-2.1859999999999999</v>
      </c>
      <c r="G51" s="1">
        <v>2.4E-2</v>
      </c>
      <c r="H51" s="1" t="s">
        <v>58</v>
      </c>
      <c r="I51" s="1" t="s">
        <v>64</v>
      </c>
      <c r="AF51">
        <v>83</v>
      </c>
      <c r="AG51">
        <v>486</v>
      </c>
      <c r="AI51">
        <v>13.5</v>
      </c>
      <c r="AJ51">
        <v>1644</v>
      </c>
      <c r="AK51">
        <v>1598</v>
      </c>
      <c r="AL51">
        <v>1510</v>
      </c>
      <c r="AM51" s="6">
        <f t="shared" si="4"/>
        <v>27</v>
      </c>
    </row>
    <row r="52" spans="1:39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39" x14ac:dyDescent="0.2">
      <c r="A53" s="2" t="s">
        <v>89</v>
      </c>
      <c r="B53" s="1"/>
      <c r="C53" s="1"/>
      <c r="D53" s="1"/>
      <c r="E53" s="1"/>
      <c r="F53" s="1"/>
      <c r="G53" s="1"/>
      <c r="H53" s="1"/>
      <c r="I53" s="1"/>
    </row>
    <row r="54" spans="1:39" ht="13.5" customHeight="1" x14ac:dyDescent="0.2">
      <c r="A54" s="1">
        <v>17</v>
      </c>
      <c r="B54" s="1" t="s">
        <v>28</v>
      </c>
      <c r="C54" s="1" t="s">
        <v>65</v>
      </c>
      <c r="D54" s="1">
        <v>1.7909999999999999</v>
      </c>
      <c r="E54" s="1">
        <v>2.5000000000000001E-2</v>
      </c>
      <c r="F54" s="1">
        <v>-2.5230000000000001</v>
      </c>
      <c r="G54" s="1">
        <v>3.7999999999999999E-2</v>
      </c>
      <c r="H54" s="1" t="s">
        <v>66</v>
      </c>
      <c r="I54" s="1" t="s">
        <v>67</v>
      </c>
      <c r="AF54">
        <v>190</v>
      </c>
      <c r="AG54">
        <v>472</v>
      </c>
      <c r="AI54">
        <v>13.2</v>
      </c>
      <c r="AJ54">
        <v>1614</v>
      </c>
      <c r="AK54">
        <v>1571</v>
      </c>
      <c r="AL54">
        <v>1484</v>
      </c>
      <c r="AM54" s="6">
        <f t="shared" ref="AM54:AM59" si="5">3*9</f>
        <v>27</v>
      </c>
    </row>
    <row r="55" spans="1:39" x14ac:dyDescent="0.2">
      <c r="A55" s="1">
        <v>18</v>
      </c>
      <c r="B55" s="1" t="s">
        <v>30</v>
      </c>
      <c r="C55" s="1" t="s">
        <v>65</v>
      </c>
      <c r="D55" s="1">
        <v>1.9379999999999999</v>
      </c>
      <c r="E55" s="1">
        <v>3.9E-2</v>
      </c>
      <c r="F55" s="1">
        <v>-2.2040000000000002</v>
      </c>
      <c r="G55" s="1">
        <v>0.02</v>
      </c>
      <c r="H55" s="1" t="s">
        <v>66</v>
      </c>
      <c r="I55" s="1" t="s">
        <v>68</v>
      </c>
      <c r="AF55">
        <v>288</v>
      </c>
      <c r="AG55">
        <v>452</v>
      </c>
      <c r="AI55">
        <v>12.9</v>
      </c>
      <c r="AJ55">
        <v>1382</v>
      </c>
      <c r="AK55">
        <v>1350</v>
      </c>
      <c r="AL55">
        <v>1295</v>
      </c>
      <c r="AM55" s="6">
        <f t="shared" si="5"/>
        <v>27</v>
      </c>
    </row>
    <row r="56" spans="1:39" x14ac:dyDescent="0.2">
      <c r="A56" s="1">
        <v>19</v>
      </c>
      <c r="B56" s="1" t="s">
        <v>32</v>
      </c>
      <c r="C56" s="1" t="s">
        <v>65</v>
      </c>
      <c r="D56" s="1">
        <v>1.9019999999999999</v>
      </c>
      <c r="E56" s="1">
        <v>3.3000000000000002E-2</v>
      </c>
      <c r="F56" s="1">
        <v>-2.4950000000000001</v>
      </c>
      <c r="G56" s="1">
        <v>5.0999999999999997E-2</v>
      </c>
      <c r="H56" s="1" t="s">
        <v>66</v>
      </c>
      <c r="I56" s="1" t="s">
        <v>69</v>
      </c>
      <c r="AF56">
        <v>186</v>
      </c>
      <c r="AG56">
        <v>445</v>
      </c>
      <c r="AH56">
        <v>7.1</v>
      </c>
      <c r="AI56">
        <v>14.2</v>
      </c>
      <c r="AJ56">
        <v>1399</v>
      </c>
      <c r="AK56">
        <v>1364</v>
      </c>
      <c r="AL56">
        <v>1294</v>
      </c>
      <c r="AM56" s="6">
        <f t="shared" si="5"/>
        <v>27</v>
      </c>
    </row>
    <row r="57" spans="1:39" x14ac:dyDescent="0.2">
      <c r="A57" s="1">
        <v>20</v>
      </c>
      <c r="B57" s="1" t="s">
        <v>36</v>
      </c>
      <c r="C57" s="1" t="s">
        <v>65</v>
      </c>
      <c r="D57" s="1">
        <v>1.917</v>
      </c>
      <c r="E57" s="1">
        <v>1.2999999999999999E-2</v>
      </c>
      <c r="F57" s="1">
        <v>-2.1560000000000001</v>
      </c>
      <c r="G57" s="1">
        <v>2.8000000000000001E-2</v>
      </c>
      <c r="H57" s="1" t="s">
        <v>66</v>
      </c>
      <c r="I57" s="1" t="s">
        <v>72</v>
      </c>
      <c r="AF57">
        <v>107</v>
      </c>
      <c r="AG57">
        <v>484</v>
      </c>
      <c r="AI57">
        <v>13.9</v>
      </c>
      <c r="AJ57">
        <v>1679</v>
      </c>
      <c r="AK57">
        <v>1623</v>
      </c>
      <c r="AL57">
        <v>1534</v>
      </c>
      <c r="AM57" s="6">
        <f t="shared" si="5"/>
        <v>27</v>
      </c>
    </row>
    <row r="58" spans="1:39" x14ac:dyDescent="0.2">
      <c r="A58" s="1">
        <v>21</v>
      </c>
      <c r="B58" s="1" t="s">
        <v>73</v>
      </c>
      <c r="C58" s="1" t="s">
        <v>65</v>
      </c>
      <c r="D58" s="1">
        <v>1.847</v>
      </c>
      <c r="E58" s="1">
        <v>2.5000000000000001E-2</v>
      </c>
      <c r="F58" s="1">
        <v>-2.4500000000000002</v>
      </c>
      <c r="G58" s="1">
        <v>4.3999999999999997E-2</v>
      </c>
      <c r="H58" s="1" t="s">
        <v>66</v>
      </c>
      <c r="I58" s="1" t="s">
        <v>74</v>
      </c>
      <c r="AF58">
        <v>186</v>
      </c>
      <c r="AG58">
        <v>496</v>
      </c>
      <c r="AI58">
        <v>13.6</v>
      </c>
      <c r="AJ58">
        <v>1809</v>
      </c>
      <c r="AK58">
        <v>1753</v>
      </c>
      <c r="AL58">
        <v>1655</v>
      </c>
      <c r="AM58" s="6">
        <f t="shared" si="5"/>
        <v>27</v>
      </c>
    </row>
    <row r="59" spans="1:39" x14ac:dyDescent="0.2">
      <c r="A59" s="1">
        <v>22</v>
      </c>
      <c r="B59" s="1" t="s">
        <v>75</v>
      </c>
      <c r="C59" s="1" t="s">
        <v>65</v>
      </c>
      <c r="D59" s="1">
        <v>1.931</v>
      </c>
      <c r="E59" s="1">
        <v>1.4999999999999999E-2</v>
      </c>
      <c r="F59" s="1">
        <v>-2.0950000000000002</v>
      </c>
      <c r="G59" s="1">
        <v>4.1000000000000002E-2</v>
      </c>
      <c r="H59" s="1" t="s">
        <v>66</v>
      </c>
      <c r="I59" s="1" t="s">
        <v>76</v>
      </c>
      <c r="AF59">
        <v>132</v>
      </c>
      <c r="AG59">
        <v>464</v>
      </c>
      <c r="AI59">
        <v>13.3</v>
      </c>
      <c r="AJ59">
        <v>1454</v>
      </c>
      <c r="AK59">
        <v>1421</v>
      </c>
      <c r="AL59">
        <v>1351</v>
      </c>
      <c r="AM59" s="6">
        <f t="shared" si="5"/>
        <v>27</v>
      </c>
    </row>
    <row r="60" spans="1:39" s="3" customFormat="1" x14ac:dyDescent="0.2"/>
    <row r="61" spans="1:39" x14ac:dyDescent="0.2">
      <c r="AE61" s="4">
        <v>42123</v>
      </c>
    </row>
    <row r="62" spans="1:39" x14ac:dyDescent="0.2">
      <c r="A62" s="1" t="s">
        <v>0</v>
      </c>
      <c r="B62" s="1" t="s">
        <v>1</v>
      </c>
      <c r="C62" s="1" t="s">
        <v>2</v>
      </c>
      <c r="D62" s="1" t="s">
        <v>4</v>
      </c>
      <c r="E62" s="1" t="s">
        <v>5</v>
      </c>
      <c r="F62" s="1" t="s">
        <v>7</v>
      </c>
      <c r="G62" s="1" t="s">
        <v>8</v>
      </c>
      <c r="H62" s="1" t="s">
        <v>9</v>
      </c>
      <c r="I62" s="1" t="s">
        <v>10</v>
      </c>
      <c r="AF62" t="s">
        <v>92</v>
      </c>
      <c r="AH62" t="s">
        <v>94</v>
      </c>
      <c r="AI62" t="s">
        <v>95</v>
      </c>
      <c r="AK62" t="s">
        <v>97</v>
      </c>
      <c r="AL62" t="s">
        <v>98</v>
      </c>
    </row>
    <row r="63" spans="1:39" s="16" customFormat="1" x14ac:dyDescent="0.2">
      <c r="A63" s="14" t="s">
        <v>115</v>
      </c>
      <c r="B63" s="15"/>
      <c r="C63" s="15"/>
      <c r="D63" s="15"/>
      <c r="E63" s="15"/>
      <c r="F63" s="15"/>
      <c r="G63" s="15"/>
      <c r="H63" s="15"/>
      <c r="I63" s="15"/>
    </row>
    <row r="64" spans="1:39" s="6" customFormat="1" x14ac:dyDescent="0.2">
      <c r="A64" s="5">
        <v>5</v>
      </c>
      <c r="B64" s="5" t="s">
        <v>99</v>
      </c>
      <c r="C64" s="5">
        <v>3</v>
      </c>
      <c r="D64" s="5">
        <v>4.1189999999999998</v>
      </c>
      <c r="E64" s="5">
        <v>5.8999999999999997E-2</v>
      </c>
      <c r="F64" s="5">
        <v>-9.7859999999999996</v>
      </c>
      <c r="G64" s="5">
        <v>0.34699999999999998</v>
      </c>
      <c r="H64" s="5" t="s">
        <v>12</v>
      </c>
      <c r="I64" s="5" t="s">
        <v>100</v>
      </c>
      <c r="AF64" s="6">
        <v>381</v>
      </c>
      <c r="AG64" s="6">
        <v>311</v>
      </c>
      <c r="AH64" s="6">
        <v>7.3</v>
      </c>
      <c r="AI64" s="6">
        <v>14.7</v>
      </c>
      <c r="AJ64" s="6">
        <v>631</v>
      </c>
      <c r="AK64" s="6">
        <v>618</v>
      </c>
      <c r="AL64" s="6">
        <v>20522</v>
      </c>
      <c r="AM64" s="6">
        <v>9</v>
      </c>
    </row>
    <row r="65" spans="1:39" s="6" customFormat="1" x14ac:dyDescent="0.2">
      <c r="A65" s="5">
        <v>6</v>
      </c>
      <c r="B65" s="5" t="s">
        <v>99</v>
      </c>
      <c r="C65" s="5">
        <v>5</v>
      </c>
      <c r="D65" s="5">
        <v>-6.5049999999999999</v>
      </c>
      <c r="E65" s="5">
        <v>1.5609999999999999</v>
      </c>
      <c r="F65" s="5">
        <v>-26.547999999999998</v>
      </c>
      <c r="G65" s="5">
        <v>6.0549999999999997</v>
      </c>
      <c r="H65" s="5" t="s">
        <v>12</v>
      </c>
      <c r="I65" s="5" t="s">
        <v>101</v>
      </c>
      <c r="AF65" s="6">
        <v>547</v>
      </c>
      <c r="AG65" s="6">
        <v>30</v>
      </c>
      <c r="AH65" s="6">
        <v>7.4</v>
      </c>
      <c r="AI65" s="6">
        <v>14.6</v>
      </c>
      <c r="AJ65" s="6">
        <v>12</v>
      </c>
      <c r="AK65" s="6">
        <v>13</v>
      </c>
      <c r="AL65" s="6">
        <v>1117</v>
      </c>
      <c r="AM65" s="6">
        <v>9</v>
      </c>
    </row>
    <row r="66" spans="1:39" s="6" customFormat="1" x14ac:dyDescent="0.2">
      <c r="A66" s="5">
        <v>8</v>
      </c>
      <c r="B66" s="5" t="s">
        <v>99</v>
      </c>
      <c r="C66" s="5">
        <v>7</v>
      </c>
      <c r="D66" s="5">
        <v>0.78</v>
      </c>
      <c r="E66" s="5">
        <v>3.7999999999999999E-2</v>
      </c>
      <c r="F66" s="5">
        <v>-8.968</v>
      </c>
      <c r="G66" s="5">
        <v>0.125</v>
      </c>
      <c r="H66" s="5" t="s">
        <v>12</v>
      </c>
      <c r="I66" s="5" t="s">
        <v>102</v>
      </c>
      <c r="AF66" s="6">
        <v>283</v>
      </c>
      <c r="AG66" s="6">
        <v>232</v>
      </c>
      <c r="AI66" s="6">
        <v>14.2</v>
      </c>
      <c r="AJ66" s="6">
        <v>407</v>
      </c>
      <c r="AK66" s="6">
        <v>400</v>
      </c>
      <c r="AL66" s="6">
        <v>1080</v>
      </c>
      <c r="AM66" s="6">
        <v>9</v>
      </c>
    </row>
    <row r="67" spans="1:39" s="6" customFormat="1" x14ac:dyDescent="0.2">
      <c r="A67" s="5">
        <v>9</v>
      </c>
      <c r="B67" s="5" t="s">
        <v>99</v>
      </c>
      <c r="C67" s="5">
        <v>8</v>
      </c>
      <c r="D67" s="5">
        <v>0.42199999999999999</v>
      </c>
      <c r="E67" s="5">
        <v>0.22900000000000001</v>
      </c>
      <c r="F67" s="5">
        <v>-30.312000000000001</v>
      </c>
      <c r="G67" s="5">
        <v>0.47199999999999998</v>
      </c>
      <c r="H67" s="5" t="s">
        <v>12</v>
      </c>
      <c r="I67" s="5" t="s">
        <v>103</v>
      </c>
      <c r="AF67" s="6">
        <v>254</v>
      </c>
      <c r="AG67" s="6">
        <v>262</v>
      </c>
      <c r="AI67" s="6">
        <v>14</v>
      </c>
      <c r="AJ67" s="6">
        <v>245</v>
      </c>
      <c r="AK67" s="6">
        <v>28</v>
      </c>
      <c r="AL67" s="10"/>
      <c r="AM67" s="6">
        <v>9</v>
      </c>
    </row>
    <row r="68" spans="1:39" s="6" customFormat="1" x14ac:dyDescent="0.2">
      <c r="A68" s="5">
        <v>10</v>
      </c>
      <c r="B68" s="5" t="s">
        <v>99</v>
      </c>
      <c r="C68" s="5">
        <v>9</v>
      </c>
      <c r="D68" s="5">
        <v>0.97699999999999998</v>
      </c>
      <c r="E68" s="5">
        <v>6.2E-2</v>
      </c>
      <c r="F68" s="5">
        <v>-9.1479999999999997</v>
      </c>
      <c r="G68" s="5">
        <v>0.23899999999999999</v>
      </c>
      <c r="H68" s="5" t="s">
        <v>12</v>
      </c>
      <c r="I68" s="5" t="s">
        <v>104</v>
      </c>
      <c r="AF68" s="6">
        <v>132</v>
      </c>
      <c r="AG68" s="6">
        <v>250</v>
      </c>
      <c r="AI68" s="6">
        <v>13.5</v>
      </c>
      <c r="AJ68" s="6">
        <v>435</v>
      </c>
      <c r="AK68" s="6">
        <v>426</v>
      </c>
      <c r="AL68" s="6">
        <v>1037</v>
      </c>
      <c r="AM68" s="6">
        <v>9</v>
      </c>
    </row>
    <row r="69" spans="1:39" s="6" customFormat="1" x14ac:dyDescent="0.2">
      <c r="A69" s="5"/>
      <c r="B69" s="5"/>
      <c r="C69" s="5"/>
      <c r="D69" s="5"/>
      <c r="E69" s="5"/>
      <c r="F69" s="5"/>
      <c r="G69" s="5"/>
      <c r="H69" s="5"/>
      <c r="I69" s="5"/>
    </row>
    <row r="70" spans="1:39" s="16" customFormat="1" x14ac:dyDescent="0.2">
      <c r="A70" s="14" t="s">
        <v>116</v>
      </c>
      <c r="B70" s="15"/>
      <c r="C70" s="15"/>
      <c r="D70" s="15"/>
      <c r="E70" s="15"/>
      <c r="F70" s="15"/>
      <c r="G70" s="15"/>
      <c r="H70" s="15"/>
      <c r="I70" s="15"/>
    </row>
    <row r="71" spans="1:39" s="6" customFormat="1" x14ac:dyDescent="0.2">
      <c r="A71" s="5">
        <v>23</v>
      </c>
      <c r="B71" s="5" t="s">
        <v>99</v>
      </c>
      <c r="C71" s="5">
        <v>19</v>
      </c>
      <c r="D71" s="5">
        <v>1.859</v>
      </c>
      <c r="E71" s="5">
        <v>7.9000000000000001E-2</v>
      </c>
      <c r="F71" s="5">
        <v>-3.6779999999999999</v>
      </c>
      <c r="G71" s="5">
        <v>0.03</v>
      </c>
      <c r="H71" s="5" t="s">
        <v>12</v>
      </c>
      <c r="I71" s="5" t="s">
        <v>105</v>
      </c>
      <c r="AF71" s="6">
        <v>225</v>
      </c>
      <c r="AG71" s="6">
        <v>418</v>
      </c>
      <c r="AI71" s="6">
        <v>13.8</v>
      </c>
      <c r="AJ71" s="6">
        <v>1061</v>
      </c>
      <c r="AK71" s="6">
        <v>1035</v>
      </c>
      <c r="AL71" s="6">
        <v>1070</v>
      </c>
      <c r="AM71" s="6">
        <f>2*9</f>
        <v>18</v>
      </c>
    </row>
    <row r="72" spans="1:39" s="6" customFormat="1" x14ac:dyDescent="0.2">
      <c r="A72" s="5">
        <v>24</v>
      </c>
      <c r="B72" s="5" t="s">
        <v>99</v>
      </c>
      <c r="C72" s="5">
        <v>20</v>
      </c>
      <c r="D72" s="5">
        <v>1.764</v>
      </c>
      <c r="E72" s="5">
        <v>8.5999999999999993E-2</v>
      </c>
      <c r="F72" s="5">
        <v>-2.9660000000000002</v>
      </c>
      <c r="G72" s="5">
        <v>5.5E-2</v>
      </c>
      <c r="H72" s="5" t="s">
        <v>12</v>
      </c>
      <c r="I72" s="5" t="s">
        <v>106</v>
      </c>
      <c r="AF72" s="6">
        <v>166</v>
      </c>
      <c r="AG72" s="6">
        <v>367</v>
      </c>
      <c r="AI72" s="6">
        <v>14.1</v>
      </c>
      <c r="AJ72" s="6">
        <v>888</v>
      </c>
      <c r="AK72" s="6">
        <v>868</v>
      </c>
      <c r="AL72" s="6">
        <v>1059</v>
      </c>
      <c r="AM72" s="6">
        <f t="shared" ref="AM72:AM75" si="6">2*9</f>
        <v>18</v>
      </c>
    </row>
    <row r="73" spans="1:39" s="6" customFormat="1" x14ac:dyDescent="0.2">
      <c r="A73" s="5">
        <v>25</v>
      </c>
      <c r="B73" s="5" t="s">
        <v>99</v>
      </c>
      <c r="C73" s="5">
        <v>21</v>
      </c>
      <c r="D73" s="5">
        <v>1.4370000000000001</v>
      </c>
      <c r="E73" s="5">
        <v>6.8000000000000005E-2</v>
      </c>
      <c r="F73" s="5">
        <v>-4.5949999999999998</v>
      </c>
      <c r="G73" s="5">
        <v>8.5000000000000006E-2</v>
      </c>
      <c r="H73" s="5" t="s">
        <v>12</v>
      </c>
      <c r="I73" s="5" t="s">
        <v>107</v>
      </c>
      <c r="AF73" s="6">
        <v>181</v>
      </c>
      <c r="AG73" s="6">
        <v>311</v>
      </c>
      <c r="AI73" s="6">
        <v>13.9</v>
      </c>
      <c r="AJ73" s="6">
        <v>646</v>
      </c>
      <c r="AK73" s="6">
        <v>632</v>
      </c>
      <c r="AL73" s="6">
        <v>1047</v>
      </c>
      <c r="AM73" s="6">
        <f t="shared" si="6"/>
        <v>18</v>
      </c>
    </row>
    <row r="74" spans="1:39" s="6" customFormat="1" x14ac:dyDescent="0.2">
      <c r="A74" s="5">
        <v>26</v>
      </c>
      <c r="B74" s="5" t="s">
        <v>99</v>
      </c>
      <c r="C74" s="5">
        <v>22</v>
      </c>
      <c r="D74" s="5">
        <v>1.76</v>
      </c>
      <c r="E74" s="5">
        <v>6.6000000000000003E-2</v>
      </c>
      <c r="F74" s="5">
        <v>-2.7040000000000002</v>
      </c>
      <c r="G74" s="5">
        <v>4.8000000000000001E-2</v>
      </c>
      <c r="H74" s="5" t="s">
        <v>12</v>
      </c>
      <c r="I74" s="5" t="s">
        <v>108</v>
      </c>
      <c r="AF74" s="6">
        <v>88</v>
      </c>
      <c r="AG74" s="6">
        <v>418</v>
      </c>
      <c r="AI74" s="6">
        <v>13.7</v>
      </c>
      <c r="AJ74" s="6">
        <v>1149</v>
      </c>
      <c r="AK74" s="6">
        <v>1121</v>
      </c>
      <c r="AL74" s="6">
        <v>1102</v>
      </c>
      <c r="AM74" s="6">
        <f t="shared" si="6"/>
        <v>18</v>
      </c>
    </row>
    <row r="75" spans="1:39" s="6" customFormat="1" x14ac:dyDescent="0.2">
      <c r="A75" s="5">
        <v>27</v>
      </c>
      <c r="B75" s="5" t="s">
        <v>99</v>
      </c>
      <c r="C75" s="5">
        <v>23</v>
      </c>
      <c r="D75" s="5">
        <v>1.617</v>
      </c>
      <c r="E75" s="5">
        <v>5.6000000000000001E-2</v>
      </c>
      <c r="F75" s="5">
        <v>-3.3490000000000002</v>
      </c>
      <c r="G75" s="5">
        <v>3.9E-2</v>
      </c>
      <c r="H75" s="5" t="s">
        <v>12</v>
      </c>
      <c r="I75" s="5" t="s">
        <v>109</v>
      </c>
      <c r="AF75" s="6">
        <v>171</v>
      </c>
      <c r="AG75" s="6">
        <v>440</v>
      </c>
      <c r="AH75" s="6">
        <v>7.3</v>
      </c>
      <c r="AI75" s="6">
        <v>14.7</v>
      </c>
      <c r="AJ75" s="6">
        <v>1310</v>
      </c>
      <c r="AK75" s="6">
        <v>1278</v>
      </c>
      <c r="AL75" s="6">
        <v>1226</v>
      </c>
      <c r="AM75" s="6">
        <f t="shared" si="6"/>
        <v>18</v>
      </c>
    </row>
    <row r="76" spans="1:39" s="6" customFormat="1" x14ac:dyDescent="0.2">
      <c r="A76" s="5"/>
      <c r="B76" s="5"/>
      <c r="C76" s="5"/>
      <c r="D76" s="5"/>
      <c r="E76" s="5"/>
      <c r="F76" s="5"/>
      <c r="G76" s="5"/>
      <c r="H76" s="5"/>
      <c r="I76" s="5"/>
    </row>
    <row r="77" spans="1:39" s="16" customFormat="1" x14ac:dyDescent="0.2">
      <c r="A77" s="14" t="s">
        <v>86</v>
      </c>
      <c r="B77" s="15"/>
      <c r="C77" s="15"/>
      <c r="D77" s="15"/>
      <c r="E77" s="15"/>
      <c r="F77" s="15"/>
      <c r="G77" s="15"/>
      <c r="H77" s="15"/>
      <c r="I77" s="15"/>
    </row>
    <row r="78" spans="1:39" s="6" customFormat="1" x14ac:dyDescent="0.2">
      <c r="A78" s="5">
        <v>28</v>
      </c>
      <c r="B78" s="5" t="s">
        <v>99</v>
      </c>
      <c r="C78" s="5">
        <v>24</v>
      </c>
      <c r="D78" s="5">
        <v>1.899</v>
      </c>
      <c r="E78" s="5">
        <v>3.5999999999999997E-2</v>
      </c>
      <c r="F78" s="5">
        <v>-2.3839999999999999</v>
      </c>
      <c r="G78" s="5">
        <v>0.04</v>
      </c>
      <c r="H78" s="5" t="s">
        <v>12</v>
      </c>
      <c r="I78" s="5" t="s">
        <v>110</v>
      </c>
      <c r="AF78" s="6">
        <v>88</v>
      </c>
      <c r="AG78" s="6">
        <v>469</v>
      </c>
      <c r="AI78" s="6">
        <v>14.5</v>
      </c>
      <c r="AJ78" s="6">
        <v>1467</v>
      </c>
      <c r="AK78" s="6">
        <v>1419</v>
      </c>
      <c r="AL78" s="6">
        <v>1341</v>
      </c>
      <c r="AM78" s="6">
        <f>3*9</f>
        <v>27</v>
      </c>
    </row>
    <row r="79" spans="1:39" s="6" customFormat="1" x14ac:dyDescent="0.2">
      <c r="A79" s="5">
        <v>29</v>
      </c>
      <c r="B79" s="5" t="s">
        <v>99</v>
      </c>
      <c r="C79" s="5">
        <v>25</v>
      </c>
      <c r="D79" s="5">
        <v>1.8049999999999999</v>
      </c>
      <c r="E79" s="5">
        <v>2.5000000000000001E-2</v>
      </c>
      <c r="F79" s="5">
        <v>-2.1669999999999998</v>
      </c>
      <c r="G79" s="5">
        <v>2.5999999999999999E-2</v>
      </c>
      <c r="H79" s="5" t="s">
        <v>12</v>
      </c>
      <c r="I79" s="5" t="s">
        <v>111</v>
      </c>
      <c r="AF79" s="6">
        <v>181</v>
      </c>
      <c r="AG79" s="6">
        <v>489</v>
      </c>
      <c r="AI79" s="6">
        <v>14.3</v>
      </c>
      <c r="AJ79" s="6">
        <v>1527</v>
      </c>
      <c r="AK79" s="6">
        <v>1482</v>
      </c>
      <c r="AL79" s="6">
        <v>1400</v>
      </c>
      <c r="AM79" s="6">
        <f t="shared" ref="AM79:AM82" si="7">3*9</f>
        <v>27</v>
      </c>
    </row>
    <row r="80" spans="1:39" s="6" customFormat="1" x14ac:dyDescent="0.2">
      <c r="A80" s="5">
        <v>30</v>
      </c>
      <c r="B80" s="5" t="s">
        <v>99</v>
      </c>
      <c r="C80" s="5">
        <v>26</v>
      </c>
      <c r="D80" s="5">
        <v>1.8580000000000001</v>
      </c>
      <c r="E80" s="5">
        <v>3.6999999999999998E-2</v>
      </c>
      <c r="F80" s="5">
        <v>-2.3959999999999999</v>
      </c>
      <c r="G80" s="5">
        <v>3.5999999999999997E-2</v>
      </c>
      <c r="H80" s="5" t="s">
        <v>12</v>
      </c>
      <c r="I80" s="5" t="s">
        <v>112</v>
      </c>
      <c r="AF80" s="6">
        <v>98</v>
      </c>
      <c r="AG80" s="6">
        <v>489</v>
      </c>
      <c r="AI80" s="6">
        <v>14.1</v>
      </c>
      <c r="AJ80" s="6">
        <v>1519</v>
      </c>
      <c r="AK80" s="6">
        <v>1483</v>
      </c>
      <c r="AL80" s="6">
        <v>1400</v>
      </c>
      <c r="AM80" s="6">
        <f t="shared" si="7"/>
        <v>27</v>
      </c>
    </row>
    <row r="81" spans="1:39" s="6" customFormat="1" x14ac:dyDescent="0.2">
      <c r="A81" s="5">
        <v>31</v>
      </c>
      <c r="B81" s="5" t="s">
        <v>99</v>
      </c>
      <c r="C81" s="5">
        <v>27</v>
      </c>
      <c r="D81" s="5">
        <v>1.76</v>
      </c>
      <c r="E81" s="5">
        <v>3.9E-2</v>
      </c>
      <c r="F81" s="5">
        <v>-2.157</v>
      </c>
      <c r="G81" s="5">
        <v>2.9000000000000001E-2</v>
      </c>
      <c r="H81" s="5" t="s">
        <v>12</v>
      </c>
      <c r="I81" s="5" t="s">
        <v>113</v>
      </c>
      <c r="AF81" s="6">
        <v>166</v>
      </c>
      <c r="AG81" s="6">
        <v>469</v>
      </c>
      <c r="AI81" s="6">
        <v>13.8</v>
      </c>
      <c r="AJ81" s="6">
        <v>1444</v>
      </c>
      <c r="AK81" s="6">
        <v>1411</v>
      </c>
      <c r="AL81" s="6">
        <v>1337</v>
      </c>
      <c r="AM81" s="6">
        <f t="shared" si="7"/>
        <v>27</v>
      </c>
    </row>
    <row r="82" spans="1:39" s="6" customFormat="1" x14ac:dyDescent="0.2">
      <c r="A82" s="5">
        <v>32</v>
      </c>
      <c r="B82" s="5" t="s">
        <v>99</v>
      </c>
      <c r="C82" s="5">
        <v>28</v>
      </c>
      <c r="D82" s="5">
        <v>1.9059999999999999</v>
      </c>
      <c r="E82" s="5">
        <v>6.5000000000000002E-2</v>
      </c>
      <c r="F82" s="5">
        <v>-2.847</v>
      </c>
      <c r="G82" s="5">
        <v>2.1000000000000001E-2</v>
      </c>
      <c r="H82" s="5" t="s">
        <v>12</v>
      </c>
      <c r="I82" s="5" t="s">
        <v>114</v>
      </c>
      <c r="AF82" s="6">
        <v>98</v>
      </c>
      <c r="AG82" s="6">
        <v>416</v>
      </c>
      <c r="AH82" s="6">
        <v>7.3</v>
      </c>
      <c r="AI82" s="6">
        <v>14.6</v>
      </c>
      <c r="AJ82" s="6">
        <v>1112</v>
      </c>
      <c r="AK82" s="6">
        <v>1085</v>
      </c>
      <c r="AL82" s="6">
        <v>1116</v>
      </c>
      <c r="AM82" s="6">
        <f t="shared" si="7"/>
        <v>27</v>
      </c>
    </row>
    <row r="83" spans="1:39" s="8" customFormat="1" x14ac:dyDescent="0.2">
      <c r="A83" s="12"/>
      <c r="B83" s="12"/>
      <c r="C83" s="12"/>
      <c r="D83" s="12"/>
      <c r="E83" s="12"/>
      <c r="F83" s="12"/>
      <c r="G83" s="12"/>
      <c r="H83" s="12"/>
      <c r="I83" s="12"/>
    </row>
    <row r="84" spans="1:39" s="6" customFormat="1" x14ac:dyDescent="0.2">
      <c r="AE84" s="9">
        <v>42135</v>
      </c>
    </row>
    <row r="85" spans="1:39" x14ac:dyDescent="0.2">
      <c r="A85" s="1" t="s">
        <v>0</v>
      </c>
      <c r="B85" s="1" t="s">
        <v>1</v>
      </c>
      <c r="C85" s="1" t="s">
        <v>2</v>
      </c>
      <c r="D85" s="1" t="s">
        <v>4</v>
      </c>
      <c r="E85" s="1" t="s">
        <v>5</v>
      </c>
      <c r="F85" s="1" t="s">
        <v>7</v>
      </c>
      <c r="G85" s="1" t="s">
        <v>8</v>
      </c>
      <c r="H85" s="1" t="s">
        <v>9</v>
      </c>
      <c r="I85" s="1" t="s">
        <v>10</v>
      </c>
    </row>
    <row r="86" spans="1:39" x14ac:dyDescent="0.2">
      <c r="A86" s="13" t="s">
        <v>145</v>
      </c>
      <c r="B86" s="1"/>
      <c r="C86" s="1"/>
      <c r="D86" s="1"/>
      <c r="E86" s="1"/>
      <c r="F86" s="1"/>
      <c r="G86" s="1"/>
      <c r="H86" s="1"/>
      <c r="I86" s="1"/>
    </row>
    <row r="87" spans="1:39" x14ac:dyDescent="0.2">
      <c r="A87" s="1">
        <v>1</v>
      </c>
      <c r="B87" s="1" t="s">
        <v>11</v>
      </c>
      <c r="C87" s="1" t="s">
        <v>134</v>
      </c>
      <c r="D87" s="1">
        <v>1.84</v>
      </c>
      <c r="E87" s="1">
        <v>7.0000000000000001E-3</v>
      </c>
      <c r="F87" s="1">
        <v>-2.0939999999999999</v>
      </c>
      <c r="G87" s="1">
        <v>2.1000000000000001E-2</v>
      </c>
      <c r="H87" s="1" t="s">
        <v>136</v>
      </c>
      <c r="I87" s="1" t="s">
        <v>137</v>
      </c>
      <c r="AF87">
        <v>391</v>
      </c>
      <c r="AG87">
        <v>621</v>
      </c>
      <c r="AH87">
        <v>7.1</v>
      </c>
      <c r="AI87">
        <v>14.2</v>
      </c>
      <c r="AJ87">
        <v>3698</v>
      </c>
      <c r="AK87">
        <v>3575</v>
      </c>
      <c r="AL87">
        <v>3374</v>
      </c>
      <c r="AM87">
        <f>6*9</f>
        <v>54</v>
      </c>
    </row>
    <row r="88" spans="1:39" x14ac:dyDescent="0.2">
      <c r="A88" s="1">
        <v>2</v>
      </c>
      <c r="B88" s="1" t="s">
        <v>34</v>
      </c>
      <c r="C88" s="1" t="s">
        <v>134</v>
      </c>
      <c r="D88" s="1">
        <v>1.792</v>
      </c>
      <c r="E88" s="1">
        <v>1.6E-2</v>
      </c>
      <c r="F88" s="1">
        <v>-2.258</v>
      </c>
      <c r="G88" s="1">
        <v>4.8000000000000001E-2</v>
      </c>
      <c r="H88" s="1" t="s">
        <v>136</v>
      </c>
      <c r="I88" s="1" t="s">
        <v>138</v>
      </c>
      <c r="AF88">
        <v>317</v>
      </c>
      <c r="AG88">
        <v>665</v>
      </c>
      <c r="AI88">
        <v>13.4</v>
      </c>
      <c r="AJ88">
        <v>3878</v>
      </c>
      <c r="AK88">
        <v>3726</v>
      </c>
      <c r="AL88">
        <v>3517</v>
      </c>
      <c r="AM88">
        <f t="shared" ref="AM88:AM94" si="8">6*9</f>
        <v>54</v>
      </c>
    </row>
    <row r="89" spans="1:39" x14ac:dyDescent="0.2">
      <c r="A89" s="1">
        <v>3</v>
      </c>
      <c r="B89" s="1" t="s">
        <v>38</v>
      </c>
      <c r="C89" s="1" t="s">
        <v>134</v>
      </c>
      <c r="D89" s="1">
        <v>1.847</v>
      </c>
      <c r="E89" s="1">
        <v>1.9E-2</v>
      </c>
      <c r="F89" s="1">
        <v>-2.3119999999999998</v>
      </c>
      <c r="G89" s="1">
        <v>3.2000000000000001E-2</v>
      </c>
      <c r="H89" s="1" t="s">
        <v>136</v>
      </c>
      <c r="I89" s="1" t="s">
        <v>139</v>
      </c>
      <c r="AF89">
        <v>205</v>
      </c>
      <c r="AG89">
        <v>648</v>
      </c>
      <c r="AI89">
        <v>13</v>
      </c>
      <c r="AJ89">
        <v>3608</v>
      </c>
      <c r="AK89">
        <v>3423</v>
      </c>
      <c r="AL89">
        <v>3231</v>
      </c>
      <c r="AM89">
        <f t="shared" si="8"/>
        <v>54</v>
      </c>
    </row>
    <row r="90" spans="1:39" x14ac:dyDescent="0.2">
      <c r="A90" s="1">
        <v>4</v>
      </c>
      <c r="B90" s="1" t="s">
        <v>40</v>
      </c>
      <c r="C90" s="1" t="s">
        <v>134</v>
      </c>
      <c r="D90" s="1">
        <v>1.7989999999999999</v>
      </c>
      <c r="E90" s="1">
        <v>1.7999999999999999E-2</v>
      </c>
      <c r="F90" s="1">
        <v>-2.4209999999999998</v>
      </c>
      <c r="G90" s="1">
        <v>3.3000000000000002E-2</v>
      </c>
      <c r="H90" s="1" t="s">
        <v>136</v>
      </c>
      <c r="I90" s="1" t="s">
        <v>140</v>
      </c>
      <c r="AF90">
        <v>151</v>
      </c>
      <c r="AG90">
        <v>631</v>
      </c>
      <c r="AI90">
        <v>12.6</v>
      </c>
      <c r="AJ90">
        <v>3130</v>
      </c>
      <c r="AK90">
        <v>3030</v>
      </c>
      <c r="AL90">
        <v>2860</v>
      </c>
      <c r="AM90">
        <f t="shared" si="8"/>
        <v>54</v>
      </c>
    </row>
    <row r="91" spans="1:39" x14ac:dyDescent="0.2">
      <c r="A91" s="1">
        <v>5</v>
      </c>
      <c r="B91" s="1" t="s">
        <v>42</v>
      </c>
      <c r="C91" s="1" t="s">
        <v>134</v>
      </c>
      <c r="D91" s="1">
        <v>1.865</v>
      </c>
      <c r="E91" s="1">
        <v>2.9000000000000001E-2</v>
      </c>
      <c r="F91" s="1">
        <v>-2.2679999999999998</v>
      </c>
      <c r="G91" s="1">
        <v>2.8000000000000001E-2</v>
      </c>
      <c r="H91" s="1" t="s">
        <v>136</v>
      </c>
      <c r="I91" s="1" t="s">
        <v>141</v>
      </c>
      <c r="AF91">
        <v>200</v>
      </c>
      <c r="AG91">
        <v>621</v>
      </c>
      <c r="AI91">
        <v>12.3</v>
      </c>
      <c r="AJ91">
        <v>2954</v>
      </c>
      <c r="AK91">
        <v>2875</v>
      </c>
      <c r="AL91">
        <v>2715</v>
      </c>
      <c r="AM91">
        <f t="shared" si="8"/>
        <v>54</v>
      </c>
    </row>
    <row r="92" spans="1:39" x14ac:dyDescent="0.2">
      <c r="A92" s="1">
        <v>6</v>
      </c>
      <c r="B92" s="1" t="s">
        <v>44</v>
      </c>
      <c r="C92" s="1" t="s">
        <v>134</v>
      </c>
      <c r="D92" s="1">
        <v>1.8340000000000001</v>
      </c>
      <c r="E92" s="1">
        <v>1.2E-2</v>
      </c>
      <c r="F92" s="1">
        <v>-2.3879999999999999</v>
      </c>
      <c r="G92" s="1">
        <v>4.8000000000000001E-2</v>
      </c>
      <c r="H92" s="1" t="s">
        <v>136</v>
      </c>
      <c r="I92" s="1" t="s">
        <v>142</v>
      </c>
      <c r="AF92">
        <v>366</v>
      </c>
      <c r="AG92">
        <v>704</v>
      </c>
      <c r="AI92">
        <v>11.8</v>
      </c>
      <c r="AJ92">
        <v>4325</v>
      </c>
      <c r="AK92">
        <v>4180</v>
      </c>
      <c r="AL92">
        <v>3945</v>
      </c>
      <c r="AM92">
        <f t="shared" si="8"/>
        <v>54</v>
      </c>
    </row>
    <row r="93" spans="1:39" x14ac:dyDescent="0.2">
      <c r="A93" s="1">
        <v>7</v>
      </c>
      <c r="B93" s="1" t="s">
        <v>46</v>
      </c>
      <c r="C93" s="1" t="s">
        <v>134</v>
      </c>
      <c r="D93" s="1">
        <v>1.8340000000000001</v>
      </c>
      <c r="E93" s="1">
        <v>1.9E-2</v>
      </c>
      <c r="F93" s="1">
        <v>-2.3090000000000002</v>
      </c>
      <c r="G93" s="1">
        <v>3.5999999999999997E-2</v>
      </c>
      <c r="H93" s="1" t="s">
        <v>136</v>
      </c>
      <c r="I93" s="1" t="s">
        <v>143</v>
      </c>
      <c r="AF93">
        <v>190</v>
      </c>
      <c r="AG93">
        <v>677</v>
      </c>
      <c r="AI93">
        <v>11.3</v>
      </c>
      <c r="AJ93">
        <v>4032</v>
      </c>
      <c r="AK93">
        <v>3876</v>
      </c>
      <c r="AL93">
        <v>3658</v>
      </c>
      <c r="AM93">
        <f t="shared" si="8"/>
        <v>54</v>
      </c>
    </row>
    <row r="94" spans="1:39" x14ac:dyDescent="0.2">
      <c r="A94" s="1">
        <v>8</v>
      </c>
      <c r="B94" s="1" t="s">
        <v>48</v>
      </c>
      <c r="C94" s="1" t="s">
        <v>134</v>
      </c>
      <c r="D94" s="1">
        <v>1.8069999999999999</v>
      </c>
      <c r="E94" s="1">
        <v>2.8000000000000001E-2</v>
      </c>
      <c r="F94" s="1">
        <v>-2.6080000000000001</v>
      </c>
      <c r="G94" s="1">
        <v>0.09</v>
      </c>
      <c r="H94" s="1" t="s">
        <v>136</v>
      </c>
      <c r="I94" s="1" t="s">
        <v>144</v>
      </c>
      <c r="AF94">
        <v>122</v>
      </c>
      <c r="AG94">
        <v>635</v>
      </c>
      <c r="AI94">
        <v>10.8</v>
      </c>
      <c r="AJ94">
        <v>3096</v>
      </c>
      <c r="AK94">
        <v>3010</v>
      </c>
      <c r="AL94">
        <v>2841</v>
      </c>
      <c r="AM94">
        <f t="shared" si="8"/>
        <v>54</v>
      </c>
    </row>
    <row r="95" spans="1:39" s="3" customFormat="1" x14ac:dyDescent="0.2"/>
    <row r="96" spans="1:39" x14ac:dyDescent="0.2">
      <c r="AE96" s="4">
        <v>42137</v>
      </c>
      <c r="AF96" t="s">
        <v>174</v>
      </c>
    </row>
    <row r="97" spans="1:39" x14ac:dyDescent="0.2">
      <c r="A97" s="1" t="s">
        <v>0</v>
      </c>
      <c r="B97" s="1" t="s">
        <v>1</v>
      </c>
      <c r="C97" s="1" t="s">
        <v>2</v>
      </c>
      <c r="D97" s="1" t="s">
        <v>4</v>
      </c>
      <c r="E97" s="1" t="s">
        <v>5</v>
      </c>
      <c r="F97" s="1" t="s">
        <v>7</v>
      </c>
      <c r="G97" s="1" t="s">
        <v>8</v>
      </c>
      <c r="H97" s="1" t="s">
        <v>9</v>
      </c>
      <c r="I97" s="1" t="s">
        <v>10</v>
      </c>
      <c r="L97" s="2" t="s">
        <v>248</v>
      </c>
    </row>
    <row r="98" spans="1:39" x14ac:dyDescent="0.2">
      <c r="A98" s="13" t="s">
        <v>145</v>
      </c>
      <c r="B98" s="1"/>
      <c r="C98" s="1"/>
      <c r="D98" s="1"/>
      <c r="E98" s="1"/>
      <c r="F98" s="1"/>
      <c r="G98" s="1"/>
      <c r="H98" s="1"/>
      <c r="I98" s="1"/>
    </row>
    <row r="99" spans="1:39" x14ac:dyDescent="0.2">
      <c r="A99" s="1">
        <v>10</v>
      </c>
      <c r="B99" s="1" t="s">
        <v>14</v>
      </c>
      <c r="C99" s="1" t="s">
        <v>134</v>
      </c>
      <c r="D99" s="1">
        <v>1.8240000000000001</v>
      </c>
      <c r="E99" s="1">
        <v>1.6E-2</v>
      </c>
      <c r="F99" s="1">
        <v>-2.2930000000000001</v>
      </c>
      <c r="G99" s="1">
        <v>2.5999999999999999E-2</v>
      </c>
      <c r="H99" s="1" t="s">
        <v>136</v>
      </c>
      <c r="I99" s="1" t="s">
        <v>146</v>
      </c>
      <c r="AF99">
        <v>98</v>
      </c>
      <c r="AG99">
        <v>689</v>
      </c>
      <c r="AH99">
        <v>7.1</v>
      </c>
      <c r="AI99">
        <v>14.2</v>
      </c>
      <c r="AJ99">
        <v>4090</v>
      </c>
      <c r="AK99">
        <v>3919</v>
      </c>
      <c r="AL99">
        <v>3700</v>
      </c>
      <c r="AM99">
        <f t="shared" ref="AM99" si="9">6*9</f>
        <v>54</v>
      </c>
    </row>
    <row r="100" spans="1:39" x14ac:dyDescent="0.2">
      <c r="A100" s="1"/>
      <c r="B100" s="1"/>
      <c r="C100" s="1"/>
      <c r="D100" s="1"/>
      <c r="E100" s="1"/>
      <c r="F100" s="1"/>
      <c r="G100" s="1"/>
      <c r="H100" s="1"/>
      <c r="I100" s="1"/>
    </row>
    <row r="101" spans="1:39" x14ac:dyDescent="0.2">
      <c r="A101" s="13" t="s">
        <v>155</v>
      </c>
      <c r="B101" s="1"/>
      <c r="C101" s="1"/>
      <c r="D101" s="1"/>
      <c r="E101" s="1"/>
      <c r="F101" s="1"/>
      <c r="G101" s="1"/>
      <c r="H101" s="1"/>
      <c r="I101" s="1"/>
    </row>
    <row r="102" spans="1:39" x14ac:dyDescent="0.2">
      <c r="A102" s="1">
        <v>11</v>
      </c>
      <c r="B102" s="1" t="s">
        <v>16</v>
      </c>
      <c r="C102" s="1" t="s">
        <v>147</v>
      </c>
      <c r="D102" s="1">
        <v>1.831</v>
      </c>
      <c r="E102" s="1">
        <v>8.9999999999999993E-3</v>
      </c>
      <c r="F102" s="1">
        <v>-2.2879999999999998</v>
      </c>
      <c r="G102" s="1">
        <v>2.5000000000000001E-2</v>
      </c>
      <c r="H102" s="1" t="s">
        <v>148</v>
      </c>
      <c r="I102" s="1" t="s">
        <v>149</v>
      </c>
      <c r="AF102">
        <v>234</v>
      </c>
      <c r="AG102">
        <v>604</v>
      </c>
      <c r="AI102">
        <v>13.5</v>
      </c>
      <c r="AJ102">
        <v>2672</v>
      </c>
      <c r="AK102">
        <v>2519</v>
      </c>
      <c r="AL102">
        <v>2380</v>
      </c>
      <c r="AM102">
        <f t="shared" ref="AM102:AM107" si="10">6*9</f>
        <v>54</v>
      </c>
    </row>
    <row r="103" spans="1:39" x14ac:dyDescent="0.2">
      <c r="A103" s="1">
        <v>12</v>
      </c>
      <c r="B103" s="1" t="s">
        <v>18</v>
      </c>
      <c r="C103" s="1" t="s">
        <v>147</v>
      </c>
      <c r="D103" s="1">
        <v>1.839</v>
      </c>
      <c r="E103" s="1">
        <v>1.4999999999999999E-2</v>
      </c>
      <c r="F103" s="1">
        <v>-2.2949999999999999</v>
      </c>
      <c r="G103" s="1">
        <v>2.1000000000000001E-2</v>
      </c>
      <c r="H103" s="1" t="s">
        <v>148</v>
      </c>
      <c r="I103" s="1" t="s">
        <v>150</v>
      </c>
      <c r="AF103">
        <v>215</v>
      </c>
      <c r="AG103">
        <v>640</v>
      </c>
      <c r="AI103">
        <v>13.2</v>
      </c>
      <c r="AJ103">
        <v>2761</v>
      </c>
      <c r="AK103">
        <v>2613</v>
      </c>
      <c r="AL103">
        <v>2468</v>
      </c>
      <c r="AM103">
        <f t="shared" si="10"/>
        <v>54</v>
      </c>
    </row>
    <row r="104" spans="1:39" x14ac:dyDescent="0.2">
      <c r="A104" s="1">
        <v>14</v>
      </c>
      <c r="B104" s="1" t="s">
        <v>22</v>
      </c>
      <c r="C104" s="1" t="s">
        <v>147</v>
      </c>
      <c r="D104" s="1">
        <v>1.8140000000000001</v>
      </c>
      <c r="E104" s="1">
        <v>8.0000000000000002E-3</v>
      </c>
      <c r="F104" s="1">
        <v>-2.347</v>
      </c>
      <c r="G104" s="1">
        <v>2.7E-2</v>
      </c>
      <c r="H104" s="1" t="s">
        <v>55</v>
      </c>
      <c r="I104" s="1" t="s">
        <v>151</v>
      </c>
      <c r="AF104">
        <v>449</v>
      </c>
      <c r="AG104">
        <v>655</v>
      </c>
      <c r="AI104">
        <v>12.5</v>
      </c>
      <c r="AJ104">
        <v>3662</v>
      </c>
      <c r="AK104">
        <v>3526</v>
      </c>
      <c r="AL104">
        <v>3329</v>
      </c>
      <c r="AM104">
        <f t="shared" si="10"/>
        <v>54</v>
      </c>
    </row>
    <row r="105" spans="1:39" x14ac:dyDescent="0.2">
      <c r="A105" s="1">
        <v>15</v>
      </c>
      <c r="B105" s="1" t="s">
        <v>24</v>
      </c>
      <c r="C105" s="1" t="s">
        <v>147</v>
      </c>
      <c r="D105" s="1">
        <v>1.8280000000000001</v>
      </c>
      <c r="E105" s="1">
        <v>2.4E-2</v>
      </c>
      <c r="F105" s="1">
        <v>-2.2309999999999999</v>
      </c>
      <c r="G105" s="1">
        <v>2.7E-2</v>
      </c>
      <c r="H105" s="1" t="s">
        <v>55</v>
      </c>
      <c r="I105" s="1" t="s">
        <v>152</v>
      </c>
      <c r="AF105">
        <v>171</v>
      </c>
      <c r="AG105">
        <v>645</v>
      </c>
      <c r="AI105">
        <v>12.1</v>
      </c>
      <c r="AJ105">
        <v>3629</v>
      </c>
      <c r="AK105">
        <v>3530</v>
      </c>
      <c r="AL105">
        <v>3339</v>
      </c>
      <c r="AM105">
        <f t="shared" si="10"/>
        <v>54</v>
      </c>
    </row>
    <row r="106" spans="1:39" x14ac:dyDescent="0.2">
      <c r="A106" s="1">
        <v>16</v>
      </c>
      <c r="B106" s="1" t="s">
        <v>26</v>
      </c>
      <c r="C106" s="1" t="s">
        <v>147</v>
      </c>
      <c r="D106" s="1">
        <v>1.8049999999999999</v>
      </c>
      <c r="E106" s="1">
        <v>2.4E-2</v>
      </c>
      <c r="F106" s="1">
        <v>-2.35</v>
      </c>
      <c r="G106" s="1">
        <v>3.4000000000000002E-2</v>
      </c>
      <c r="H106" s="1" t="s">
        <v>55</v>
      </c>
      <c r="I106" s="1" t="s">
        <v>153</v>
      </c>
      <c r="AF106">
        <v>181</v>
      </c>
      <c r="AG106">
        <v>667</v>
      </c>
      <c r="AI106">
        <v>11.6</v>
      </c>
      <c r="AJ106">
        <v>3554</v>
      </c>
      <c r="AK106">
        <v>3454</v>
      </c>
      <c r="AL106">
        <v>3263</v>
      </c>
      <c r="AM106">
        <f t="shared" si="10"/>
        <v>54</v>
      </c>
    </row>
    <row r="107" spans="1:39" x14ac:dyDescent="0.2">
      <c r="A107" s="1">
        <v>17</v>
      </c>
      <c r="B107" s="1" t="s">
        <v>28</v>
      </c>
      <c r="C107" s="1" t="s">
        <v>147</v>
      </c>
      <c r="D107" s="1">
        <v>1.915</v>
      </c>
      <c r="E107" s="1">
        <v>6.0999999999999999E-2</v>
      </c>
      <c r="F107" s="1">
        <v>-2.7120000000000002</v>
      </c>
      <c r="G107" s="1">
        <v>0.16500000000000001</v>
      </c>
      <c r="H107" s="1" t="s">
        <v>55</v>
      </c>
      <c r="I107" s="1" t="s">
        <v>154</v>
      </c>
      <c r="AF107">
        <v>410</v>
      </c>
      <c r="AG107">
        <v>413</v>
      </c>
      <c r="AH107">
        <v>7.1</v>
      </c>
      <c r="AI107">
        <v>14.2</v>
      </c>
      <c r="AJ107">
        <v>982</v>
      </c>
      <c r="AK107">
        <v>943</v>
      </c>
      <c r="AL107">
        <v>1109</v>
      </c>
      <c r="AM107">
        <f t="shared" si="10"/>
        <v>54</v>
      </c>
    </row>
    <row r="108" spans="1:39" s="3" customFormat="1" x14ac:dyDescent="0.2"/>
    <row r="109" spans="1:39" x14ac:dyDescent="0.2">
      <c r="AE109" s="4">
        <v>42138</v>
      </c>
      <c r="AF109" s="11" t="s">
        <v>174</v>
      </c>
    </row>
    <row r="110" spans="1:39" x14ac:dyDescent="0.2">
      <c r="A110" s="1" t="s">
        <v>0</v>
      </c>
      <c r="B110" s="1" t="s">
        <v>1</v>
      </c>
      <c r="C110" s="1" t="s">
        <v>132</v>
      </c>
      <c r="D110" s="1" t="s">
        <v>4</v>
      </c>
      <c r="E110" s="1" t="s">
        <v>5</v>
      </c>
      <c r="F110" s="1" t="s">
        <v>7</v>
      </c>
      <c r="G110" s="1" t="s">
        <v>8</v>
      </c>
      <c r="H110" s="1" t="s">
        <v>9</v>
      </c>
      <c r="I110" s="1" t="s">
        <v>10</v>
      </c>
    </row>
    <row r="111" spans="1:39" s="16" customFormat="1" x14ac:dyDescent="0.2">
      <c r="A111" s="18" t="s">
        <v>53</v>
      </c>
      <c r="B111" s="15"/>
      <c r="C111" s="15"/>
      <c r="D111" s="15"/>
      <c r="E111" s="15"/>
      <c r="F111" s="15"/>
      <c r="G111" s="15"/>
      <c r="H111" s="15"/>
      <c r="I111" s="15"/>
    </row>
    <row r="112" spans="1:39" x14ac:dyDescent="0.2">
      <c r="A112" s="1">
        <v>19</v>
      </c>
      <c r="B112" s="1" t="s">
        <v>32</v>
      </c>
      <c r="C112" s="1" t="s">
        <v>133</v>
      </c>
      <c r="D112" s="1">
        <v>4.0209999999999999</v>
      </c>
      <c r="E112" s="1">
        <v>3.1E-2</v>
      </c>
      <c r="F112" s="1">
        <v>1.123</v>
      </c>
      <c r="G112" s="1">
        <v>1.7999999999999999E-2</v>
      </c>
      <c r="H112" s="1" t="s">
        <v>158</v>
      </c>
      <c r="I112" s="1" t="s">
        <v>169</v>
      </c>
      <c r="AF112">
        <v>444</v>
      </c>
      <c r="AG112">
        <v>543</v>
      </c>
      <c r="AI112">
        <v>7</v>
      </c>
      <c r="AJ112">
        <v>1600</v>
      </c>
      <c r="AK112">
        <v>1500</v>
      </c>
      <c r="AL112">
        <v>1416</v>
      </c>
      <c r="AM112">
        <f>4*9</f>
        <v>36</v>
      </c>
    </row>
    <row r="113" spans="1:39" x14ac:dyDescent="0.2">
      <c r="A113" s="1"/>
      <c r="B113" s="1"/>
      <c r="C113" s="1"/>
      <c r="D113" s="1"/>
      <c r="E113" s="1"/>
      <c r="F113" s="1"/>
      <c r="G113" s="1"/>
      <c r="H113" s="1"/>
      <c r="I113" s="1"/>
    </row>
    <row r="114" spans="1:39" s="16" customFormat="1" x14ac:dyDescent="0.2">
      <c r="A114" s="18" t="s">
        <v>173</v>
      </c>
      <c r="B114" s="15"/>
      <c r="C114" s="15"/>
      <c r="D114" s="15"/>
      <c r="E114" s="15"/>
      <c r="F114" s="15"/>
      <c r="G114" s="15"/>
      <c r="H114" s="15"/>
      <c r="I114" s="15"/>
    </row>
    <row r="115" spans="1:39" x14ac:dyDescent="0.2">
      <c r="A115" s="1">
        <v>1</v>
      </c>
      <c r="B115" s="1" t="s">
        <v>11</v>
      </c>
      <c r="C115" s="1" t="s">
        <v>135</v>
      </c>
      <c r="D115" s="1">
        <v>1.8480000000000001</v>
      </c>
      <c r="E115" s="1">
        <v>2.1000000000000001E-2</v>
      </c>
      <c r="F115" s="1">
        <v>-2.2789999999999999</v>
      </c>
      <c r="G115" s="1">
        <v>0.03</v>
      </c>
      <c r="H115" s="1" t="s">
        <v>158</v>
      </c>
      <c r="I115" s="1" t="s">
        <v>170</v>
      </c>
      <c r="AF115">
        <v>611</v>
      </c>
      <c r="AG115">
        <v>670</v>
      </c>
      <c r="AI115">
        <v>13.7</v>
      </c>
      <c r="AJ115">
        <v>3209</v>
      </c>
      <c r="AK115">
        <v>3103</v>
      </c>
      <c r="AL115">
        <v>2930</v>
      </c>
      <c r="AM115">
        <f>6*9</f>
        <v>54</v>
      </c>
    </row>
    <row r="116" spans="1:39" x14ac:dyDescent="0.2">
      <c r="A116" s="1">
        <v>2</v>
      </c>
      <c r="B116" s="1" t="s">
        <v>34</v>
      </c>
      <c r="C116" s="1" t="s">
        <v>135</v>
      </c>
      <c r="D116" s="1">
        <v>1.833</v>
      </c>
      <c r="E116" s="1">
        <v>1.0999999999999999E-2</v>
      </c>
      <c r="F116" s="1">
        <v>-2.367</v>
      </c>
      <c r="G116" s="1">
        <v>2.8000000000000001E-2</v>
      </c>
      <c r="H116" s="1" t="s">
        <v>158</v>
      </c>
      <c r="I116" s="1" t="s">
        <v>171</v>
      </c>
      <c r="AF116">
        <v>63</v>
      </c>
      <c r="AG116">
        <v>589</v>
      </c>
      <c r="AI116">
        <v>12.6</v>
      </c>
      <c r="AJ116">
        <v>2731</v>
      </c>
      <c r="AK116">
        <v>2602</v>
      </c>
      <c r="AL116">
        <v>2458</v>
      </c>
      <c r="AM116">
        <f t="shared" ref="AM116:AM117" si="11">6*9</f>
        <v>54</v>
      </c>
    </row>
    <row r="117" spans="1:39" x14ac:dyDescent="0.2">
      <c r="A117" s="1">
        <v>3</v>
      </c>
      <c r="B117" s="1" t="s">
        <v>38</v>
      </c>
      <c r="C117" s="1" t="s">
        <v>135</v>
      </c>
      <c r="D117" s="1">
        <v>-27.681999999999999</v>
      </c>
      <c r="E117" s="1">
        <v>1.1599999999999999</v>
      </c>
      <c r="F117" s="1">
        <v>-14.964</v>
      </c>
      <c r="G117" s="1">
        <v>1.01</v>
      </c>
      <c r="H117" s="1" t="s">
        <v>158</v>
      </c>
      <c r="I117" s="1" t="s">
        <v>172</v>
      </c>
      <c r="AF117">
        <v>904</v>
      </c>
      <c r="AG117">
        <v>25</v>
      </c>
      <c r="AI117">
        <v>11.7</v>
      </c>
      <c r="AJ117">
        <v>8</v>
      </c>
      <c r="AK117">
        <v>10</v>
      </c>
      <c r="AL117">
        <v>914</v>
      </c>
      <c r="AM117">
        <f t="shared" si="11"/>
        <v>54</v>
      </c>
    </row>
    <row r="118" spans="1:39" s="3" customFormat="1" x14ac:dyDescent="0.2"/>
  </sheetData>
  <pageMargins left="0.7" right="0.7" top="0.75" bottom="0.75" header="0.3" footer="0.3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95"/>
  <sheetViews>
    <sheetView topLeftCell="A85" workbookViewId="0">
      <selection activeCell="F58" sqref="F58"/>
    </sheetView>
  </sheetViews>
  <sheetFormatPr defaultColWidth="8.7109375" defaultRowHeight="12.75" x14ac:dyDescent="0.2"/>
  <cols>
    <col min="2" max="2" width="11.140625" customWidth="1"/>
  </cols>
  <sheetData>
    <row r="1" spans="1:41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AB1" s="4"/>
      <c r="AE1" s="4"/>
    </row>
    <row r="2" spans="1:41" x14ac:dyDescent="0.2">
      <c r="A2" s="19" t="s">
        <v>124</v>
      </c>
      <c r="B2" s="20"/>
      <c r="C2" s="20"/>
      <c r="D2" s="20">
        <v>1.95</v>
      </c>
      <c r="E2" s="20"/>
      <c r="F2" s="20">
        <v>-2.2000000000000002</v>
      </c>
      <c r="G2" s="20"/>
      <c r="H2" s="21"/>
      <c r="I2" s="21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3"/>
      <c r="AC2" s="22"/>
      <c r="AD2" s="22"/>
      <c r="AE2" s="23"/>
      <c r="AF2" s="22"/>
      <c r="AG2" s="22"/>
      <c r="AH2" s="22"/>
      <c r="AI2" s="22"/>
      <c r="AJ2" s="22"/>
      <c r="AK2" s="22"/>
      <c r="AL2" s="22"/>
      <c r="AM2" s="22"/>
      <c r="AN2" s="22"/>
      <c r="AO2" s="22"/>
    </row>
    <row r="3" spans="1:41" x14ac:dyDescent="0.2">
      <c r="A3" s="19" t="s">
        <v>124</v>
      </c>
      <c r="B3" s="20"/>
      <c r="C3" s="20"/>
      <c r="D3" s="20">
        <v>1.95</v>
      </c>
      <c r="E3" s="20"/>
      <c r="F3" s="20">
        <v>-2.2000000000000002</v>
      </c>
      <c r="G3" s="20"/>
      <c r="H3" s="21"/>
      <c r="I3" s="21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3"/>
      <c r="AC3" s="22"/>
      <c r="AD3" s="22"/>
      <c r="AE3" s="23"/>
      <c r="AF3" s="22"/>
      <c r="AG3" s="22"/>
      <c r="AH3" s="22"/>
      <c r="AI3" s="22"/>
      <c r="AJ3" s="22"/>
      <c r="AK3" s="22"/>
      <c r="AL3" s="22"/>
      <c r="AM3" s="22"/>
      <c r="AN3" s="22"/>
      <c r="AO3" s="22"/>
    </row>
    <row r="4" spans="1:41" x14ac:dyDescent="0.2">
      <c r="A4" s="1"/>
      <c r="B4" s="1"/>
      <c r="C4" s="1"/>
      <c r="D4" s="2" t="s">
        <v>90</v>
      </c>
      <c r="E4" s="2" t="s">
        <v>91</v>
      </c>
      <c r="F4" s="2" t="s">
        <v>90</v>
      </c>
      <c r="G4" s="2" t="s">
        <v>91</v>
      </c>
      <c r="H4" s="1"/>
      <c r="I4" s="1"/>
    </row>
    <row r="5" spans="1:41" x14ac:dyDescent="0.2">
      <c r="A5" s="1"/>
      <c r="B5" s="1"/>
      <c r="C5" s="1"/>
      <c r="D5" s="2"/>
      <c r="E5" s="2"/>
      <c r="F5" s="2"/>
      <c r="G5" s="2"/>
      <c r="H5" s="1"/>
      <c r="I5" s="1"/>
    </row>
    <row r="6" spans="1:41" x14ac:dyDescent="0.2">
      <c r="A6" s="1" t="s">
        <v>190</v>
      </c>
      <c r="B6" s="1"/>
      <c r="C6" s="1"/>
      <c r="D6" s="2"/>
      <c r="E6" s="2"/>
      <c r="F6" s="2"/>
      <c r="G6" s="2"/>
      <c r="H6" s="1"/>
      <c r="I6" s="1"/>
    </row>
    <row r="7" spans="1:41" x14ac:dyDescent="0.2">
      <c r="A7" s="1" t="s">
        <v>193</v>
      </c>
      <c r="B7" s="1" t="s">
        <v>191</v>
      </c>
      <c r="C7" s="1"/>
      <c r="D7" s="2" t="s">
        <v>191</v>
      </c>
      <c r="E7" s="2" t="s">
        <v>192</v>
      </c>
      <c r="F7" s="2"/>
      <c r="G7" s="2"/>
      <c r="H7" s="1"/>
      <c r="I7" s="1"/>
    </row>
    <row r="8" spans="1:41" x14ac:dyDescent="0.2">
      <c r="A8" s="1">
        <v>2</v>
      </c>
      <c r="B8" s="1">
        <v>140</v>
      </c>
      <c r="C8" s="1"/>
      <c r="D8" s="2">
        <v>100</v>
      </c>
      <c r="E8" s="2">
        <v>0</v>
      </c>
      <c r="F8" s="2"/>
      <c r="G8" s="2"/>
      <c r="H8" s="1"/>
      <c r="I8" s="1"/>
    </row>
    <row r="9" spans="1:41" x14ac:dyDescent="0.2">
      <c r="A9" s="1">
        <v>10</v>
      </c>
      <c r="B9" s="1">
        <v>490</v>
      </c>
      <c r="C9" s="1"/>
      <c r="D9" s="2">
        <v>300</v>
      </c>
      <c r="E9" s="2">
        <v>900</v>
      </c>
      <c r="F9" s="2"/>
      <c r="G9" s="2"/>
      <c r="H9" s="1"/>
      <c r="I9" s="1"/>
    </row>
    <row r="10" spans="1:41" x14ac:dyDescent="0.2">
      <c r="A10" s="1">
        <v>20</v>
      </c>
      <c r="B10" s="1">
        <v>675</v>
      </c>
      <c r="C10" s="1"/>
      <c r="D10" s="2">
        <v>200</v>
      </c>
      <c r="E10" s="2">
        <v>440</v>
      </c>
      <c r="F10" s="2"/>
      <c r="G10" s="2"/>
      <c r="H10" s="1"/>
      <c r="I10" s="1"/>
    </row>
    <row r="11" spans="1:41" x14ac:dyDescent="0.2">
      <c r="A11" s="1">
        <v>30</v>
      </c>
      <c r="B11" s="1">
        <v>760</v>
      </c>
      <c r="C11" s="1"/>
      <c r="D11" s="2">
        <v>400</v>
      </c>
      <c r="E11" s="2">
        <v>1600</v>
      </c>
      <c r="F11" s="2"/>
      <c r="G11" s="2"/>
      <c r="H11" s="1"/>
      <c r="I11" s="1"/>
    </row>
    <row r="12" spans="1:41" x14ac:dyDescent="0.2">
      <c r="A12" s="1">
        <v>40</v>
      </c>
      <c r="B12" s="1">
        <v>840</v>
      </c>
      <c r="C12" s="1"/>
      <c r="D12" s="2">
        <v>500</v>
      </c>
      <c r="E12" s="2">
        <v>2400</v>
      </c>
      <c r="F12" s="2"/>
      <c r="G12" s="2"/>
      <c r="H12" s="1"/>
      <c r="I12" s="1"/>
    </row>
    <row r="13" spans="1:41" x14ac:dyDescent="0.2">
      <c r="A13" s="1">
        <v>50</v>
      </c>
      <c r="B13" s="1">
        <v>900</v>
      </c>
      <c r="C13" s="1"/>
      <c r="D13" s="2">
        <v>600</v>
      </c>
      <c r="E13" s="2">
        <v>3400</v>
      </c>
      <c r="F13" s="2"/>
      <c r="G13" s="2"/>
      <c r="H13" s="1"/>
      <c r="I13" s="1"/>
    </row>
    <row r="14" spans="1:41" x14ac:dyDescent="0.2">
      <c r="A14" s="1">
        <v>60</v>
      </c>
      <c r="B14" s="1">
        <v>950</v>
      </c>
      <c r="C14" s="1"/>
      <c r="D14" s="2">
        <v>700</v>
      </c>
      <c r="E14" s="2">
        <v>4500</v>
      </c>
      <c r="F14" s="2"/>
      <c r="G14" s="2"/>
      <c r="H14" s="1"/>
      <c r="I14" s="1"/>
    </row>
    <row r="15" spans="1:41" x14ac:dyDescent="0.2">
      <c r="A15" s="1"/>
      <c r="B15" s="1"/>
      <c r="C15" s="1"/>
      <c r="D15" s="2">
        <v>800</v>
      </c>
      <c r="E15" s="2">
        <v>5800</v>
      </c>
      <c r="F15" s="2"/>
      <c r="G15" s="2"/>
      <c r="H15" s="1"/>
      <c r="I15" s="1"/>
    </row>
    <row r="16" spans="1:41" x14ac:dyDescent="0.2">
      <c r="A16" s="1"/>
      <c r="B16" s="1"/>
      <c r="C16" s="1"/>
      <c r="D16" s="2">
        <v>900</v>
      </c>
      <c r="E16" s="2">
        <v>7000</v>
      </c>
      <c r="F16" s="2"/>
      <c r="G16" s="2"/>
      <c r="H16" s="1"/>
      <c r="I16" s="1"/>
    </row>
    <row r="17" spans="1:41" x14ac:dyDescent="0.2">
      <c r="A17" s="1"/>
      <c r="B17" s="1"/>
      <c r="C17" s="1"/>
      <c r="D17" s="2">
        <v>950</v>
      </c>
      <c r="E17" s="2">
        <v>8000</v>
      </c>
      <c r="F17" s="2"/>
      <c r="G17" s="2"/>
      <c r="H17" s="1"/>
      <c r="I17" s="1"/>
    </row>
    <row r="18" spans="1:41" x14ac:dyDescent="0.2">
      <c r="A18" s="1"/>
      <c r="B18" s="1"/>
      <c r="C18" s="1"/>
      <c r="D18" s="2"/>
      <c r="E18" s="2"/>
      <c r="F18" s="2"/>
      <c r="G18" s="2"/>
      <c r="H18" s="1"/>
      <c r="I18" s="1"/>
    </row>
    <row r="19" spans="1:41" x14ac:dyDescent="0.2">
      <c r="A19" s="1"/>
      <c r="B19" s="1"/>
      <c r="C19" s="1"/>
      <c r="D19" s="2"/>
      <c r="E19" s="2"/>
      <c r="F19" s="2"/>
      <c r="G19" s="2"/>
      <c r="H19" s="1"/>
      <c r="I19" s="1"/>
      <c r="AF19" t="s">
        <v>92</v>
      </c>
      <c r="AG19" t="s">
        <v>93</v>
      </c>
      <c r="AH19" t="s">
        <v>94</v>
      </c>
      <c r="AI19" t="s">
        <v>95</v>
      </c>
      <c r="AJ19" t="s">
        <v>96</v>
      </c>
      <c r="AK19" t="s">
        <v>97</v>
      </c>
      <c r="AL19" t="s">
        <v>98</v>
      </c>
      <c r="AM19" t="s">
        <v>123</v>
      </c>
    </row>
    <row r="20" spans="1:41" x14ac:dyDescent="0.2">
      <c r="A20" s="1" t="s">
        <v>0</v>
      </c>
      <c r="B20" s="1" t="s">
        <v>1</v>
      </c>
      <c r="C20" s="1" t="s">
        <v>132</v>
      </c>
      <c r="D20" s="1" t="s">
        <v>4</v>
      </c>
      <c r="E20" s="1" t="s">
        <v>5</v>
      </c>
      <c r="F20" s="1" t="s">
        <v>7</v>
      </c>
      <c r="G20" s="1" t="s">
        <v>8</v>
      </c>
      <c r="H20" s="1" t="s">
        <v>9</v>
      </c>
      <c r="I20" s="1" t="s">
        <v>10</v>
      </c>
      <c r="AC20" s="4">
        <v>42143</v>
      </c>
      <c r="AD20" t="s">
        <v>174</v>
      </c>
    </row>
    <row r="21" spans="1:41" x14ac:dyDescent="0.2">
      <c r="A21" s="1">
        <v>3</v>
      </c>
      <c r="B21" s="1" t="s">
        <v>38</v>
      </c>
      <c r="C21" s="1" t="s">
        <v>135</v>
      </c>
      <c r="D21" s="1">
        <v>1.196</v>
      </c>
      <c r="E21" s="1">
        <v>0</v>
      </c>
      <c r="F21" s="1">
        <v>-1.212</v>
      </c>
      <c r="G21" s="1">
        <v>0</v>
      </c>
      <c r="H21" s="1" t="s">
        <v>158</v>
      </c>
      <c r="I21" s="1" t="s">
        <v>175</v>
      </c>
      <c r="AF21">
        <v>200</v>
      </c>
      <c r="AG21">
        <v>335</v>
      </c>
      <c r="AH21">
        <v>7</v>
      </c>
      <c r="AI21">
        <v>14.2</v>
      </c>
      <c r="AJ21">
        <v>5574</v>
      </c>
      <c r="AM21">
        <f>6*9</f>
        <v>54</v>
      </c>
    </row>
    <row r="22" spans="1:41" x14ac:dyDescent="0.2">
      <c r="A22" s="1">
        <v>5</v>
      </c>
      <c r="B22" s="1" t="s">
        <v>42</v>
      </c>
      <c r="C22" s="1" t="s">
        <v>135</v>
      </c>
      <c r="D22" s="1">
        <v>1.095</v>
      </c>
      <c r="E22" s="1">
        <v>5.0000000000000001E-3</v>
      </c>
      <c r="F22" s="1">
        <v>-2.4660000000000002</v>
      </c>
      <c r="G22" s="1">
        <v>0.123</v>
      </c>
      <c r="H22" s="1" t="s">
        <v>158</v>
      </c>
      <c r="I22" s="1" t="s">
        <v>176</v>
      </c>
      <c r="AF22">
        <v>595</v>
      </c>
      <c r="AG22">
        <v>845</v>
      </c>
      <c r="AI22">
        <v>13.6</v>
      </c>
      <c r="AJ22">
        <v>6131</v>
      </c>
      <c r="AM22">
        <f t="shared" ref="AM22:AM23" si="0">6*9</f>
        <v>54</v>
      </c>
    </row>
    <row r="23" spans="1:41" x14ac:dyDescent="0.2">
      <c r="A23" s="1">
        <v>6</v>
      </c>
      <c r="B23" s="1" t="s">
        <v>44</v>
      </c>
      <c r="C23" s="1" t="s">
        <v>135</v>
      </c>
      <c r="D23" s="1">
        <v>2.08</v>
      </c>
      <c r="E23" s="1">
        <v>1.2999999999999999E-2</v>
      </c>
      <c r="F23" s="1">
        <v>-2.4009999999999998</v>
      </c>
      <c r="G23" s="1">
        <v>0.05</v>
      </c>
      <c r="H23" s="1" t="s">
        <v>158</v>
      </c>
      <c r="I23" s="1" t="s">
        <v>177</v>
      </c>
      <c r="AF23">
        <v>191</v>
      </c>
      <c r="AG23">
        <v>884</v>
      </c>
      <c r="AI23">
        <v>13.4</v>
      </c>
      <c r="AJ23">
        <v>6498</v>
      </c>
      <c r="AK23">
        <v>5969</v>
      </c>
      <c r="AL23">
        <v>5580</v>
      </c>
      <c r="AM23">
        <f t="shared" si="0"/>
        <v>54</v>
      </c>
    </row>
    <row r="26" spans="1:41" x14ac:dyDescent="0.2">
      <c r="A26" s="1" t="s">
        <v>0</v>
      </c>
      <c r="B26" s="1" t="s">
        <v>1</v>
      </c>
      <c r="C26" s="1" t="s">
        <v>132</v>
      </c>
      <c r="D26" s="1" t="s">
        <v>4</v>
      </c>
      <c r="E26" s="1" t="s">
        <v>5</v>
      </c>
      <c r="F26" s="1" t="s">
        <v>7</v>
      </c>
      <c r="G26" s="1" t="s">
        <v>8</v>
      </c>
      <c r="H26" s="1" t="s">
        <v>9</v>
      </c>
      <c r="I26" s="1" t="s">
        <v>10</v>
      </c>
      <c r="AC26" s="4">
        <v>42144</v>
      </c>
    </row>
    <row r="27" spans="1:41" x14ac:dyDescent="0.2">
      <c r="A27" s="1">
        <v>10</v>
      </c>
      <c r="B27" s="1" t="s">
        <v>14</v>
      </c>
      <c r="C27" s="1" t="s">
        <v>178</v>
      </c>
      <c r="D27" s="1">
        <v>1.6919999999999999</v>
      </c>
      <c r="E27" s="1">
        <v>1.7999999999999999E-2</v>
      </c>
      <c r="F27" s="1">
        <v>-4.7610000000000001</v>
      </c>
      <c r="G27" s="1">
        <v>0.26900000000000002</v>
      </c>
      <c r="H27" s="1" t="s">
        <v>158</v>
      </c>
      <c r="I27" s="1" t="s">
        <v>179</v>
      </c>
      <c r="AF27">
        <v>389</v>
      </c>
      <c r="AG27">
        <v>352</v>
      </c>
      <c r="AI27">
        <v>12.6</v>
      </c>
      <c r="AJ27">
        <v>911</v>
      </c>
      <c r="AK27">
        <v>868</v>
      </c>
      <c r="AL27">
        <v>1040</v>
      </c>
      <c r="AM27">
        <f>1*9</f>
        <v>9</v>
      </c>
      <c r="AO27" s="1"/>
    </row>
    <row r="28" spans="1:41" x14ac:dyDescent="0.2">
      <c r="A28" s="1">
        <v>11</v>
      </c>
      <c r="B28" s="1" t="s">
        <v>16</v>
      </c>
      <c r="C28" s="1" t="s">
        <v>178</v>
      </c>
      <c r="D28" s="1">
        <v>2.5499999999999998</v>
      </c>
      <c r="E28" s="1">
        <v>3.5000000000000003E-2</v>
      </c>
      <c r="F28" s="1">
        <v>-7.0430000000000001</v>
      </c>
      <c r="G28" s="1">
        <v>0.24199999999999999</v>
      </c>
      <c r="H28" s="1" t="s">
        <v>158</v>
      </c>
      <c r="I28" s="1" t="s">
        <v>180</v>
      </c>
      <c r="AF28">
        <v>467</v>
      </c>
      <c r="AG28">
        <v>420</v>
      </c>
      <c r="AH28">
        <v>7.2</v>
      </c>
      <c r="AI28">
        <v>14.5</v>
      </c>
      <c r="AJ28">
        <v>1396</v>
      </c>
      <c r="AK28">
        <v>1318</v>
      </c>
      <c r="AL28">
        <v>1240</v>
      </c>
      <c r="AM28">
        <f>1*9</f>
        <v>9</v>
      </c>
      <c r="AO28" s="1"/>
    </row>
    <row r="29" spans="1:41" x14ac:dyDescent="0.2">
      <c r="A29" s="1">
        <v>1</v>
      </c>
      <c r="B29" s="1" t="s">
        <v>11</v>
      </c>
      <c r="C29" s="1" t="s">
        <v>133</v>
      </c>
      <c r="D29" s="1">
        <v>2.1659999999999999</v>
      </c>
      <c r="E29" s="1">
        <v>1.6E-2</v>
      </c>
      <c r="F29" s="1">
        <v>-1.8440000000000001</v>
      </c>
      <c r="G29" s="1">
        <v>2.8000000000000001E-2</v>
      </c>
      <c r="H29" s="1" t="s">
        <v>158</v>
      </c>
      <c r="I29" s="1" t="s">
        <v>181</v>
      </c>
      <c r="AF29">
        <v>220</v>
      </c>
      <c r="AG29">
        <v>820</v>
      </c>
      <c r="AH29">
        <v>7.1</v>
      </c>
      <c r="AI29">
        <v>14.4</v>
      </c>
      <c r="AJ29">
        <v>4528</v>
      </c>
      <c r="AK29">
        <v>4185</v>
      </c>
      <c r="AL29">
        <v>3913</v>
      </c>
      <c r="AM29">
        <f>4*9</f>
        <v>36</v>
      </c>
      <c r="AO29" s="1"/>
    </row>
    <row r="30" spans="1:41" x14ac:dyDescent="0.2">
      <c r="A30" s="1">
        <v>2</v>
      </c>
      <c r="B30" s="1" t="s">
        <v>34</v>
      </c>
      <c r="C30" s="1" t="s">
        <v>133</v>
      </c>
      <c r="D30" s="1">
        <v>2.073</v>
      </c>
      <c r="E30" s="1">
        <v>1.7999999999999999E-2</v>
      </c>
      <c r="F30" s="1">
        <v>-3.0950000000000002</v>
      </c>
      <c r="G30" s="1">
        <v>4.7E-2</v>
      </c>
      <c r="H30" s="1" t="s">
        <v>158</v>
      </c>
      <c r="I30" s="1" t="s">
        <v>182</v>
      </c>
      <c r="AF30">
        <v>120</v>
      </c>
      <c r="AG30">
        <v>714</v>
      </c>
      <c r="AI30">
        <v>13.5</v>
      </c>
      <c r="AJ30">
        <v>3564</v>
      </c>
      <c r="AK30">
        <v>3288</v>
      </c>
      <c r="AL30">
        <v>3075</v>
      </c>
      <c r="AM30">
        <f t="shared" ref="AM30:AM36" si="1">4*9</f>
        <v>36</v>
      </c>
      <c r="AO30" s="1"/>
    </row>
    <row r="31" spans="1:41" x14ac:dyDescent="0.2">
      <c r="A31" s="1">
        <v>3</v>
      </c>
      <c r="B31" s="1" t="s">
        <v>38</v>
      </c>
      <c r="C31" s="1" t="s">
        <v>133</v>
      </c>
      <c r="D31" s="1">
        <v>2.1909999999999998</v>
      </c>
      <c r="E31" s="1">
        <v>2.5000000000000001E-2</v>
      </c>
      <c r="F31" s="1">
        <v>-1.726</v>
      </c>
      <c r="G31" s="1">
        <v>2.5000000000000001E-2</v>
      </c>
      <c r="H31" s="1" t="s">
        <v>158</v>
      </c>
      <c r="I31" s="1" t="s">
        <v>183</v>
      </c>
      <c r="AF31">
        <v>297</v>
      </c>
      <c r="AG31">
        <v>813</v>
      </c>
      <c r="AI31">
        <v>13.2</v>
      </c>
      <c r="AJ31">
        <v>4926</v>
      </c>
      <c r="AK31">
        <v>4553</v>
      </c>
      <c r="AL31">
        <v>4525</v>
      </c>
      <c r="AM31">
        <f t="shared" si="1"/>
        <v>36</v>
      </c>
      <c r="AO31" s="1"/>
    </row>
    <row r="32" spans="1:41" x14ac:dyDescent="0.2">
      <c r="A32" s="1">
        <v>4</v>
      </c>
      <c r="B32" s="1" t="s">
        <v>40</v>
      </c>
      <c r="C32" s="1" t="s">
        <v>133</v>
      </c>
      <c r="D32" s="1">
        <v>2.0529999999999999</v>
      </c>
      <c r="E32" s="1">
        <v>2.1999999999999999E-2</v>
      </c>
      <c r="F32" s="1">
        <v>-2.331</v>
      </c>
      <c r="G32" s="1">
        <v>2.9000000000000001E-2</v>
      </c>
      <c r="H32" s="1" t="s">
        <v>158</v>
      </c>
      <c r="I32" s="1" t="s">
        <v>184</v>
      </c>
      <c r="AF32">
        <v>135</v>
      </c>
      <c r="AG32">
        <v>866</v>
      </c>
      <c r="AI32">
        <v>12.6</v>
      </c>
      <c r="AJ32">
        <v>5536</v>
      </c>
      <c r="AK32">
        <v>5030</v>
      </c>
      <c r="AL32">
        <v>4702</v>
      </c>
      <c r="AM32">
        <f t="shared" si="1"/>
        <v>36</v>
      </c>
      <c r="AO32" s="1"/>
    </row>
    <row r="33" spans="1:41" x14ac:dyDescent="0.2">
      <c r="A33" s="1">
        <v>5</v>
      </c>
      <c r="B33" s="1" t="s">
        <v>42</v>
      </c>
      <c r="C33" s="1" t="s">
        <v>133</v>
      </c>
      <c r="D33" s="1">
        <v>2.11</v>
      </c>
      <c r="E33" s="1">
        <v>2.4E-2</v>
      </c>
      <c r="F33" s="1">
        <v>-3.1789999999999998</v>
      </c>
      <c r="G33" s="1">
        <v>8.3000000000000004E-2</v>
      </c>
      <c r="H33" s="1" t="s">
        <v>158</v>
      </c>
      <c r="I33" s="1" t="s">
        <v>185</v>
      </c>
      <c r="AF33">
        <v>276</v>
      </c>
      <c r="AG33">
        <v>823</v>
      </c>
      <c r="AI33">
        <v>12.3</v>
      </c>
      <c r="AJ33">
        <v>5235</v>
      </c>
      <c r="AK33">
        <v>4788</v>
      </c>
      <c r="AL33">
        <v>4473</v>
      </c>
      <c r="AM33">
        <f t="shared" si="1"/>
        <v>36</v>
      </c>
      <c r="AO33" s="1"/>
    </row>
    <row r="34" spans="1:41" x14ac:dyDescent="0.2">
      <c r="A34" s="1">
        <v>6</v>
      </c>
      <c r="B34" s="1" t="s">
        <v>44</v>
      </c>
      <c r="C34" s="1" t="s">
        <v>133</v>
      </c>
      <c r="D34" s="1">
        <v>2.359</v>
      </c>
      <c r="E34" s="1">
        <v>1.2E-2</v>
      </c>
      <c r="F34" s="1">
        <v>-1.498</v>
      </c>
      <c r="G34" s="1">
        <v>3.1E-2</v>
      </c>
      <c r="H34" s="1" t="s">
        <v>158</v>
      </c>
      <c r="I34" s="1" t="s">
        <v>186</v>
      </c>
      <c r="AF34">
        <v>333</v>
      </c>
      <c r="AG34">
        <v>791</v>
      </c>
      <c r="AH34">
        <v>7.1</v>
      </c>
      <c r="AI34">
        <v>14.5</v>
      </c>
      <c r="AJ34">
        <v>4657</v>
      </c>
      <c r="AK34">
        <v>4264</v>
      </c>
      <c r="AL34">
        <v>3984</v>
      </c>
      <c r="AM34">
        <f t="shared" si="1"/>
        <v>36</v>
      </c>
      <c r="AO34" s="1"/>
    </row>
    <row r="35" spans="1:41" x14ac:dyDescent="0.2">
      <c r="A35" s="1">
        <v>7</v>
      </c>
      <c r="B35" s="1" t="s">
        <v>46</v>
      </c>
      <c r="C35" s="1" t="s">
        <v>133</v>
      </c>
      <c r="D35" s="1">
        <v>2.0510000000000002</v>
      </c>
      <c r="E35" s="1">
        <v>2.1000000000000001E-2</v>
      </c>
      <c r="F35" s="1">
        <v>-2.347</v>
      </c>
      <c r="G35" s="1">
        <v>2.8000000000000001E-2</v>
      </c>
      <c r="H35" s="1" t="s">
        <v>158</v>
      </c>
      <c r="I35" s="1" t="s">
        <v>187</v>
      </c>
      <c r="AF35">
        <v>283</v>
      </c>
      <c r="AG35">
        <v>848</v>
      </c>
      <c r="AI35">
        <v>13.5</v>
      </c>
      <c r="AJ35">
        <v>4947</v>
      </c>
      <c r="AK35">
        <v>4502</v>
      </c>
      <c r="AL35">
        <v>4211</v>
      </c>
      <c r="AM35">
        <f t="shared" si="1"/>
        <v>36</v>
      </c>
      <c r="AO35" s="1"/>
    </row>
    <row r="36" spans="1:41" x14ac:dyDescent="0.2">
      <c r="A36" s="1">
        <v>8</v>
      </c>
      <c r="B36" s="1" t="s">
        <v>48</v>
      </c>
      <c r="C36" s="1" t="s">
        <v>133</v>
      </c>
      <c r="D36" s="1">
        <v>2.0739999999999998</v>
      </c>
      <c r="E36" s="1">
        <v>1.2999999999999999E-2</v>
      </c>
      <c r="F36" s="1">
        <v>-3.1480000000000001</v>
      </c>
      <c r="G36" s="1">
        <v>7.6999999999999999E-2</v>
      </c>
      <c r="H36" s="1" t="s">
        <v>158</v>
      </c>
      <c r="I36" s="1" t="s">
        <v>188</v>
      </c>
      <c r="AF36">
        <v>156</v>
      </c>
      <c r="AG36">
        <v>859</v>
      </c>
      <c r="AI36">
        <v>13.1</v>
      </c>
      <c r="AJ36">
        <v>5676</v>
      </c>
      <c r="AK36">
        <v>5163</v>
      </c>
      <c r="AL36">
        <v>4824</v>
      </c>
      <c r="AM36">
        <f t="shared" si="1"/>
        <v>36</v>
      </c>
      <c r="AO36" s="1"/>
    </row>
    <row r="37" spans="1:41" x14ac:dyDescent="0.2">
      <c r="A37" s="1">
        <v>9</v>
      </c>
      <c r="B37" s="1" t="s">
        <v>50</v>
      </c>
      <c r="C37" s="1" t="s">
        <v>178</v>
      </c>
      <c r="D37" s="1">
        <v>2.1389999999999998</v>
      </c>
      <c r="E37" s="1">
        <v>2.5000000000000001E-2</v>
      </c>
      <c r="F37" s="1">
        <v>-2.2530000000000001</v>
      </c>
      <c r="G37" s="1">
        <v>0.112</v>
      </c>
      <c r="H37" s="1" t="s">
        <v>158</v>
      </c>
      <c r="I37" s="1" t="s">
        <v>189</v>
      </c>
      <c r="AF37">
        <v>283</v>
      </c>
      <c r="AG37">
        <v>416</v>
      </c>
      <c r="AI37">
        <v>12.5</v>
      </c>
      <c r="AJ37">
        <v>1154</v>
      </c>
      <c r="AK37">
        <v>1098</v>
      </c>
      <c r="AL37">
        <v>1106</v>
      </c>
      <c r="AM37">
        <f>1*9</f>
        <v>9</v>
      </c>
      <c r="AO37" s="1"/>
    </row>
    <row r="38" spans="1:41" x14ac:dyDescent="0.2">
      <c r="A38" s="1">
        <v>12</v>
      </c>
      <c r="B38" s="1" t="s">
        <v>18</v>
      </c>
      <c r="C38" s="1" t="s">
        <v>178</v>
      </c>
      <c r="D38" s="1">
        <v>1.6619999999999999</v>
      </c>
      <c r="E38" s="1">
        <v>0.05</v>
      </c>
      <c r="F38" s="1">
        <v>-4.7140000000000004</v>
      </c>
      <c r="G38" s="1">
        <v>0.33600000000000002</v>
      </c>
      <c r="H38" s="1" t="s">
        <v>158</v>
      </c>
      <c r="I38" s="1" t="s">
        <v>194</v>
      </c>
      <c r="AF38">
        <v>142</v>
      </c>
      <c r="AG38">
        <v>349</v>
      </c>
      <c r="AI38">
        <v>14.1</v>
      </c>
      <c r="AJ38">
        <v>898</v>
      </c>
      <c r="AK38">
        <v>856</v>
      </c>
      <c r="AL38">
        <v>1174</v>
      </c>
      <c r="AM38">
        <f t="shared" ref="AM38" si="2">1*9</f>
        <v>9</v>
      </c>
      <c r="AO38" s="1"/>
    </row>
    <row r="39" spans="1:41" x14ac:dyDescent="0.2">
      <c r="A39" s="1">
        <v>13</v>
      </c>
      <c r="B39" s="1" t="s">
        <v>20</v>
      </c>
      <c r="C39" s="1" t="s">
        <v>157</v>
      </c>
      <c r="D39" s="1">
        <v>2.1360000000000001</v>
      </c>
      <c r="E39" s="1">
        <v>3.3000000000000002E-2</v>
      </c>
      <c r="F39" s="1">
        <v>-4.3849999999999998</v>
      </c>
      <c r="G39" s="1">
        <v>0.18099999999999999</v>
      </c>
      <c r="H39" s="1" t="s">
        <v>158</v>
      </c>
      <c r="I39" s="1" t="s">
        <v>195</v>
      </c>
      <c r="AF39">
        <v>255</v>
      </c>
      <c r="AG39">
        <v>604</v>
      </c>
      <c r="AI39">
        <v>14.1</v>
      </c>
      <c r="AJ39">
        <v>2447</v>
      </c>
      <c r="AK39">
        <v>2204</v>
      </c>
      <c r="AL39">
        <v>2060</v>
      </c>
      <c r="AM39">
        <f>2*9</f>
        <v>18</v>
      </c>
      <c r="AO39" s="1"/>
    </row>
    <row r="40" spans="1:41" x14ac:dyDescent="0.2">
      <c r="A40" s="1">
        <v>14</v>
      </c>
      <c r="B40" s="1" t="s">
        <v>22</v>
      </c>
      <c r="C40" s="1" t="s">
        <v>157</v>
      </c>
      <c r="D40" s="1">
        <v>2.1560000000000001</v>
      </c>
      <c r="E40" s="1">
        <v>1.4E-2</v>
      </c>
      <c r="F40" s="1">
        <v>-1.925</v>
      </c>
      <c r="G40" s="1">
        <v>0.115</v>
      </c>
      <c r="H40" s="1" t="s">
        <v>158</v>
      </c>
      <c r="I40" s="1" t="s">
        <v>196</v>
      </c>
      <c r="AF40">
        <v>135</v>
      </c>
      <c r="AG40">
        <v>565</v>
      </c>
      <c r="AI40">
        <v>13.7</v>
      </c>
      <c r="AJ40">
        <v>1987</v>
      </c>
      <c r="AK40">
        <v>1828</v>
      </c>
      <c r="AL40">
        <v>1711</v>
      </c>
      <c r="AM40">
        <f t="shared" ref="AM40:AM42" si="3">2*9</f>
        <v>18</v>
      </c>
      <c r="AO40" s="1"/>
    </row>
    <row r="41" spans="1:41" x14ac:dyDescent="0.2">
      <c r="A41" s="1">
        <v>15</v>
      </c>
      <c r="B41" s="1" t="s">
        <v>24</v>
      </c>
      <c r="C41" s="1" t="s">
        <v>157</v>
      </c>
      <c r="D41" s="1">
        <v>2.0609999999999999</v>
      </c>
      <c r="E41" s="1">
        <v>1.2E-2</v>
      </c>
      <c r="F41" s="1">
        <v>-2.9420000000000002</v>
      </c>
      <c r="G41" s="1">
        <v>0.161</v>
      </c>
      <c r="H41" s="1" t="s">
        <v>158</v>
      </c>
      <c r="I41" s="1" t="s">
        <v>197</v>
      </c>
      <c r="AF41">
        <v>276</v>
      </c>
      <c r="AG41">
        <v>533</v>
      </c>
      <c r="AI41">
        <v>13.5</v>
      </c>
      <c r="AJ41">
        <v>1686</v>
      </c>
      <c r="AK41">
        <v>1588</v>
      </c>
      <c r="AL41">
        <v>1487</v>
      </c>
      <c r="AM41">
        <f t="shared" si="3"/>
        <v>18</v>
      </c>
      <c r="AO41" s="1"/>
    </row>
    <row r="42" spans="1:41" x14ac:dyDescent="0.2">
      <c r="A42" s="1">
        <v>16</v>
      </c>
      <c r="B42" s="1" t="s">
        <v>26</v>
      </c>
      <c r="C42" s="1" t="s">
        <v>157</v>
      </c>
      <c r="D42" s="1">
        <v>2.08</v>
      </c>
      <c r="E42" s="1">
        <v>1.6E-2</v>
      </c>
      <c r="F42" s="1">
        <v>-4.8319999999999999</v>
      </c>
      <c r="G42" s="1">
        <v>0.33100000000000002</v>
      </c>
      <c r="H42" s="1" t="s">
        <v>158</v>
      </c>
      <c r="I42" s="1" t="s">
        <v>198</v>
      </c>
      <c r="AF42">
        <v>333</v>
      </c>
      <c r="AG42">
        <v>515</v>
      </c>
      <c r="AI42">
        <v>13.2</v>
      </c>
      <c r="AJ42">
        <v>1728</v>
      </c>
      <c r="AK42">
        <v>1604</v>
      </c>
      <c r="AL42">
        <v>1500</v>
      </c>
      <c r="AM42">
        <f t="shared" si="3"/>
        <v>18</v>
      </c>
      <c r="AO42" s="1"/>
    </row>
    <row r="43" spans="1:41" x14ac:dyDescent="0.2">
      <c r="A43" s="1">
        <v>17</v>
      </c>
      <c r="B43" s="1" t="s">
        <v>28</v>
      </c>
      <c r="C43" s="1" t="s">
        <v>199</v>
      </c>
      <c r="D43" s="1">
        <v>2.2930000000000001</v>
      </c>
      <c r="E43" s="1">
        <v>0.01</v>
      </c>
      <c r="F43" s="1">
        <v>-1.675</v>
      </c>
      <c r="G43" s="1">
        <v>9.6000000000000002E-2</v>
      </c>
      <c r="H43" s="1" t="s">
        <v>158</v>
      </c>
      <c r="I43" s="1" t="s">
        <v>200</v>
      </c>
      <c r="AF43">
        <v>290</v>
      </c>
      <c r="AG43">
        <v>625</v>
      </c>
      <c r="AH43">
        <v>7.1</v>
      </c>
      <c r="AI43">
        <v>14.5</v>
      </c>
      <c r="AJ43">
        <v>2366</v>
      </c>
      <c r="AK43">
        <v>2198</v>
      </c>
      <c r="AL43">
        <v>2076</v>
      </c>
      <c r="AM43">
        <f>3*9</f>
        <v>27</v>
      </c>
      <c r="AO43" s="1"/>
    </row>
    <row r="44" spans="1:41" x14ac:dyDescent="0.2">
      <c r="A44" s="1">
        <v>18</v>
      </c>
      <c r="B44" s="1" t="s">
        <v>30</v>
      </c>
      <c r="C44" s="1" t="s">
        <v>199</v>
      </c>
      <c r="D44" s="1">
        <v>2.036</v>
      </c>
      <c r="E44" s="1">
        <v>1.2999999999999999E-2</v>
      </c>
      <c r="F44" s="1">
        <v>-2.5289999999999999</v>
      </c>
      <c r="G44" s="1">
        <v>6.0999999999999999E-2</v>
      </c>
      <c r="H44" s="1" t="s">
        <v>158</v>
      </c>
      <c r="I44" s="1" t="s">
        <v>201</v>
      </c>
      <c r="AF44">
        <v>212</v>
      </c>
      <c r="AG44">
        <v>742</v>
      </c>
      <c r="AI44">
        <v>14</v>
      </c>
      <c r="AJ44">
        <v>3404</v>
      </c>
      <c r="AK44">
        <v>3174</v>
      </c>
      <c r="AL44">
        <v>2970</v>
      </c>
      <c r="AM44">
        <f t="shared" ref="AM44:AM46" si="4">3*9</f>
        <v>27</v>
      </c>
      <c r="AO44" s="1"/>
    </row>
    <row r="45" spans="1:41" x14ac:dyDescent="0.2">
      <c r="A45" s="1">
        <v>19</v>
      </c>
      <c r="B45" s="1" t="s">
        <v>32</v>
      </c>
      <c r="C45" s="1" t="s">
        <v>199</v>
      </c>
      <c r="D45" s="1">
        <v>2.0779999999999998</v>
      </c>
      <c r="E45" s="1">
        <v>1.4E-2</v>
      </c>
      <c r="F45" s="1">
        <v>-3.6579999999999999</v>
      </c>
      <c r="G45" s="1">
        <v>0.13600000000000001</v>
      </c>
      <c r="H45" s="1" t="s">
        <v>158</v>
      </c>
      <c r="I45" s="1" t="s">
        <v>202</v>
      </c>
      <c r="AF45">
        <v>276</v>
      </c>
      <c r="AG45">
        <v>717</v>
      </c>
      <c r="AI45">
        <v>13.4</v>
      </c>
      <c r="AJ45">
        <v>3373</v>
      </c>
      <c r="AK45">
        <v>3052</v>
      </c>
      <c r="AL45">
        <v>2854</v>
      </c>
      <c r="AM45">
        <f t="shared" si="4"/>
        <v>27</v>
      </c>
      <c r="AO45" s="1"/>
    </row>
    <row r="46" spans="1:41" x14ac:dyDescent="0.2">
      <c r="A46" s="1">
        <v>20</v>
      </c>
      <c r="B46" s="1" t="s">
        <v>36</v>
      </c>
      <c r="C46" s="1" t="s">
        <v>199</v>
      </c>
      <c r="D46" s="1">
        <v>1.966</v>
      </c>
      <c r="E46" s="1">
        <v>1.9E-2</v>
      </c>
      <c r="F46" s="1">
        <v>-2.0510000000000002</v>
      </c>
      <c r="G46" s="1">
        <v>5.1999999999999998E-2</v>
      </c>
      <c r="H46" s="1" t="s">
        <v>158</v>
      </c>
      <c r="I46" s="1" t="s">
        <v>203</v>
      </c>
      <c r="AF46">
        <v>149</v>
      </c>
      <c r="AG46">
        <v>643</v>
      </c>
      <c r="AI46">
        <v>13.1</v>
      </c>
      <c r="AJ46">
        <v>2600</v>
      </c>
      <c r="AK46">
        <v>2436</v>
      </c>
      <c r="AL46">
        <v>2281</v>
      </c>
      <c r="AM46">
        <f t="shared" si="4"/>
        <v>27</v>
      </c>
      <c r="AO46" s="1"/>
    </row>
    <row r="47" spans="1:41" x14ac:dyDescent="0.2">
      <c r="A47" s="1">
        <v>21</v>
      </c>
      <c r="B47" s="1" t="s">
        <v>73</v>
      </c>
      <c r="C47" s="1" t="s">
        <v>204</v>
      </c>
      <c r="D47" s="1">
        <v>2.0270000000000001</v>
      </c>
      <c r="E47" s="1">
        <v>1.0999999999999999E-2</v>
      </c>
      <c r="F47" s="1">
        <v>-2.488</v>
      </c>
      <c r="G47" s="1">
        <v>6.2E-2</v>
      </c>
      <c r="H47" s="1" t="s">
        <v>158</v>
      </c>
      <c r="I47" s="1" t="s">
        <v>205</v>
      </c>
      <c r="AF47">
        <v>283</v>
      </c>
      <c r="AG47">
        <v>830</v>
      </c>
      <c r="AI47">
        <v>13</v>
      </c>
      <c r="AJ47">
        <v>4586</v>
      </c>
      <c r="AK47">
        <v>4202</v>
      </c>
      <c r="AL47">
        <v>3928</v>
      </c>
      <c r="AM47">
        <f>5*9</f>
        <v>45</v>
      </c>
      <c r="AO47" s="1"/>
    </row>
    <row r="48" spans="1:41" x14ac:dyDescent="0.2">
      <c r="A48" s="1">
        <v>22</v>
      </c>
      <c r="B48" s="1" t="s">
        <v>75</v>
      </c>
      <c r="C48" s="1" t="s">
        <v>204</v>
      </c>
      <c r="D48" s="1">
        <v>2.2050000000000001</v>
      </c>
      <c r="E48" s="1">
        <v>1.7000000000000001E-2</v>
      </c>
      <c r="F48" s="1">
        <v>-2.85</v>
      </c>
      <c r="G48" s="1">
        <v>0.106</v>
      </c>
      <c r="H48" s="1" t="s">
        <v>158</v>
      </c>
      <c r="I48" s="1" t="s">
        <v>206</v>
      </c>
      <c r="AF48">
        <v>142</v>
      </c>
      <c r="AG48">
        <v>884</v>
      </c>
      <c r="AH48">
        <v>7</v>
      </c>
      <c r="AI48">
        <v>14.3</v>
      </c>
      <c r="AJ48">
        <v>6009</v>
      </c>
      <c r="AK48">
        <v>5452</v>
      </c>
      <c r="AL48">
        <v>5091</v>
      </c>
      <c r="AM48">
        <f t="shared" ref="AM48:AM49" si="5">5*9</f>
        <v>45</v>
      </c>
      <c r="AO48" s="1"/>
    </row>
    <row r="49" spans="1:41" x14ac:dyDescent="0.2">
      <c r="A49" s="1">
        <v>23</v>
      </c>
      <c r="B49" s="1" t="s">
        <v>207</v>
      </c>
      <c r="C49" s="1" t="s">
        <v>204</v>
      </c>
      <c r="D49" s="1">
        <v>2.1520000000000001</v>
      </c>
      <c r="E49" s="1">
        <v>1.2E-2</v>
      </c>
      <c r="F49" s="1">
        <v>-1.88</v>
      </c>
      <c r="G49" s="1">
        <v>2.7E-2</v>
      </c>
      <c r="H49" s="1" t="s">
        <v>158</v>
      </c>
      <c r="I49" s="1" t="s">
        <v>208</v>
      </c>
      <c r="AF49">
        <v>149</v>
      </c>
      <c r="AG49">
        <v>795</v>
      </c>
      <c r="AI49">
        <v>13.4</v>
      </c>
      <c r="AJ49">
        <v>4339</v>
      </c>
      <c r="AK49">
        <v>4013</v>
      </c>
      <c r="AL49">
        <v>3755</v>
      </c>
      <c r="AM49">
        <f t="shared" si="5"/>
        <v>45</v>
      </c>
      <c r="AO49" s="1"/>
    </row>
    <row r="50" spans="1:41" x14ac:dyDescent="0.2">
      <c r="A50" s="1">
        <v>25</v>
      </c>
      <c r="B50" s="1" t="s">
        <v>225</v>
      </c>
      <c r="C50" s="1" t="s">
        <v>135</v>
      </c>
      <c r="D50" s="1">
        <v>2.0539999999999998</v>
      </c>
      <c r="E50" s="1">
        <v>1.9E-2</v>
      </c>
      <c r="F50" s="1">
        <v>-2.8410000000000002</v>
      </c>
      <c r="G50" s="1">
        <v>7.8E-2</v>
      </c>
      <c r="H50" s="1" t="s">
        <v>158</v>
      </c>
      <c r="I50" s="1" t="s">
        <v>211</v>
      </c>
      <c r="AF50">
        <v>156</v>
      </c>
      <c r="AG50">
        <v>887</v>
      </c>
      <c r="AI50">
        <v>13.2</v>
      </c>
      <c r="AJ50">
        <v>6357</v>
      </c>
      <c r="AK50">
        <v>5785</v>
      </c>
      <c r="AL50">
        <v>5403</v>
      </c>
      <c r="AM50">
        <f>6*9</f>
        <v>54</v>
      </c>
      <c r="AO50" s="1"/>
    </row>
    <row r="51" spans="1:41" x14ac:dyDescent="0.2">
      <c r="A51" s="1">
        <v>27</v>
      </c>
      <c r="B51" s="1" t="s">
        <v>214</v>
      </c>
      <c r="C51" s="1" t="s">
        <v>135</v>
      </c>
      <c r="D51" s="1">
        <v>2.161</v>
      </c>
      <c r="E51" s="1">
        <v>8.9999999999999993E-3</v>
      </c>
      <c r="F51" s="1">
        <v>-2.0070000000000001</v>
      </c>
      <c r="G51" s="1">
        <v>4.5999999999999999E-2</v>
      </c>
      <c r="H51" s="1" t="s">
        <v>158</v>
      </c>
      <c r="I51" s="1" t="s">
        <v>215</v>
      </c>
      <c r="AF51">
        <v>142</v>
      </c>
      <c r="AG51">
        <v>958</v>
      </c>
      <c r="AH51">
        <v>7.1</v>
      </c>
      <c r="AI51">
        <v>14.4</v>
      </c>
      <c r="AJ51">
        <v>7750</v>
      </c>
      <c r="AK51">
        <v>7036</v>
      </c>
      <c r="AL51">
        <v>6567</v>
      </c>
      <c r="AM51">
        <f t="shared" ref="AM51" si="6">6*9</f>
        <v>54</v>
      </c>
      <c r="AO51" s="1"/>
    </row>
    <row r="52" spans="1:41" x14ac:dyDescent="0.2">
      <c r="A52" s="1">
        <v>29</v>
      </c>
      <c r="B52" s="1" t="s">
        <v>218</v>
      </c>
      <c r="C52" s="1" t="s">
        <v>219</v>
      </c>
      <c r="D52" s="1">
        <v>2.1389999999999998</v>
      </c>
      <c r="E52" s="1">
        <v>0.02</v>
      </c>
      <c r="F52" s="1">
        <v>-1.998</v>
      </c>
      <c r="G52" s="1">
        <v>1.4E-2</v>
      </c>
      <c r="H52" s="1" t="s">
        <v>158</v>
      </c>
      <c r="I52" s="1" t="s">
        <v>220</v>
      </c>
      <c r="AF52">
        <v>170</v>
      </c>
      <c r="AG52">
        <v>940</v>
      </c>
      <c r="AI52">
        <v>13.5</v>
      </c>
      <c r="AJ52">
        <v>8073</v>
      </c>
      <c r="AK52">
        <v>7371</v>
      </c>
      <c r="AL52">
        <v>6884</v>
      </c>
      <c r="AM52">
        <f>7*9</f>
        <v>63</v>
      </c>
      <c r="AO52" s="1"/>
    </row>
    <row r="53" spans="1:41" x14ac:dyDescent="0.2">
      <c r="A53" s="1">
        <v>33</v>
      </c>
      <c r="B53" s="1" t="s">
        <v>230</v>
      </c>
      <c r="C53" s="1" t="s">
        <v>204</v>
      </c>
      <c r="D53" s="1">
        <v>2.1219999999999999</v>
      </c>
      <c r="E53" s="1">
        <v>1.7999999999999999E-2</v>
      </c>
      <c r="F53" s="1">
        <v>-1.8620000000000001</v>
      </c>
      <c r="G53" s="1">
        <v>3.3000000000000002E-2</v>
      </c>
      <c r="H53" s="1" t="s">
        <v>158</v>
      </c>
      <c r="I53" s="1" t="s">
        <v>234</v>
      </c>
      <c r="AF53">
        <v>1034</v>
      </c>
      <c r="AG53">
        <v>781</v>
      </c>
      <c r="AI53">
        <v>13.5</v>
      </c>
      <c r="AJ53">
        <v>5264</v>
      </c>
      <c r="AK53">
        <v>4829</v>
      </c>
      <c r="AL53">
        <v>4514</v>
      </c>
      <c r="AM53">
        <f>5*9</f>
        <v>45</v>
      </c>
    </row>
    <row r="54" spans="1:41" x14ac:dyDescent="0.2">
      <c r="A54" s="1">
        <v>34</v>
      </c>
      <c r="B54" s="1" t="s">
        <v>235</v>
      </c>
      <c r="C54" s="1" t="s">
        <v>135</v>
      </c>
      <c r="D54" s="1">
        <v>2.0219999999999998</v>
      </c>
      <c r="E54" s="1">
        <v>6.0000000000000001E-3</v>
      </c>
      <c r="F54" s="1">
        <v>-2.2799999999999998</v>
      </c>
      <c r="G54" s="1">
        <v>2.9000000000000001E-2</v>
      </c>
      <c r="H54" s="1" t="s">
        <v>158</v>
      </c>
      <c r="I54" s="1" t="s">
        <v>238</v>
      </c>
      <c r="AF54">
        <v>234</v>
      </c>
      <c r="AG54">
        <v>937</v>
      </c>
      <c r="AI54">
        <v>12.7</v>
      </c>
      <c r="AJ54">
        <v>7602</v>
      </c>
      <c r="AK54">
        <v>6873</v>
      </c>
      <c r="AL54">
        <v>6416</v>
      </c>
      <c r="AM54">
        <f>6*9</f>
        <v>54</v>
      </c>
    </row>
    <row r="55" spans="1:41" x14ac:dyDescent="0.2">
      <c r="A55" s="1">
        <v>35</v>
      </c>
      <c r="B55" s="1" t="s">
        <v>239</v>
      </c>
      <c r="C55" s="1" t="s">
        <v>219</v>
      </c>
      <c r="D55" s="1">
        <v>2.0049999999999999</v>
      </c>
      <c r="E55" s="1">
        <v>1.2999999999999999E-2</v>
      </c>
      <c r="F55" s="1">
        <v>-2.722</v>
      </c>
      <c r="G55" s="1">
        <v>2.1000000000000001E-2</v>
      </c>
      <c r="H55" s="1" t="s">
        <v>158</v>
      </c>
      <c r="I55" s="1" t="s">
        <v>242</v>
      </c>
      <c r="AF55">
        <v>262</v>
      </c>
      <c r="AG55">
        <v>930</v>
      </c>
      <c r="AI55">
        <v>11.9</v>
      </c>
      <c r="AJ55">
        <v>7957</v>
      </c>
      <c r="AK55">
        <v>7177</v>
      </c>
      <c r="AL55">
        <v>6696</v>
      </c>
      <c r="AM55">
        <f>7*9</f>
        <v>63</v>
      </c>
    </row>
    <row r="56" spans="1:41" x14ac:dyDescent="0.2">
      <c r="A56" s="1">
        <v>36</v>
      </c>
      <c r="B56" s="1" t="s">
        <v>243</v>
      </c>
      <c r="C56" s="1" t="s">
        <v>219</v>
      </c>
      <c r="D56" s="1">
        <v>2.1240000000000001</v>
      </c>
      <c r="E56" s="1">
        <v>1.0999999999999999E-2</v>
      </c>
      <c r="F56" s="1">
        <v>-1.9730000000000001</v>
      </c>
      <c r="G56" s="1">
        <v>3.1E-2</v>
      </c>
      <c r="H56" s="1" t="s">
        <v>158</v>
      </c>
      <c r="I56" s="1" t="s">
        <v>247</v>
      </c>
      <c r="AF56">
        <v>127</v>
      </c>
      <c r="AG56">
        <v>894</v>
      </c>
      <c r="AI56">
        <v>11.1</v>
      </c>
      <c r="AJ56">
        <v>7509</v>
      </c>
      <c r="AK56">
        <v>6827</v>
      </c>
      <c r="AL56">
        <v>6375</v>
      </c>
      <c r="AM56">
        <f>7*9</f>
        <v>63</v>
      </c>
    </row>
    <row r="57" spans="1:41" x14ac:dyDescent="0.2">
      <c r="AO57" t="s">
        <v>228</v>
      </c>
    </row>
    <row r="58" spans="1:41" x14ac:dyDescent="0.2">
      <c r="A58" s="1">
        <v>24</v>
      </c>
      <c r="B58" s="1" t="s">
        <v>209</v>
      </c>
      <c r="C58" s="1" t="s">
        <v>223</v>
      </c>
      <c r="D58" s="1">
        <v>-3.3050000000000002</v>
      </c>
      <c r="E58" s="1">
        <v>0.41199999999999998</v>
      </c>
      <c r="F58" s="1">
        <v>-24.748999999999999</v>
      </c>
      <c r="G58" s="1">
        <v>1.373</v>
      </c>
      <c r="H58" s="1" t="s">
        <v>158</v>
      </c>
      <c r="I58" s="1" t="s">
        <v>210</v>
      </c>
      <c r="AF58">
        <v>453</v>
      </c>
      <c r="AG58">
        <v>48</v>
      </c>
      <c r="AI58">
        <v>12.9</v>
      </c>
      <c r="AJ58">
        <v>39</v>
      </c>
      <c r="AK58">
        <v>39</v>
      </c>
      <c r="AL58">
        <v>1082</v>
      </c>
      <c r="AM58">
        <v>45</v>
      </c>
      <c r="AN58" t="s">
        <v>224</v>
      </c>
      <c r="AO58" s="1">
        <v>23</v>
      </c>
    </row>
    <row r="59" spans="1:41" x14ac:dyDescent="0.2">
      <c r="A59" s="1">
        <v>26</v>
      </c>
      <c r="B59" s="1" t="s">
        <v>212</v>
      </c>
      <c r="C59" s="1" t="s">
        <v>226</v>
      </c>
      <c r="D59" s="1">
        <v>-0.313</v>
      </c>
      <c r="E59" s="1">
        <v>0.13500000000000001</v>
      </c>
      <c r="F59" s="1">
        <v>-8.6430000000000007</v>
      </c>
      <c r="G59" s="1">
        <v>4.1000000000000002E-2</v>
      </c>
      <c r="H59" s="1" t="s">
        <v>158</v>
      </c>
      <c r="I59" s="1" t="s">
        <v>213</v>
      </c>
      <c r="AF59">
        <v>411</v>
      </c>
      <c r="AG59">
        <v>175</v>
      </c>
      <c r="AI59">
        <v>12.1</v>
      </c>
      <c r="AJ59">
        <v>307</v>
      </c>
      <c r="AK59">
        <v>295</v>
      </c>
      <c r="AL59">
        <v>1015</v>
      </c>
      <c r="AM59">
        <v>54</v>
      </c>
      <c r="AN59" t="s">
        <v>224</v>
      </c>
      <c r="AO59" s="1" t="s">
        <v>229</v>
      </c>
    </row>
    <row r="60" spans="1:41" x14ac:dyDescent="0.2">
      <c r="A60" s="1">
        <v>28</v>
      </c>
      <c r="B60" s="1" t="s">
        <v>216</v>
      </c>
      <c r="C60" s="1" t="s">
        <v>226</v>
      </c>
      <c r="D60" s="1">
        <v>-0.626</v>
      </c>
      <c r="E60" s="1">
        <v>0.28499999999999998</v>
      </c>
      <c r="F60" s="1">
        <v>-30.366</v>
      </c>
      <c r="G60" s="1">
        <v>1.0740000000000001</v>
      </c>
      <c r="H60" s="1" t="s">
        <v>158</v>
      </c>
      <c r="I60" s="1" t="s">
        <v>217</v>
      </c>
      <c r="AF60">
        <v>510</v>
      </c>
      <c r="AG60">
        <v>62</v>
      </c>
      <c r="AI60">
        <v>13.3</v>
      </c>
      <c r="AJ60">
        <v>92</v>
      </c>
      <c r="AK60">
        <v>82</v>
      </c>
      <c r="AL60">
        <v>1123</v>
      </c>
      <c r="AM60">
        <v>54</v>
      </c>
      <c r="AN60" t="s">
        <v>224</v>
      </c>
      <c r="AO60" s="1">
        <v>27</v>
      </c>
    </row>
    <row r="61" spans="1:41" x14ac:dyDescent="0.2">
      <c r="A61" s="1">
        <v>30</v>
      </c>
      <c r="B61" s="1" t="s">
        <v>221</v>
      </c>
      <c r="C61" s="1" t="s">
        <v>227</v>
      </c>
      <c r="D61" s="1">
        <v>0.14799999999999999</v>
      </c>
      <c r="E61" s="1">
        <v>0.104</v>
      </c>
      <c r="F61" s="1">
        <v>-11.67</v>
      </c>
      <c r="G61" s="1">
        <v>0.316</v>
      </c>
      <c r="H61" s="1" t="s">
        <v>158</v>
      </c>
      <c r="I61" s="1" t="s">
        <v>222</v>
      </c>
      <c r="AF61">
        <v>524</v>
      </c>
      <c r="AG61">
        <v>197</v>
      </c>
      <c r="AI61">
        <v>12.4</v>
      </c>
      <c r="AJ61">
        <v>364</v>
      </c>
      <c r="AK61">
        <v>347</v>
      </c>
      <c r="AL61">
        <v>1033</v>
      </c>
      <c r="AM61">
        <v>63</v>
      </c>
      <c r="AN61" t="s">
        <v>224</v>
      </c>
      <c r="AO61" s="1">
        <v>29</v>
      </c>
    </row>
    <row r="90" spans="1:17" hidden="1" x14ac:dyDescent="0.2">
      <c r="A90" s="1" t="s">
        <v>0</v>
      </c>
      <c r="B90" s="1" t="s">
        <v>1</v>
      </c>
      <c r="C90" s="1" t="s">
        <v>2</v>
      </c>
      <c r="D90" s="1" t="s">
        <v>127</v>
      </c>
      <c r="E90" s="1" t="s">
        <v>132</v>
      </c>
      <c r="F90" s="1" t="s">
        <v>3</v>
      </c>
      <c r="G90" s="1" t="s">
        <v>4</v>
      </c>
      <c r="H90" s="1" t="s">
        <v>5</v>
      </c>
      <c r="I90" s="1" t="s">
        <v>6</v>
      </c>
      <c r="J90" s="1" t="s">
        <v>7</v>
      </c>
      <c r="K90" s="1" t="s">
        <v>8</v>
      </c>
      <c r="L90" s="1" t="s">
        <v>9</v>
      </c>
      <c r="M90" s="1" t="s">
        <v>128</v>
      </c>
      <c r="N90" s="1" t="s">
        <v>129</v>
      </c>
      <c r="O90" s="1" t="s">
        <v>130</v>
      </c>
      <c r="P90" s="1" t="s">
        <v>131</v>
      </c>
      <c r="Q90" s="1" t="s">
        <v>10</v>
      </c>
    </row>
    <row r="91" spans="1:17" hidden="1" x14ac:dyDescent="0.2">
      <c r="A91" s="1">
        <v>33</v>
      </c>
      <c r="B91" s="1" t="s">
        <v>230</v>
      </c>
      <c r="C91" s="1" t="s">
        <v>207</v>
      </c>
      <c r="E91" s="1" t="s">
        <v>204</v>
      </c>
      <c r="F91" s="1">
        <v>-4.5</v>
      </c>
      <c r="G91" s="1">
        <v>2.1219999999999999</v>
      </c>
      <c r="H91" s="1">
        <v>1.7999999999999999E-2</v>
      </c>
      <c r="I91" s="1">
        <v>-14.05</v>
      </c>
      <c r="J91" s="1">
        <v>-1.8620000000000001</v>
      </c>
      <c r="K91" s="1">
        <v>3.3000000000000002E-2</v>
      </c>
      <c r="L91" s="1" t="s">
        <v>158</v>
      </c>
      <c r="M91" s="1">
        <v>1</v>
      </c>
      <c r="N91" s="1" t="s">
        <v>231</v>
      </c>
      <c r="O91" s="1" t="s">
        <v>232</v>
      </c>
      <c r="P91" s="1" t="s">
        <v>233</v>
      </c>
      <c r="Q91" s="1" t="s">
        <v>234</v>
      </c>
    </row>
    <row r="92" spans="1:17" hidden="1" x14ac:dyDescent="0.2">
      <c r="A92" s="1">
        <v>34</v>
      </c>
      <c r="B92" s="1" t="s">
        <v>235</v>
      </c>
      <c r="C92" s="1" t="s">
        <v>214</v>
      </c>
      <c r="E92" s="1" t="s">
        <v>135</v>
      </c>
      <c r="F92" s="1">
        <v>-4.5</v>
      </c>
      <c r="G92" s="1">
        <v>2.0219999999999998</v>
      </c>
      <c r="H92" s="1">
        <v>6.0000000000000001E-3</v>
      </c>
      <c r="I92" s="1">
        <v>-14.05</v>
      </c>
      <c r="J92" s="1">
        <v>-2.2799999999999998</v>
      </c>
      <c r="K92" s="1">
        <v>2.9000000000000001E-2</v>
      </c>
      <c r="L92" s="1" t="s">
        <v>158</v>
      </c>
      <c r="M92" s="1">
        <v>1</v>
      </c>
      <c r="N92" s="1" t="s">
        <v>231</v>
      </c>
      <c r="O92" s="1" t="s">
        <v>236</v>
      </c>
      <c r="P92" s="1" t="s">
        <v>237</v>
      </c>
      <c r="Q92" s="1" t="s">
        <v>238</v>
      </c>
    </row>
    <row r="93" spans="1:17" hidden="1" x14ac:dyDescent="0.2">
      <c r="A93" s="1">
        <v>35</v>
      </c>
      <c r="B93" s="1" t="s">
        <v>239</v>
      </c>
      <c r="C93" s="1" t="s">
        <v>218</v>
      </c>
      <c r="E93" s="1" t="s">
        <v>219</v>
      </c>
      <c r="F93" s="1">
        <v>-4.5</v>
      </c>
      <c r="G93" s="1">
        <v>2.0049999999999999</v>
      </c>
      <c r="H93" s="1">
        <v>1.2999999999999999E-2</v>
      </c>
      <c r="I93" s="1">
        <v>-14.05</v>
      </c>
      <c r="J93" s="1">
        <v>-2.722</v>
      </c>
      <c r="K93" s="1">
        <v>2.1000000000000001E-2</v>
      </c>
      <c r="L93" s="1" t="s">
        <v>158</v>
      </c>
      <c r="M93" s="1">
        <v>1</v>
      </c>
      <c r="N93" s="1" t="s">
        <v>231</v>
      </c>
      <c r="O93" s="1" t="s">
        <v>240</v>
      </c>
      <c r="P93" s="1" t="s">
        <v>241</v>
      </c>
      <c r="Q93" s="1" t="s">
        <v>242</v>
      </c>
    </row>
    <row r="94" spans="1:17" hidden="1" x14ac:dyDescent="0.2">
      <c r="A94" s="1">
        <v>35</v>
      </c>
      <c r="B94" s="1" t="s">
        <v>239</v>
      </c>
      <c r="C94" s="1" t="s">
        <v>218</v>
      </c>
      <c r="E94" s="1" t="s">
        <v>219</v>
      </c>
      <c r="F94" s="1">
        <v>1.9630000000000001</v>
      </c>
      <c r="G94" s="1">
        <v>2.0049999999999999</v>
      </c>
      <c r="H94" s="1">
        <v>1.2999999999999999E-2</v>
      </c>
      <c r="I94" s="1">
        <v>-2.6219999999999999</v>
      </c>
      <c r="J94" s="1">
        <v>-2.722</v>
      </c>
      <c r="K94" s="1">
        <v>2.1000000000000001E-2</v>
      </c>
      <c r="L94" s="1" t="s">
        <v>158</v>
      </c>
      <c r="M94" s="1">
        <v>1</v>
      </c>
      <c r="N94" s="1" t="s">
        <v>231</v>
      </c>
      <c r="O94" s="1" t="s">
        <v>240</v>
      </c>
      <c r="P94" s="1" t="s">
        <v>241</v>
      </c>
      <c r="Q94" s="1" t="s">
        <v>242</v>
      </c>
    </row>
    <row r="95" spans="1:17" hidden="1" x14ac:dyDescent="0.2">
      <c r="A95" s="1">
        <v>36</v>
      </c>
      <c r="B95" s="1" t="s">
        <v>243</v>
      </c>
      <c r="C95" s="1" t="s">
        <v>244</v>
      </c>
      <c r="E95" s="1" t="s">
        <v>219</v>
      </c>
      <c r="F95" s="1">
        <v>-4.5</v>
      </c>
      <c r="G95" s="1">
        <v>2.1240000000000001</v>
      </c>
      <c r="H95" s="1">
        <v>1.0999999999999999E-2</v>
      </c>
      <c r="I95" s="1">
        <v>-14.05</v>
      </c>
      <c r="J95" s="1">
        <v>-1.9730000000000001</v>
      </c>
      <c r="K95" s="1">
        <v>3.1E-2</v>
      </c>
      <c r="L95" s="1" t="s">
        <v>158</v>
      </c>
      <c r="M95" s="1">
        <v>1</v>
      </c>
      <c r="N95" s="1" t="s">
        <v>231</v>
      </c>
      <c r="O95" s="1" t="s">
        <v>245</v>
      </c>
      <c r="P95" s="1" t="s">
        <v>246</v>
      </c>
      <c r="Q95" s="1" t="s">
        <v>247</v>
      </c>
    </row>
  </sheetData>
  <pageMargins left="0.7" right="0.7" top="0.75" bottom="0.75" header="0.3" footer="0.3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N113"/>
  <sheetViews>
    <sheetView topLeftCell="A104" zoomScale="60" zoomScaleNormal="60" workbookViewId="0">
      <selection activeCell="AM111" sqref="AM111"/>
    </sheetView>
  </sheetViews>
  <sheetFormatPr defaultRowHeight="12.75" x14ac:dyDescent="0.2"/>
  <cols>
    <col min="4" max="4" width="10" bestFit="1" customWidth="1"/>
    <col min="6" max="6" width="10.7109375" bestFit="1" customWidth="1"/>
  </cols>
  <sheetData>
    <row r="2" spans="1:36" x14ac:dyDescent="0.2">
      <c r="A2" s="4">
        <v>42156</v>
      </c>
    </row>
    <row r="3" spans="1:36" x14ac:dyDescent="0.2">
      <c r="A3" s="1" t="s">
        <v>0</v>
      </c>
      <c r="B3" s="1" t="s">
        <v>1</v>
      </c>
      <c r="C3" s="1" t="s">
        <v>132</v>
      </c>
      <c r="D3" s="1" t="s">
        <v>4</v>
      </c>
      <c r="E3" s="1" t="s">
        <v>5</v>
      </c>
      <c r="F3" s="1" t="s">
        <v>7</v>
      </c>
      <c r="G3" s="1" t="s">
        <v>8</v>
      </c>
      <c r="H3" s="1" t="s">
        <v>9</v>
      </c>
      <c r="I3" s="1" t="s">
        <v>10</v>
      </c>
      <c r="AF3" t="s">
        <v>191</v>
      </c>
      <c r="AG3" t="s">
        <v>249</v>
      </c>
      <c r="AH3" t="s">
        <v>250</v>
      </c>
      <c r="AI3" t="s">
        <v>251</v>
      </c>
      <c r="AJ3" t="s">
        <v>123</v>
      </c>
    </row>
    <row r="4" spans="1:36" x14ac:dyDescent="0.2">
      <c r="A4" s="1">
        <v>1</v>
      </c>
      <c r="B4" s="1" t="s">
        <v>252</v>
      </c>
      <c r="C4" s="1" t="s">
        <v>133</v>
      </c>
      <c r="D4" s="1">
        <v>1.206</v>
      </c>
      <c r="E4" s="1">
        <v>3.2000000000000001E-2</v>
      </c>
      <c r="F4" s="1">
        <v>-5.149</v>
      </c>
      <c r="G4" s="1">
        <v>5.8999999999999997E-2</v>
      </c>
      <c r="H4" s="1" t="s">
        <v>158</v>
      </c>
      <c r="I4" s="1" t="s">
        <v>253</v>
      </c>
      <c r="AF4">
        <v>866</v>
      </c>
      <c r="AG4">
        <v>3187</v>
      </c>
      <c r="AH4">
        <v>963</v>
      </c>
      <c r="AI4">
        <v>814</v>
      </c>
      <c r="AJ4">
        <f>4*9</f>
        <v>36</v>
      </c>
    </row>
    <row r="5" spans="1:36" x14ac:dyDescent="0.2">
      <c r="A5" s="1">
        <v>2</v>
      </c>
      <c r="B5" s="1" t="s">
        <v>254</v>
      </c>
      <c r="C5" s="1" t="s">
        <v>133</v>
      </c>
      <c r="D5" s="1">
        <v>2.4929999999999999</v>
      </c>
      <c r="E5" s="1">
        <v>2.5999999999999999E-2</v>
      </c>
      <c r="F5" s="1">
        <v>-1.3859999999999999</v>
      </c>
      <c r="G5" s="1">
        <v>1.6E-2</v>
      </c>
      <c r="H5" s="1" t="s">
        <v>158</v>
      </c>
      <c r="I5" s="1" t="s">
        <v>255</v>
      </c>
      <c r="AF5">
        <v>809</v>
      </c>
      <c r="AG5">
        <v>2276</v>
      </c>
      <c r="AH5">
        <v>2107</v>
      </c>
      <c r="AI5">
        <v>1983</v>
      </c>
      <c r="AJ5">
        <f t="shared" ref="AJ5:AJ49" si="0">4*9</f>
        <v>36</v>
      </c>
    </row>
    <row r="6" spans="1:36" x14ac:dyDescent="0.2">
      <c r="A6" s="1">
        <v>3</v>
      </c>
      <c r="B6" s="1" t="s">
        <v>256</v>
      </c>
      <c r="C6" s="1" t="s">
        <v>133</v>
      </c>
      <c r="D6" s="1">
        <v>1.671</v>
      </c>
      <c r="E6" s="1">
        <v>3.2000000000000001E-2</v>
      </c>
      <c r="F6" s="1">
        <v>-3.16</v>
      </c>
      <c r="G6" s="1">
        <v>2.3E-2</v>
      </c>
      <c r="H6" s="1" t="s">
        <v>158</v>
      </c>
      <c r="I6" s="1" t="s">
        <v>257</v>
      </c>
      <c r="AF6">
        <v>937</v>
      </c>
      <c r="AG6">
        <v>3361</v>
      </c>
      <c r="AH6">
        <v>2943</v>
      </c>
      <c r="AI6">
        <v>2756</v>
      </c>
      <c r="AJ6">
        <f t="shared" si="0"/>
        <v>36</v>
      </c>
    </row>
    <row r="7" spans="1:36" x14ac:dyDescent="0.2">
      <c r="A7" s="1">
        <v>4</v>
      </c>
      <c r="B7" s="1" t="s">
        <v>258</v>
      </c>
      <c r="C7" s="1" t="s">
        <v>133</v>
      </c>
      <c r="D7" s="1">
        <v>1.75</v>
      </c>
      <c r="E7" s="1">
        <v>2.8000000000000001E-2</v>
      </c>
      <c r="F7" s="1">
        <v>-3.407</v>
      </c>
      <c r="G7" s="1">
        <v>1.2E-2</v>
      </c>
      <c r="H7" s="1" t="s">
        <v>158</v>
      </c>
      <c r="I7" s="1" t="s">
        <v>259</v>
      </c>
      <c r="AF7">
        <v>940</v>
      </c>
      <c r="AG7">
        <v>3756</v>
      </c>
      <c r="AH7">
        <v>3294</v>
      </c>
      <c r="AI7">
        <v>3083</v>
      </c>
      <c r="AJ7">
        <f t="shared" si="0"/>
        <v>36</v>
      </c>
    </row>
    <row r="8" spans="1:36" x14ac:dyDescent="0.2">
      <c r="A8" s="1">
        <v>5</v>
      </c>
      <c r="B8" s="1" t="s">
        <v>260</v>
      </c>
      <c r="C8" s="1" t="s">
        <v>133</v>
      </c>
      <c r="D8" s="1">
        <v>1.8520000000000001</v>
      </c>
      <c r="E8" s="1">
        <v>3.5000000000000003E-2</v>
      </c>
      <c r="F8" s="1">
        <v>-2.625</v>
      </c>
      <c r="G8" s="1">
        <v>3.5000000000000003E-2</v>
      </c>
      <c r="H8" s="1" t="s">
        <v>158</v>
      </c>
      <c r="I8" s="1" t="s">
        <v>261</v>
      </c>
      <c r="AF8">
        <v>951</v>
      </c>
      <c r="AG8">
        <v>4649</v>
      </c>
      <c r="AH8">
        <v>4394</v>
      </c>
      <c r="AI8">
        <v>4120</v>
      </c>
      <c r="AJ8">
        <f t="shared" si="0"/>
        <v>36</v>
      </c>
    </row>
    <row r="9" spans="1:36" x14ac:dyDescent="0.2">
      <c r="A9" s="1">
        <v>6</v>
      </c>
      <c r="B9" s="1" t="s">
        <v>262</v>
      </c>
      <c r="C9" s="1" t="s">
        <v>133</v>
      </c>
      <c r="D9" s="1">
        <v>1.738</v>
      </c>
      <c r="E9" s="1">
        <v>3.4000000000000002E-2</v>
      </c>
      <c r="F9" s="1">
        <v>-3.1749999999999998</v>
      </c>
      <c r="G9" s="1">
        <v>1.9E-2</v>
      </c>
      <c r="H9" s="1" t="s">
        <v>158</v>
      </c>
      <c r="I9" s="1" t="s">
        <v>263</v>
      </c>
      <c r="AF9">
        <v>901</v>
      </c>
      <c r="AG9">
        <v>3734</v>
      </c>
      <c r="AH9">
        <v>3266</v>
      </c>
      <c r="AI9">
        <v>3057</v>
      </c>
      <c r="AJ9">
        <f t="shared" si="0"/>
        <v>36</v>
      </c>
    </row>
    <row r="10" spans="1:36" x14ac:dyDescent="0.2">
      <c r="A10" s="1">
        <v>7</v>
      </c>
      <c r="B10" s="1" t="s">
        <v>264</v>
      </c>
      <c r="C10" s="1" t="s">
        <v>133</v>
      </c>
      <c r="D10" s="1">
        <v>1.794</v>
      </c>
      <c r="E10" s="1">
        <v>3.5999999999999997E-2</v>
      </c>
      <c r="F10" s="1">
        <v>-3.8620000000000001</v>
      </c>
      <c r="G10" s="1">
        <v>7.8E-2</v>
      </c>
      <c r="H10" s="1" t="s">
        <v>158</v>
      </c>
      <c r="I10" s="1" t="s">
        <v>265</v>
      </c>
      <c r="AF10">
        <v>908</v>
      </c>
      <c r="AG10">
        <v>3920</v>
      </c>
      <c r="AH10">
        <v>3739</v>
      </c>
      <c r="AI10">
        <v>3541</v>
      </c>
      <c r="AJ10">
        <f t="shared" si="0"/>
        <v>36</v>
      </c>
    </row>
    <row r="11" spans="1:36" x14ac:dyDescent="0.2">
      <c r="A11" s="1">
        <v>8</v>
      </c>
      <c r="B11" s="1" t="s">
        <v>266</v>
      </c>
      <c r="C11" s="1" t="s">
        <v>133</v>
      </c>
      <c r="D11" s="1">
        <v>1.8919999999999999</v>
      </c>
      <c r="E11" s="1">
        <v>3.1E-2</v>
      </c>
      <c r="F11" s="1">
        <v>-2.464</v>
      </c>
      <c r="G11" s="1">
        <v>1.4E-2</v>
      </c>
      <c r="H11" s="1" t="s">
        <v>158</v>
      </c>
      <c r="I11" s="1" t="s">
        <v>267</v>
      </c>
      <c r="AF11">
        <v>873</v>
      </c>
      <c r="AG11">
        <v>3279</v>
      </c>
      <c r="AH11">
        <v>2931</v>
      </c>
      <c r="AI11">
        <v>2749</v>
      </c>
      <c r="AJ11">
        <f t="shared" si="0"/>
        <v>36</v>
      </c>
    </row>
    <row r="12" spans="1:36" x14ac:dyDescent="0.2">
      <c r="A12" s="1">
        <v>9</v>
      </c>
      <c r="B12" s="1" t="s">
        <v>268</v>
      </c>
      <c r="C12" s="1" t="s">
        <v>133</v>
      </c>
      <c r="D12" s="1">
        <v>1.69</v>
      </c>
      <c r="E12" s="1">
        <v>1.6E-2</v>
      </c>
      <c r="F12" s="1">
        <v>-3.2360000000000002</v>
      </c>
      <c r="G12" s="1">
        <v>2.9000000000000001E-2</v>
      </c>
      <c r="H12" s="1" t="s">
        <v>158</v>
      </c>
      <c r="I12" s="1" t="s">
        <v>269</v>
      </c>
      <c r="AF12">
        <v>852</v>
      </c>
      <c r="AG12">
        <v>2857</v>
      </c>
      <c r="AH12">
        <v>2554</v>
      </c>
      <c r="AI12">
        <v>2395</v>
      </c>
      <c r="AJ12">
        <f t="shared" si="0"/>
        <v>36</v>
      </c>
    </row>
    <row r="13" spans="1:36" x14ac:dyDescent="0.2">
      <c r="A13" s="1">
        <v>10</v>
      </c>
      <c r="B13" s="1" t="s">
        <v>14</v>
      </c>
      <c r="C13" s="1" t="s">
        <v>133</v>
      </c>
      <c r="D13" s="1">
        <v>1.7849999999999999</v>
      </c>
      <c r="E13" s="1">
        <v>2.5000000000000001E-2</v>
      </c>
      <c r="F13" s="1">
        <v>-3.4350000000000001</v>
      </c>
      <c r="G13" s="1">
        <v>2.9000000000000001E-2</v>
      </c>
      <c r="H13" s="1" t="s">
        <v>158</v>
      </c>
      <c r="I13" s="1" t="s">
        <v>270</v>
      </c>
      <c r="AF13">
        <v>937</v>
      </c>
      <c r="AG13">
        <v>4190</v>
      </c>
      <c r="AH13">
        <v>3983</v>
      </c>
      <c r="AI13">
        <v>3764</v>
      </c>
      <c r="AJ13">
        <f t="shared" si="0"/>
        <v>36</v>
      </c>
    </row>
    <row r="14" spans="1:36" x14ac:dyDescent="0.2">
      <c r="A14" s="1">
        <v>11</v>
      </c>
      <c r="B14" s="1" t="s">
        <v>16</v>
      </c>
      <c r="C14" s="1" t="s">
        <v>133</v>
      </c>
      <c r="D14" s="1">
        <v>1.843</v>
      </c>
      <c r="E14" s="1">
        <v>2.5999999999999999E-2</v>
      </c>
      <c r="F14" s="1">
        <v>-2.4529999999999998</v>
      </c>
      <c r="G14" s="1">
        <v>2.4E-2</v>
      </c>
      <c r="H14" s="1" t="s">
        <v>158</v>
      </c>
      <c r="I14" s="1" t="s">
        <v>271</v>
      </c>
      <c r="AF14">
        <v>954</v>
      </c>
      <c r="AG14">
        <v>4582</v>
      </c>
      <c r="AH14">
        <v>4387</v>
      </c>
      <c r="AI14">
        <v>4137</v>
      </c>
      <c r="AJ14">
        <f t="shared" si="0"/>
        <v>36</v>
      </c>
    </row>
    <row r="15" spans="1:36" x14ac:dyDescent="0.2">
      <c r="A15" s="1">
        <v>12</v>
      </c>
      <c r="B15" s="1" t="s">
        <v>18</v>
      </c>
      <c r="C15" s="1" t="s">
        <v>133</v>
      </c>
      <c r="D15" s="1">
        <v>1.82</v>
      </c>
      <c r="E15" s="1">
        <v>2.1999999999999999E-2</v>
      </c>
      <c r="F15" s="1">
        <v>-2.7989999999999999</v>
      </c>
      <c r="G15" s="1">
        <v>3.3000000000000002E-2</v>
      </c>
      <c r="H15" s="1" t="s">
        <v>158</v>
      </c>
      <c r="I15" s="1" t="s">
        <v>272</v>
      </c>
      <c r="AF15">
        <v>979</v>
      </c>
      <c r="AG15">
        <v>4602</v>
      </c>
      <c r="AH15">
        <v>4412</v>
      </c>
      <c r="AI15">
        <v>4146</v>
      </c>
      <c r="AJ15">
        <f t="shared" si="0"/>
        <v>36</v>
      </c>
    </row>
    <row r="16" spans="1:36" x14ac:dyDescent="0.2">
      <c r="A16" s="1">
        <v>13</v>
      </c>
      <c r="B16" s="1" t="s">
        <v>20</v>
      </c>
      <c r="C16" s="1" t="s">
        <v>133</v>
      </c>
      <c r="D16" s="1">
        <v>1.8220000000000001</v>
      </c>
      <c r="E16" s="1">
        <v>3.4000000000000002E-2</v>
      </c>
      <c r="F16" s="1">
        <v>-3.5049999999999999</v>
      </c>
      <c r="G16" s="1">
        <v>2.9000000000000001E-2</v>
      </c>
      <c r="H16" s="1" t="s">
        <v>158</v>
      </c>
      <c r="I16" s="1" t="s">
        <v>273</v>
      </c>
      <c r="AF16">
        <v>947</v>
      </c>
      <c r="AG16">
        <v>4556</v>
      </c>
      <c r="AH16">
        <v>4331</v>
      </c>
      <c r="AI16">
        <v>4056</v>
      </c>
      <c r="AJ16">
        <f t="shared" si="0"/>
        <v>36</v>
      </c>
    </row>
    <row r="17" spans="1:36" x14ac:dyDescent="0.2">
      <c r="A17" s="1">
        <v>14</v>
      </c>
      <c r="B17" s="1" t="s">
        <v>22</v>
      </c>
      <c r="C17" s="1" t="s">
        <v>133</v>
      </c>
      <c r="D17" s="1">
        <v>1.845</v>
      </c>
      <c r="E17" s="1">
        <v>2.1000000000000001E-2</v>
      </c>
      <c r="F17" s="1">
        <v>-2.5880000000000001</v>
      </c>
      <c r="G17" s="1">
        <v>2.9000000000000001E-2</v>
      </c>
      <c r="H17" s="1" t="s">
        <v>158</v>
      </c>
      <c r="I17" s="1" t="s">
        <v>274</v>
      </c>
      <c r="AF17">
        <v>894</v>
      </c>
      <c r="AG17">
        <v>3870</v>
      </c>
      <c r="AH17">
        <v>3323</v>
      </c>
      <c r="AI17">
        <v>3113</v>
      </c>
      <c r="AJ17">
        <f t="shared" si="0"/>
        <v>36</v>
      </c>
    </row>
    <row r="18" spans="1:36" x14ac:dyDescent="0.2">
      <c r="A18" s="1">
        <v>15</v>
      </c>
      <c r="B18" s="1" t="s">
        <v>24</v>
      </c>
      <c r="C18" s="1" t="s">
        <v>133</v>
      </c>
      <c r="D18" s="1">
        <v>1.7549999999999999</v>
      </c>
      <c r="E18" s="1">
        <v>2.3E-2</v>
      </c>
      <c r="F18" s="1">
        <v>-3.0859999999999999</v>
      </c>
      <c r="G18" s="1">
        <v>0.02</v>
      </c>
      <c r="H18" s="1" t="s">
        <v>158</v>
      </c>
      <c r="I18" s="1" t="s">
        <v>275</v>
      </c>
      <c r="AF18">
        <v>827</v>
      </c>
      <c r="AG18">
        <v>2820</v>
      </c>
      <c r="AH18">
        <v>2535</v>
      </c>
      <c r="AI18">
        <v>2376</v>
      </c>
      <c r="AJ18">
        <f t="shared" si="0"/>
        <v>36</v>
      </c>
    </row>
    <row r="19" spans="1:36" x14ac:dyDescent="0.2">
      <c r="A19" s="1">
        <v>16</v>
      </c>
      <c r="B19" s="1" t="s">
        <v>26</v>
      </c>
      <c r="C19" s="1" t="s">
        <v>133</v>
      </c>
      <c r="D19" s="1">
        <v>1.744</v>
      </c>
      <c r="E19" s="1">
        <v>2.5000000000000001E-2</v>
      </c>
      <c r="F19" s="1">
        <v>-3.8969999999999998</v>
      </c>
      <c r="G19" s="1">
        <v>4.7E-2</v>
      </c>
      <c r="H19" s="1" t="s">
        <v>158</v>
      </c>
      <c r="I19" s="1" t="s">
        <v>276</v>
      </c>
      <c r="AF19">
        <v>837</v>
      </c>
      <c r="AG19">
        <v>3237</v>
      </c>
      <c r="AH19">
        <v>2828</v>
      </c>
      <c r="AI19">
        <v>2646</v>
      </c>
      <c r="AJ19">
        <f t="shared" si="0"/>
        <v>36</v>
      </c>
    </row>
    <row r="20" spans="1:36" x14ac:dyDescent="0.2">
      <c r="A20" s="1">
        <v>17</v>
      </c>
      <c r="B20" s="1" t="s">
        <v>28</v>
      </c>
      <c r="C20" s="1" t="s">
        <v>133</v>
      </c>
      <c r="D20" s="1">
        <v>1.7749999999999999</v>
      </c>
      <c r="E20" s="1">
        <v>2.4E-2</v>
      </c>
      <c r="F20" s="1">
        <v>-2.8180000000000001</v>
      </c>
      <c r="G20" s="1">
        <v>2.9000000000000001E-2</v>
      </c>
      <c r="H20" s="1" t="s">
        <v>158</v>
      </c>
      <c r="I20" s="1" t="s">
        <v>277</v>
      </c>
      <c r="AF20">
        <v>802</v>
      </c>
      <c r="AG20">
        <v>2787</v>
      </c>
      <c r="AH20">
        <v>2504</v>
      </c>
      <c r="AI20">
        <v>2350</v>
      </c>
      <c r="AJ20">
        <f t="shared" si="0"/>
        <v>36</v>
      </c>
    </row>
    <row r="21" spans="1:36" x14ac:dyDescent="0.2">
      <c r="A21" s="1">
        <v>18</v>
      </c>
      <c r="B21" s="1" t="s">
        <v>30</v>
      </c>
      <c r="C21" s="1" t="s">
        <v>133</v>
      </c>
      <c r="D21" s="1">
        <v>1.7809999999999999</v>
      </c>
      <c r="E21" s="1">
        <v>2.8000000000000001E-2</v>
      </c>
      <c r="F21" s="1">
        <v>-2.9889999999999999</v>
      </c>
      <c r="G21" s="1">
        <v>2.3E-2</v>
      </c>
      <c r="H21" s="1" t="s">
        <v>158</v>
      </c>
      <c r="I21" s="1" t="s">
        <v>278</v>
      </c>
      <c r="AF21">
        <v>926</v>
      </c>
      <c r="AG21">
        <v>4010</v>
      </c>
      <c r="AH21">
        <v>3455</v>
      </c>
      <c r="AI21">
        <v>3231</v>
      </c>
      <c r="AJ21">
        <f t="shared" si="0"/>
        <v>36</v>
      </c>
    </row>
    <row r="22" spans="1:36" x14ac:dyDescent="0.2">
      <c r="A22" s="1">
        <v>19</v>
      </c>
      <c r="B22" s="1" t="s">
        <v>32</v>
      </c>
      <c r="C22" s="1" t="s">
        <v>133</v>
      </c>
      <c r="D22" s="1">
        <v>1.7310000000000001</v>
      </c>
      <c r="E22" s="1">
        <v>1.9E-2</v>
      </c>
      <c r="F22" s="1">
        <v>-4.0270000000000001</v>
      </c>
      <c r="G22" s="1">
        <v>6.4000000000000001E-2</v>
      </c>
      <c r="H22" s="1" t="s">
        <v>158</v>
      </c>
      <c r="I22" s="1" t="s">
        <v>279</v>
      </c>
      <c r="AF22">
        <v>852</v>
      </c>
      <c r="AG22">
        <v>3366</v>
      </c>
      <c r="AH22">
        <v>2948</v>
      </c>
      <c r="AI22">
        <v>2759</v>
      </c>
      <c r="AJ22">
        <f t="shared" si="0"/>
        <v>36</v>
      </c>
    </row>
    <row r="23" spans="1:36" x14ac:dyDescent="0.2">
      <c r="A23" s="1">
        <v>20</v>
      </c>
      <c r="B23" s="1" t="s">
        <v>36</v>
      </c>
      <c r="C23" s="1" t="s">
        <v>133</v>
      </c>
      <c r="D23" s="1">
        <v>1.845</v>
      </c>
      <c r="E23" s="1">
        <v>1.7999999999999999E-2</v>
      </c>
      <c r="F23" s="1">
        <v>-2.548</v>
      </c>
      <c r="G23" s="1">
        <v>1.4999999999999999E-2</v>
      </c>
      <c r="H23" s="1" t="s">
        <v>158</v>
      </c>
      <c r="I23" s="1" t="s">
        <v>280</v>
      </c>
      <c r="AF23">
        <v>894</v>
      </c>
      <c r="AG23">
        <v>3748</v>
      </c>
      <c r="AH23">
        <v>3576</v>
      </c>
      <c r="AI23">
        <v>3398</v>
      </c>
      <c r="AJ23">
        <f t="shared" si="0"/>
        <v>36</v>
      </c>
    </row>
    <row r="24" spans="1:36" x14ac:dyDescent="0.2">
      <c r="A24" s="1">
        <v>21</v>
      </c>
      <c r="B24" s="1" t="s">
        <v>73</v>
      </c>
      <c r="C24" s="1" t="s">
        <v>133</v>
      </c>
      <c r="D24" s="1">
        <v>1.756</v>
      </c>
      <c r="E24" s="1">
        <v>0.03</v>
      </c>
      <c r="F24" s="1">
        <v>-3.0009999999999999</v>
      </c>
      <c r="G24" s="1">
        <v>2.1000000000000001E-2</v>
      </c>
      <c r="H24" s="1" t="s">
        <v>158</v>
      </c>
      <c r="I24" s="1" t="s">
        <v>281</v>
      </c>
      <c r="AF24">
        <v>894</v>
      </c>
      <c r="AG24">
        <v>3558</v>
      </c>
      <c r="AH24">
        <v>3081</v>
      </c>
      <c r="AI24">
        <v>2883</v>
      </c>
      <c r="AJ24">
        <f t="shared" si="0"/>
        <v>36</v>
      </c>
    </row>
    <row r="25" spans="1:36" x14ac:dyDescent="0.2">
      <c r="A25" s="1">
        <v>22</v>
      </c>
      <c r="B25" s="1" t="s">
        <v>75</v>
      </c>
      <c r="C25" s="1" t="s">
        <v>133</v>
      </c>
      <c r="D25" s="1">
        <v>1.7749999999999999</v>
      </c>
      <c r="E25" s="1">
        <v>2.3E-2</v>
      </c>
      <c r="F25" s="1">
        <v>-4.0049999999999999</v>
      </c>
      <c r="G25" s="1">
        <v>6.0999999999999999E-2</v>
      </c>
      <c r="H25" s="1" t="s">
        <v>158</v>
      </c>
      <c r="I25" s="1" t="s">
        <v>282</v>
      </c>
      <c r="AF25">
        <v>834</v>
      </c>
      <c r="AG25">
        <v>3089</v>
      </c>
      <c r="AH25">
        <v>2719</v>
      </c>
      <c r="AI25">
        <v>2546</v>
      </c>
      <c r="AJ25">
        <f t="shared" si="0"/>
        <v>36</v>
      </c>
    </row>
    <row r="26" spans="1:36" x14ac:dyDescent="0.2">
      <c r="A26" s="1">
        <v>23</v>
      </c>
      <c r="B26" s="1" t="s">
        <v>207</v>
      </c>
      <c r="C26" s="1" t="s">
        <v>133</v>
      </c>
      <c r="D26" s="1">
        <v>1.784</v>
      </c>
      <c r="E26" s="1">
        <v>1.9E-2</v>
      </c>
      <c r="F26" s="1">
        <v>-2.681</v>
      </c>
      <c r="G26" s="1">
        <v>1.2999999999999999E-2</v>
      </c>
      <c r="H26" s="1" t="s">
        <v>158</v>
      </c>
      <c r="I26" s="1" t="s">
        <v>283</v>
      </c>
      <c r="AF26">
        <v>437</v>
      </c>
      <c r="AG26">
        <v>3068</v>
      </c>
      <c r="AH26">
        <v>2746</v>
      </c>
      <c r="AI26">
        <v>2575</v>
      </c>
      <c r="AJ26">
        <f t="shared" si="0"/>
        <v>36</v>
      </c>
    </row>
    <row r="27" spans="1:36" x14ac:dyDescent="0.2">
      <c r="A27" s="1">
        <v>24</v>
      </c>
      <c r="B27" s="1" t="s">
        <v>209</v>
      </c>
      <c r="C27" s="1" t="s">
        <v>133</v>
      </c>
      <c r="D27" s="1">
        <v>1.762</v>
      </c>
      <c r="E27" s="1">
        <v>1.7999999999999999E-2</v>
      </c>
      <c r="F27" s="1">
        <v>-2.9969999999999999</v>
      </c>
      <c r="G27" s="1">
        <v>2.1000000000000001E-2</v>
      </c>
      <c r="H27" s="1" t="s">
        <v>158</v>
      </c>
      <c r="I27" s="1" t="s">
        <v>284</v>
      </c>
      <c r="AF27">
        <v>887</v>
      </c>
      <c r="AG27">
        <v>3506</v>
      </c>
      <c r="AH27">
        <v>3023</v>
      </c>
      <c r="AI27">
        <v>2827</v>
      </c>
      <c r="AJ27">
        <f t="shared" si="0"/>
        <v>36</v>
      </c>
    </row>
    <row r="28" spans="1:36" x14ac:dyDescent="0.2">
      <c r="A28" s="1">
        <v>25</v>
      </c>
      <c r="B28" s="1" t="s">
        <v>285</v>
      </c>
      <c r="C28" s="1" t="s">
        <v>133</v>
      </c>
      <c r="D28" s="1">
        <v>1.7949999999999999</v>
      </c>
      <c r="E28" s="1">
        <v>2.5000000000000001E-2</v>
      </c>
      <c r="F28" s="1">
        <v>-3.508</v>
      </c>
      <c r="G28" s="1">
        <v>2.3E-2</v>
      </c>
      <c r="H28" s="1" t="s">
        <v>158</v>
      </c>
      <c r="I28" s="1" t="s">
        <v>286</v>
      </c>
      <c r="AF28">
        <v>905</v>
      </c>
      <c r="AG28">
        <v>3927</v>
      </c>
      <c r="AH28">
        <v>3355</v>
      </c>
      <c r="AI28">
        <v>3137</v>
      </c>
      <c r="AJ28">
        <f t="shared" si="0"/>
        <v>36</v>
      </c>
    </row>
    <row r="29" spans="1:36" x14ac:dyDescent="0.2">
      <c r="A29" s="1">
        <v>26</v>
      </c>
      <c r="B29" s="1" t="s">
        <v>212</v>
      </c>
      <c r="C29" s="1" t="s">
        <v>133</v>
      </c>
      <c r="D29" s="1">
        <v>1.8240000000000001</v>
      </c>
      <c r="E29" s="1">
        <v>1.9E-2</v>
      </c>
      <c r="F29" s="1">
        <v>-2.6520000000000001</v>
      </c>
      <c r="G29" s="1">
        <v>1.2999999999999999E-2</v>
      </c>
      <c r="H29" s="1" t="s">
        <v>158</v>
      </c>
      <c r="I29" s="1" t="s">
        <v>287</v>
      </c>
      <c r="AF29">
        <v>901</v>
      </c>
      <c r="AG29">
        <v>3865</v>
      </c>
      <c r="AH29">
        <v>3325</v>
      </c>
      <c r="AI29">
        <v>3114</v>
      </c>
      <c r="AJ29">
        <f t="shared" si="0"/>
        <v>36</v>
      </c>
    </row>
    <row r="30" spans="1:36" x14ac:dyDescent="0.2">
      <c r="A30" s="1">
        <v>27</v>
      </c>
      <c r="B30" s="1" t="s">
        <v>214</v>
      </c>
      <c r="C30" s="1" t="s">
        <v>133</v>
      </c>
      <c r="D30" s="1">
        <v>1.679</v>
      </c>
      <c r="E30" s="1">
        <v>2.7E-2</v>
      </c>
      <c r="F30" s="1">
        <v>-3.2839999999999998</v>
      </c>
      <c r="G30" s="1">
        <v>3.5000000000000003E-2</v>
      </c>
      <c r="H30" s="1" t="s">
        <v>158</v>
      </c>
      <c r="I30" s="1" t="s">
        <v>288</v>
      </c>
      <c r="AF30">
        <v>845</v>
      </c>
      <c r="AG30">
        <v>3021</v>
      </c>
      <c r="AH30">
        <v>2651</v>
      </c>
      <c r="AI30">
        <v>2484</v>
      </c>
      <c r="AJ30">
        <f t="shared" si="0"/>
        <v>36</v>
      </c>
    </row>
    <row r="31" spans="1:36" x14ac:dyDescent="0.2">
      <c r="A31" s="1">
        <v>28</v>
      </c>
      <c r="B31" s="1" t="s">
        <v>216</v>
      </c>
      <c r="C31" s="1" t="s">
        <v>133</v>
      </c>
      <c r="D31" s="1">
        <v>1.6619999999999999</v>
      </c>
      <c r="E31" s="1">
        <v>3.6999999999999998E-2</v>
      </c>
      <c r="F31" s="1">
        <v>-4.0019999999999998</v>
      </c>
      <c r="G31" s="1">
        <v>6.4000000000000001E-2</v>
      </c>
      <c r="H31" s="1" t="s">
        <v>158</v>
      </c>
      <c r="I31" s="1" t="s">
        <v>289</v>
      </c>
      <c r="AF31">
        <v>781</v>
      </c>
      <c r="AG31">
        <v>2555</v>
      </c>
      <c r="AH31">
        <v>2270</v>
      </c>
      <c r="AI31">
        <v>2127</v>
      </c>
      <c r="AJ31">
        <f t="shared" si="0"/>
        <v>36</v>
      </c>
    </row>
    <row r="32" spans="1:36" x14ac:dyDescent="0.2">
      <c r="A32" s="1">
        <v>29</v>
      </c>
      <c r="B32" s="1" t="s">
        <v>218</v>
      </c>
      <c r="C32" s="1" t="s">
        <v>133</v>
      </c>
      <c r="D32" s="1">
        <v>1.851</v>
      </c>
      <c r="E32" s="1">
        <v>0.02</v>
      </c>
      <c r="F32" s="1">
        <v>-2.569</v>
      </c>
      <c r="G32" s="1">
        <v>7.0000000000000001E-3</v>
      </c>
      <c r="H32" s="1" t="s">
        <v>158</v>
      </c>
      <c r="I32" s="1" t="s">
        <v>290</v>
      </c>
      <c r="AF32">
        <v>816</v>
      </c>
      <c r="AG32">
        <v>2776</v>
      </c>
      <c r="AH32">
        <v>2518</v>
      </c>
      <c r="AI32">
        <v>2364</v>
      </c>
      <c r="AJ32">
        <f t="shared" si="0"/>
        <v>36</v>
      </c>
    </row>
    <row r="33" spans="1:36" x14ac:dyDescent="0.2">
      <c r="A33" s="1">
        <v>30</v>
      </c>
      <c r="B33" s="1" t="s">
        <v>221</v>
      </c>
      <c r="C33" s="1" t="s">
        <v>133</v>
      </c>
      <c r="D33" s="1">
        <v>1.7809999999999999</v>
      </c>
      <c r="E33" s="1">
        <v>2.4E-2</v>
      </c>
      <c r="F33" s="1">
        <v>-2.8439999999999999</v>
      </c>
      <c r="G33" s="1">
        <v>1.6E-2</v>
      </c>
      <c r="H33" s="1" t="s">
        <v>158</v>
      </c>
      <c r="I33" s="1" t="s">
        <v>291</v>
      </c>
      <c r="AF33">
        <v>951</v>
      </c>
      <c r="AG33">
        <v>4017</v>
      </c>
      <c r="AH33">
        <v>3488</v>
      </c>
      <c r="AI33">
        <v>3264</v>
      </c>
      <c r="AJ33">
        <f t="shared" si="0"/>
        <v>36</v>
      </c>
    </row>
    <row r="34" spans="1:36" x14ac:dyDescent="0.2">
      <c r="A34" s="1">
        <v>31</v>
      </c>
      <c r="B34" s="1" t="s">
        <v>244</v>
      </c>
      <c r="C34" s="1" t="s">
        <v>133</v>
      </c>
      <c r="D34" s="1">
        <v>1.78</v>
      </c>
      <c r="E34" s="1">
        <v>1.4999999999999999E-2</v>
      </c>
      <c r="F34" s="1">
        <v>-2.8879999999999999</v>
      </c>
      <c r="G34" s="1">
        <v>8.9999999999999993E-3</v>
      </c>
      <c r="H34" s="1" t="s">
        <v>158</v>
      </c>
      <c r="I34" s="1" t="s">
        <v>292</v>
      </c>
      <c r="AF34">
        <v>919</v>
      </c>
      <c r="AG34">
        <v>3580</v>
      </c>
      <c r="AH34">
        <v>3130</v>
      </c>
      <c r="AI34">
        <v>2931</v>
      </c>
      <c r="AJ34">
        <f t="shared" si="0"/>
        <v>36</v>
      </c>
    </row>
    <row r="35" spans="1:36" x14ac:dyDescent="0.2">
      <c r="A35" s="1">
        <v>32</v>
      </c>
      <c r="B35" s="1" t="s">
        <v>293</v>
      </c>
      <c r="C35" s="1" t="s">
        <v>133</v>
      </c>
      <c r="D35" s="1">
        <v>1.776</v>
      </c>
      <c r="E35" s="1">
        <v>2.5000000000000001E-2</v>
      </c>
      <c r="F35" s="1">
        <v>-3.7879999999999998</v>
      </c>
      <c r="G35" s="1">
        <v>3.2000000000000001E-2</v>
      </c>
      <c r="H35" s="1" t="s">
        <v>158</v>
      </c>
      <c r="I35" s="1" t="s">
        <v>294</v>
      </c>
      <c r="AF35">
        <v>898</v>
      </c>
      <c r="AG35">
        <v>3514</v>
      </c>
      <c r="AH35">
        <v>3055</v>
      </c>
      <c r="AI35">
        <v>2858</v>
      </c>
      <c r="AJ35">
        <f t="shared" si="0"/>
        <v>36</v>
      </c>
    </row>
    <row r="36" spans="1:36" x14ac:dyDescent="0.2">
      <c r="A36" s="1">
        <v>33</v>
      </c>
      <c r="B36" s="1" t="s">
        <v>230</v>
      </c>
      <c r="C36" s="1" t="s">
        <v>133</v>
      </c>
      <c r="D36" s="1">
        <v>1.841</v>
      </c>
      <c r="E36" s="1">
        <v>2.9000000000000001E-2</v>
      </c>
      <c r="F36" s="1">
        <v>-2.6230000000000002</v>
      </c>
      <c r="G36" s="1">
        <v>1.0999999999999999E-2</v>
      </c>
      <c r="H36" s="1" t="s">
        <v>158</v>
      </c>
      <c r="I36" s="1" t="s">
        <v>295</v>
      </c>
      <c r="AF36">
        <v>852</v>
      </c>
      <c r="AG36">
        <v>3075</v>
      </c>
      <c r="AH36">
        <v>2736</v>
      </c>
      <c r="AI36">
        <v>2565</v>
      </c>
      <c r="AJ36">
        <f t="shared" si="0"/>
        <v>36</v>
      </c>
    </row>
    <row r="37" spans="1:36" x14ac:dyDescent="0.2">
      <c r="A37" s="1">
        <v>34</v>
      </c>
      <c r="B37" s="1" t="s">
        <v>235</v>
      </c>
      <c r="C37" s="1" t="s">
        <v>133</v>
      </c>
      <c r="D37" s="1">
        <v>1.647</v>
      </c>
      <c r="E37" s="1">
        <v>4.2000000000000003E-2</v>
      </c>
      <c r="F37" s="1">
        <v>-3.4580000000000002</v>
      </c>
      <c r="G37" s="1">
        <v>3.6999999999999998E-2</v>
      </c>
      <c r="H37" s="1" t="s">
        <v>158</v>
      </c>
      <c r="I37" s="1" t="s">
        <v>296</v>
      </c>
      <c r="AF37">
        <v>735</v>
      </c>
      <c r="AG37">
        <v>2042</v>
      </c>
      <c r="AH37">
        <v>1858</v>
      </c>
      <c r="AI37">
        <v>1745</v>
      </c>
      <c r="AJ37">
        <f t="shared" si="0"/>
        <v>36</v>
      </c>
    </row>
    <row r="38" spans="1:36" x14ac:dyDescent="0.2">
      <c r="A38" s="1">
        <v>35</v>
      </c>
      <c r="B38" s="1" t="s">
        <v>239</v>
      </c>
      <c r="C38" s="1" t="s">
        <v>133</v>
      </c>
      <c r="D38" s="1">
        <v>1.7410000000000001</v>
      </c>
      <c r="E38" s="1">
        <v>2.8000000000000001E-2</v>
      </c>
      <c r="F38" s="1">
        <v>-3.4390000000000001</v>
      </c>
      <c r="G38" s="1">
        <v>2.3E-2</v>
      </c>
      <c r="H38" s="1" t="s">
        <v>158</v>
      </c>
      <c r="I38" s="1" t="s">
        <v>297</v>
      </c>
      <c r="AF38">
        <v>873</v>
      </c>
      <c r="AG38">
        <v>3403</v>
      </c>
      <c r="AH38">
        <v>2942</v>
      </c>
      <c r="AI38">
        <v>2752</v>
      </c>
      <c r="AJ38">
        <f t="shared" si="0"/>
        <v>36</v>
      </c>
    </row>
    <row r="39" spans="1:36" x14ac:dyDescent="0.2">
      <c r="A39" s="1">
        <v>36</v>
      </c>
      <c r="B39" s="1" t="s">
        <v>243</v>
      </c>
      <c r="C39" s="1" t="s">
        <v>133</v>
      </c>
      <c r="D39" s="1">
        <v>1.8720000000000001</v>
      </c>
      <c r="E39" s="1">
        <v>4.2000000000000003E-2</v>
      </c>
      <c r="F39" s="1">
        <v>-2.4500000000000002</v>
      </c>
      <c r="G39" s="1">
        <v>2.5999999999999999E-2</v>
      </c>
      <c r="H39" s="1" t="s">
        <v>158</v>
      </c>
      <c r="I39" s="1" t="s">
        <v>298</v>
      </c>
      <c r="AF39">
        <v>866</v>
      </c>
      <c r="AG39">
        <v>3284</v>
      </c>
      <c r="AH39">
        <v>2864</v>
      </c>
      <c r="AI39">
        <v>2683</v>
      </c>
      <c r="AJ39">
        <f t="shared" si="0"/>
        <v>36</v>
      </c>
    </row>
    <row r="40" spans="1:36" x14ac:dyDescent="0.2">
      <c r="A40" s="1">
        <v>37</v>
      </c>
      <c r="B40" s="1" t="s">
        <v>299</v>
      </c>
      <c r="C40" s="1" t="s">
        <v>133</v>
      </c>
      <c r="D40" s="1">
        <v>1.7569999999999999</v>
      </c>
      <c r="E40" s="1">
        <v>1.4999999999999999E-2</v>
      </c>
      <c r="F40" s="1">
        <v>-2.996</v>
      </c>
      <c r="G40" s="1">
        <v>1.6E-2</v>
      </c>
      <c r="H40" s="1" t="s">
        <v>158</v>
      </c>
      <c r="I40" s="1" t="s">
        <v>300</v>
      </c>
      <c r="AF40">
        <v>912</v>
      </c>
      <c r="AG40">
        <v>3719</v>
      </c>
      <c r="AH40">
        <v>3185</v>
      </c>
      <c r="AI40">
        <v>2979</v>
      </c>
      <c r="AJ40">
        <f t="shared" si="0"/>
        <v>36</v>
      </c>
    </row>
    <row r="41" spans="1:36" x14ac:dyDescent="0.2">
      <c r="A41" s="1">
        <v>38</v>
      </c>
      <c r="B41" s="1" t="s">
        <v>301</v>
      </c>
      <c r="C41" s="1" t="s">
        <v>133</v>
      </c>
      <c r="D41" s="1">
        <v>1.7849999999999999</v>
      </c>
      <c r="E41" s="1">
        <v>2.5999999999999999E-2</v>
      </c>
      <c r="F41" s="1">
        <v>-3.4460000000000002</v>
      </c>
      <c r="G41" s="1">
        <v>6.6000000000000003E-2</v>
      </c>
      <c r="H41" s="1" t="s">
        <v>158</v>
      </c>
      <c r="I41" s="1" t="s">
        <v>302</v>
      </c>
      <c r="AF41">
        <v>887</v>
      </c>
      <c r="AG41">
        <v>3622</v>
      </c>
      <c r="AH41">
        <v>3449</v>
      </c>
      <c r="AI41">
        <v>3265</v>
      </c>
      <c r="AJ41">
        <f t="shared" si="0"/>
        <v>36</v>
      </c>
    </row>
    <row r="42" spans="1:36" x14ac:dyDescent="0.2">
      <c r="A42" s="1">
        <v>39</v>
      </c>
      <c r="B42" s="1" t="s">
        <v>303</v>
      </c>
      <c r="C42" s="1" t="s">
        <v>133</v>
      </c>
      <c r="D42" s="1">
        <v>1.77</v>
      </c>
      <c r="E42" s="1">
        <v>3.1E-2</v>
      </c>
      <c r="F42" s="1">
        <v>-2.7090000000000001</v>
      </c>
      <c r="G42" s="1">
        <v>0.03</v>
      </c>
      <c r="H42" s="1" t="s">
        <v>158</v>
      </c>
      <c r="I42" s="1" t="s">
        <v>304</v>
      </c>
      <c r="AF42">
        <v>788</v>
      </c>
      <c r="AG42">
        <v>2559</v>
      </c>
      <c r="AH42">
        <v>2310</v>
      </c>
      <c r="AI42">
        <v>2168</v>
      </c>
      <c r="AJ42">
        <f t="shared" si="0"/>
        <v>36</v>
      </c>
    </row>
    <row r="43" spans="1:36" x14ac:dyDescent="0.2">
      <c r="A43" s="1">
        <v>40</v>
      </c>
      <c r="B43" s="1" t="s">
        <v>305</v>
      </c>
      <c r="C43" s="1" t="s">
        <v>133</v>
      </c>
      <c r="D43" s="1">
        <v>1.7769999999999999</v>
      </c>
      <c r="E43" s="1">
        <v>3.7999999999999999E-2</v>
      </c>
      <c r="F43" s="1">
        <v>-2.8769999999999998</v>
      </c>
      <c r="G43" s="1">
        <v>2.5000000000000001E-2</v>
      </c>
      <c r="H43" s="1" t="s">
        <v>158</v>
      </c>
      <c r="I43" s="1" t="s">
        <v>306</v>
      </c>
      <c r="AF43">
        <v>905</v>
      </c>
      <c r="AG43">
        <v>3535</v>
      </c>
      <c r="AH43">
        <v>3341</v>
      </c>
      <c r="AI43">
        <v>3155</v>
      </c>
      <c r="AJ43">
        <f t="shared" si="0"/>
        <v>36</v>
      </c>
    </row>
    <row r="44" spans="1:36" x14ac:dyDescent="0.2">
      <c r="A44" s="1">
        <v>41</v>
      </c>
      <c r="B44" s="1" t="s">
        <v>307</v>
      </c>
      <c r="C44" s="1" t="s">
        <v>133</v>
      </c>
      <c r="D44" s="1">
        <v>1.72</v>
      </c>
      <c r="E44" s="1">
        <v>2.5999999999999999E-2</v>
      </c>
      <c r="F44" s="1">
        <v>-3.5150000000000001</v>
      </c>
      <c r="G44" s="1">
        <v>0.03</v>
      </c>
      <c r="H44" s="1" t="s">
        <v>158</v>
      </c>
      <c r="I44" s="1" t="s">
        <v>308</v>
      </c>
      <c r="AF44">
        <v>891</v>
      </c>
      <c r="AG44">
        <v>3580</v>
      </c>
      <c r="AH44">
        <v>3061</v>
      </c>
      <c r="AI44">
        <v>2862</v>
      </c>
      <c r="AJ44">
        <f t="shared" si="0"/>
        <v>36</v>
      </c>
    </row>
    <row r="45" spans="1:36" x14ac:dyDescent="0.2">
      <c r="A45" s="1">
        <v>42</v>
      </c>
      <c r="B45" s="1" t="s">
        <v>309</v>
      </c>
      <c r="C45" s="1" t="s">
        <v>133</v>
      </c>
      <c r="D45" s="1">
        <v>1.6839999999999999</v>
      </c>
      <c r="E45" s="1">
        <v>3.4000000000000002E-2</v>
      </c>
      <c r="F45" s="1">
        <v>-2.88</v>
      </c>
      <c r="G45" s="1">
        <v>2.5000000000000001E-2</v>
      </c>
      <c r="H45" s="1" t="s">
        <v>158</v>
      </c>
      <c r="I45" s="1" t="s">
        <v>310</v>
      </c>
      <c r="AF45">
        <v>742</v>
      </c>
      <c r="AG45">
        <v>2058</v>
      </c>
      <c r="AH45">
        <v>1900</v>
      </c>
      <c r="AI45">
        <v>1787</v>
      </c>
      <c r="AJ45">
        <f t="shared" si="0"/>
        <v>36</v>
      </c>
    </row>
    <row r="46" spans="1:36" x14ac:dyDescent="0.2">
      <c r="A46" s="1">
        <v>43</v>
      </c>
      <c r="B46" s="1" t="s">
        <v>311</v>
      </c>
      <c r="C46" s="1" t="s">
        <v>133</v>
      </c>
      <c r="D46" s="1">
        <v>1.8839999999999999</v>
      </c>
      <c r="E46" s="1">
        <v>0.02</v>
      </c>
      <c r="F46" s="1">
        <v>-2.7709999999999999</v>
      </c>
      <c r="G46" s="1">
        <v>3.2000000000000001E-2</v>
      </c>
      <c r="H46" s="1" t="s">
        <v>158</v>
      </c>
      <c r="I46" s="1" t="s">
        <v>312</v>
      </c>
      <c r="AF46">
        <v>922</v>
      </c>
      <c r="AG46">
        <v>3723</v>
      </c>
      <c r="AH46">
        <v>3529</v>
      </c>
      <c r="AI46">
        <v>3343</v>
      </c>
      <c r="AJ46">
        <f t="shared" si="0"/>
        <v>36</v>
      </c>
    </row>
    <row r="47" spans="1:36" x14ac:dyDescent="0.2">
      <c r="A47" s="1">
        <v>44</v>
      </c>
      <c r="B47" s="1" t="s">
        <v>313</v>
      </c>
      <c r="C47" s="1" t="s">
        <v>133</v>
      </c>
      <c r="D47" s="1">
        <v>1.776</v>
      </c>
      <c r="E47" s="1">
        <v>2.5999999999999999E-2</v>
      </c>
      <c r="F47" s="1">
        <v>-3.827</v>
      </c>
      <c r="G47" s="1">
        <v>4.9000000000000002E-2</v>
      </c>
      <c r="H47" s="1" t="s">
        <v>158</v>
      </c>
      <c r="I47" s="1" t="s">
        <v>314</v>
      </c>
      <c r="AF47">
        <v>827</v>
      </c>
      <c r="AG47">
        <v>3219</v>
      </c>
      <c r="AH47">
        <v>2822</v>
      </c>
      <c r="AI47">
        <v>2640</v>
      </c>
      <c r="AJ47">
        <f t="shared" si="0"/>
        <v>36</v>
      </c>
    </row>
    <row r="48" spans="1:36" x14ac:dyDescent="0.2">
      <c r="A48" s="1">
        <v>45</v>
      </c>
      <c r="B48" s="1" t="s">
        <v>315</v>
      </c>
      <c r="C48" s="1" t="s">
        <v>133</v>
      </c>
      <c r="D48" s="1">
        <v>1.9139999999999999</v>
      </c>
      <c r="E48" s="1">
        <v>2.8000000000000001E-2</v>
      </c>
      <c r="F48" s="1">
        <v>-2.3610000000000002</v>
      </c>
      <c r="G48" s="1">
        <v>1.7999999999999999E-2</v>
      </c>
      <c r="H48" s="1" t="s">
        <v>158</v>
      </c>
      <c r="I48" s="1" t="s">
        <v>316</v>
      </c>
      <c r="AF48">
        <v>912</v>
      </c>
      <c r="AG48">
        <v>3946</v>
      </c>
      <c r="AH48">
        <v>3742</v>
      </c>
      <c r="AI48">
        <v>3509</v>
      </c>
      <c r="AJ48">
        <f t="shared" si="0"/>
        <v>36</v>
      </c>
    </row>
    <row r="49" spans="1:40" x14ac:dyDescent="0.2">
      <c r="A49" s="1">
        <v>46</v>
      </c>
      <c r="B49" s="1" t="s">
        <v>317</v>
      </c>
      <c r="C49" s="1" t="s">
        <v>133</v>
      </c>
      <c r="D49" s="1">
        <v>1.7909999999999999</v>
      </c>
      <c r="E49" s="1">
        <v>3.2000000000000001E-2</v>
      </c>
      <c r="F49" s="1">
        <v>-2.8359999999999999</v>
      </c>
      <c r="G49" s="1">
        <v>2.7E-2</v>
      </c>
      <c r="H49" s="1" t="s">
        <v>158</v>
      </c>
      <c r="I49" s="1" t="s">
        <v>318</v>
      </c>
      <c r="AF49">
        <v>887</v>
      </c>
      <c r="AG49">
        <v>3720</v>
      </c>
      <c r="AH49">
        <v>3521</v>
      </c>
      <c r="AI49">
        <v>3334</v>
      </c>
      <c r="AJ49">
        <f t="shared" si="0"/>
        <v>36</v>
      </c>
    </row>
    <row r="50" spans="1:40" x14ac:dyDescent="0.2">
      <c r="A50" s="26" t="s">
        <v>91</v>
      </c>
      <c r="B50" s="26"/>
      <c r="C50" s="26"/>
      <c r="D50" s="27">
        <f>_xlfn.STDEV.S(D4:D49)</f>
        <v>0.14938659117601019</v>
      </c>
      <c r="E50" s="27"/>
      <c r="F50" s="27">
        <f>_xlfn.STDEV.S(F4:F49)</f>
        <v>0.61822207288398745</v>
      </c>
    </row>
    <row r="52" spans="1:40" x14ac:dyDescent="0.2">
      <c r="A52" s="4">
        <v>42158</v>
      </c>
    </row>
    <row r="53" spans="1:40" x14ac:dyDescent="0.2">
      <c r="A53" s="1" t="s">
        <v>0</v>
      </c>
      <c r="B53" s="1" t="s">
        <v>1</v>
      </c>
      <c r="C53" s="1" t="s">
        <v>132</v>
      </c>
      <c r="D53" s="1" t="s">
        <v>4</v>
      </c>
      <c r="E53" s="1" t="s">
        <v>5</v>
      </c>
      <c r="F53" s="1" t="s">
        <v>7</v>
      </c>
      <c r="G53" s="1" t="s">
        <v>8</v>
      </c>
      <c r="H53" s="1" t="s">
        <v>9</v>
      </c>
      <c r="I53" s="1" t="s">
        <v>128</v>
      </c>
      <c r="J53" s="1" t="s">
        <v>129</v>
      </c>
      <c r="K53" s="1" t="s">
        <v>130</v>
      </c>
      <c r="L53" s="1" t="s">
        <v>131</v>
      </c>
      <c r="M53" s="1" t="s">
        <v>10</v>
      </c>
      <c r="AJ53" t="s">
        <v>191</v>
      </c>
      <c r="AK53" t="s">
        <v>319</v>
      </c>
      <c r="AL53" t="s">
        <v>250</v>
      </c>
      <c r="AM53" t="s">
        <v>251</v>
      </c>
      <c r="AN53" t="s">
        <v>489</v>
      </c>
    </row>
    <row r="54" spans="1:40" x14ac:dyDescent="0.2">
      <c r="A54" s="1">
        <v>8</v>
      </c>
      <c r="B54" s="1" t="s">
        <v>266</v>
      </c>
      <c r="C54" s="1" t="s">
        <v>133</v>
      </c>
      <c r="D54" s="1">
        <v>1.7490000000000001</v>
      </c>
      <c r="E54" s="1">
        <v>1.7000000000000001E-2</v>
      </c>
      <c r="F54" s="1">
        <v>-2.5499999999999998</v>
      </c>
      <c r="G54" s="1">
        <v>2.3E-2</v>
      </c>
      <c r="H54" s="1" t="s">
        <v>158</v>
      </c>
      <c r="I54" s="1">
        <v>1</v>
      </c>
      <c r="J54" s="1" t="s">
        <v>320</v>
      </c>
      <c r="K54" s="1" t="s">
        <v>321</v>
      </c>
      <c r="L54" s="1" t="s">
        <v>322</v>
      </c>
      <c r="M54" s="1" t="s">
        <v>323</v>
      </c>
      <c r="AJ54">
        <v>859</v>
      </c>
      <c r="AK54">
        <v>3283</v>
      </c>
      <c r="AL54">
        <v>2897</v>
      </c>
      <c r="AM54">
        <v>2716</v>
      </c>
      <c r="AN54">
        <f t="shared" ref="AN54:AN61" si="1">4*9</f>
        <v>36</v>
      </c>
    </row>
    <row r="55" spans="1:40" x14ac:dyDescent="0.2">
      <c r="A55" s="1">
        <v>7</v>
      </c>
      <c r="B55" s="1" t="s">
        <v>264</v>
      </c>
      <c r="C55" s="1" t="s">
        <v>133</v>
      </c>
      <c r="D55" s="1">
        <v>1.7969999999999999</v>
      </c>
      <c r="E55" s="1">
        <v>3.1E-2</v>
      </c>
      <c r="F55" s="1">
        <v>-2.677</v>
      </c>
      <c r="G55" s="1">
        <v>2.8000000000000001E-2</v>
      </c>
      <c r="H55" s="1" t="s">
        <v>158</v>
      </c>
      <c r="I55" s="1">
        <v>1</v>
      </c>
      <c r="J55" s="1" t="s">
        <v>320</v>
      </c>
      <c r="K55" s="1" t="s">
        <v>324</v>
      </c>
      <c r="L55" s="1" t="s">
        <v>325</v>
      </c>
      <c r="M55" s="1" t="s">
        <v>326</v>
      </c>
      <c r="AJ55">
        <v>876</v>
      </c>
      <c r="AK55">
        <v>2571</v>
      </c>
      <c r="AL55">
        <v>3109</v>
      </c>
      <c r="AM55">
        <v>2907</v>
      </c>
      <c r="AN55">
        <f t="shared" si="1"/>
        <v>36</v>
      </c>
    </row>
    <row r="56" spans="1:40" x14ac:dyDescent="0.2">
      <c r="A56" s="1">
        <v>6</v>
      </c>
      <c r="B56" s="1" t="s">
        <v>262</v>
      </c>
      <c r="C56" s="1" t="s">
        <v>133</v>
      </c>
      <c r="D56" s="1">
        <v>1.7689999999999999</v>
      </c>
      <c r="E56" s="1">
        <v>1.2E-2</v>
      </c>
      <c r="F56" s="1">
        <v>-2.6070000000000002</v>
      </c>
      <c r="G56" s="1">
        <v>3.3000000000000002E-2</v>
      </c>
      <c r="H56" s="1" t="s">
        <v>158</v>
      </c>
      <c r="I56" s="1">
        <v>1</v>
      </c>
      <c r="J56" s="1" t="s">
        <v>320</v>
      </c>
      <c r="K56" s="1" t="s">
        <v>327</v>
      </c>
      <c r="L56" s="1" t="s">
        <v>328</v>
      </c>
      <c r="M56" s="1" t="s">
        <v>329</v>
      </c>
      <c r="AJ56">
        <v>898</v>
      </c>
      <c r="AK56">
        <v>3743</v>
      </c>
      <c r="AL56">
        <v>3210</v>
      </c>
      <c r="AM56">
        <v>3000</v>
      </c>
      <c r="AN56">
        <f t="shared" si="1"/>
        <v>36</v>
      </c>
    </row>
    <row r="57" spans="1:40" x14ac:dyDescent="0.2">
      <c r="A57" s="1">
        <v>5</v>
      </c>
      <c r="B57" s="1" t="s">
        <v>260</v>
      </c>
      <c r="C57" s="1" t="s">
        <v>133</v>
      </c>
      <c r="D57" s="1">
        <v>1.905</v>
      </c>
      <c r="E57" s="1">
        <v>2.1999999999999999E-2</v>
      </c>
      <c r="F57" s="1">
        <v>-2.3069999999999999</v>
      </c>
      <c r="G57" s="1">
        <v>2.7E-2</v>
      </c>
      <c r="H57" s="1" t="s">
        <v>158</v>
      </c>
      <c r="I57" s="1">
        <v>1</v>
      </c>
      <c r="J57" s="1" t="s">
        <v>320</v>
      </c>
      <c r="K57" s="1" t="s">
        <v>330</v>
      </c>
      <c r="L57" s="1" t="s">
        <v>331</v>
      </c>
      <c r="M57" s="1" t="s">
        <v>332</v>
      </c>
      <c r="AJ57">
        <v>951</v>
      </c>
      <c r="AK57">
        <v>4447</v>
      </c>
      <c r="AL57">
        <v>3811</v>
      </c>
      <c r="AM57">
        <v>3569</v>
      </c>
      <c r="AN57">
        <f t="shared" si="1"/>
        <v>36</v>
      </c>
    </row>
    <row r="58" spans="1:40" x14ac:dyDescent="0.2">
      <c r="A58" s="1">
        <v>4</v>
      </c>
      <c r="B58" s="1" t="s">
        <v>258</v>
      </c>
      <c r="C58" s="1" t="s">
        <v>133</v>
      </c>
      <c r="D58" s="1">
        <v>1.6819999999999999</v>
      </c>
      <c r="E58" s="1">
        <v>2.1999999999999999E-2</v>
      </c>
      <c r="F58" s="1">
        <v>-2.7290000000000001</v>
      </c>
      <c r="G58" s="1">
        <v>4.1000000000000002E-2</v>
      </c>
      <c r="H58" s="1" t="s">
        <v>158</v>
      </c>
      <c r="I58" s="1">
        <v>1</v>
      </c>
      <c r="J58" s="1" t="s">
        <v>320</v>
      </c>
      <c r="K58" s="1" t="s">
        <v>333</v>
      </c>
      <c r="L58" s="1" t="s">
        <v>334</v>
      </c>
      <c r="M58" s="1" t="s">
        <v>335</v>
      </c>
      <c r="AJ58">
        <v>898</v>
      </c>
      <c r="AK58">
        <v>3055</v>
      </c>
      <c r="AL58">
        <v>2695</v>
      </c>
      <c r="AM58">
        <v>2523</v>
      </c>
      <c r="AN58">
        <f t="shared" si="1"/>
        <v>36</v>
      </c>
    </row>
    <row r="59" spans="1:40" x14ac:dyDescent="0.2">
      <c r="A59" s="1">
        <v>3</v>
      </c>
      <c r="B59" s="1" t="s">
        <v>256</v>
      </c>
      <c r="C59" s="1" t="s">
        <v>133</v>
      </c>
      <c r="D59" s="1">
        <v>1.7829999999999999</v>
      </c>
      <c r="E59" s="1">
        <v>2.4E-2</v>
      </c>
      <c r="F59" s="1">
        <v>-2.5950000000000002</v>
      </c>
      <c r="G59" s="1">
        <v>3.5999999999999997E-2</v>
      </c>
      <c r="H59" s="1" t="s">
        <v>158</v>
      </c>
      <c r="I59" s="1">
        <v>1</v>
      </c>
      <c r="J59" s="1" t="s">
        <v>320</v>
      </c>
      <c r="K59" s="1" t="s">
        <v>336</v>
      </c>
      <c r="L59" s="1" t="s">
        <v>337</v>
      </c>
      <c r="M59" s="1" t="s">
        <v>338</v>
      </c>
      <c r="AJ59">
        <v>869</v>
      </c>
      <c r="AK59">
        <v>3105</v>
      </c>
      <c r="AL59">
        <v>2771</v>
      </c>
      <c r="AM59">
        <v>2597</v>
      </c>
      <c r="AN59">
        <f t="shared" si="1"/>
        <v>36</v>
      </c>
    </row>
    <row r="60" spans="1:40" x14ac:dyDescent="0.2">
      <c r="A60" s="1">
        <v>2</v>
      </c>
      <c r="B60" s="1" t="s">
        <v>254</v>
      </c>
      <c r="C60" s="1" t="s">
        <v>133</v>
      </c>
      <c r="D60" s="1">
        <v>1.6850000000000001</v>
      </c>
      <c r="E60" s="1">
        <v>3.1E-2</v>
      </c>
      <c r="F60" s="1">
        <v>-2.7770000000000001</v>
      </c>
      <c r="G60" s="1">
        <v>3.4000000000000002E-2</v>
      </c>
      <c r="H60" s="1" t="s">
        <v>158</v>
      </c>
      <c r="I60" s="1">
        <v>1</v>
      </c>
      <c r="J60" s="1" t="s">
        <v>320</v>
      </c>
      <c r="K60" s="1" t="s">
        <v>339</v>
      </c>
      <c r="L60" s="1" t="s">
        <v>340</v>
      </c>
      <c r="M60" s="1" t="s">
        <v>341</v>
      </c>
      <c r="AJ60">
        <v>845</v>
      </c>
      <c r="AK60">
        <v>2912</v>
      </c>
      <c r="AL60">
        <v>2577</v>
      </c>
      <c r="AM60">
        <v>2413</v>
      </c>
      <c r="AN60">
        <f t="shared" si="1"/>
        <v>36</v>
      </c>
    </row>
    <row r="61" spans="1:40" x14ac:dyDescent="0.2">
      <c r="A61" s="1">
        <v>1</v>
      </c>
      <c r="B61" s="1" t="s">
        <v>252</v>
      </c>
      <c r="C61" s="1" t="s">
        <v>133</v>
      </c>
      <c r="D61" s="1">
        <v>1.8160000000000001</v>
      </c>
      <c r="E61" s="1">
        <v>1.7000000000000001E-2</v>
      </c>
      <c r="F61" s="1">
        <v>-2.5129999999999999</v>
      </c>
      <c r="G61" s="1">
        <v>3.2000000000000001E-2</v>
      </c>
      <c r="H61" s="1" t="s">
        <v>158</v>
      </c>
      <c r="I61" s="1">
        <v>1</v>
      </c>
      <c r="J61" s="1" t="s">
        <v>320</v>
      </c>
      <c r="K61" s="1" t="s">
        <v>342</v>
      </c>
      <c r="L61" s="1" t="s">
        <v>343</v>
      </c>
      <c r="M61" s="1" t="s">
        <v>344</v>
      </c>
      <c r="AJ61">
        <v>958</v>
      </c>
      <c r="AK61">
        <v>3751</v>
      </c>
      <c r="AL61">
        <v>3266</v>
      </c>
      <c r="AM61">
        <v>3056</v>
      </c>
      <c r="AN61">
        <f t="shared" si="1"/>
        <v>36</v>
      </c>
    </row>
    <row r="62" spans="1:40" x14ac:dyDescent="0.2">
      <c r="A62" s="26" t="s">
        <v>91</v>
      </c>
      <c r="B62" s="26"/>
      <c r="C62" s="26"/>
      <c r="D62" s="27">
        <f>_xlfn.STDEV.S(D54:D61)</f>
        <v>7.2274773310906051E-2</v>
      </c>
      <c r="E62" s="27"/>
      <c r="F62" s="27">
        <f>_xlfn.STDEV.S(F54:F61)</f>
        <v>0.14620820526124484</v>
      </c>
    </row>
    <row r="63" spans="1:40" x14ac:dyDescent="0.2">
      <c r="A63" s="26"/>
      <c r="B63" s="26"/>
      <c r="C63" s="26"/>
      <c r="D63" s="27"/>
      <c r="E63" s="27"/>
      <c r="F63" s="27"/>
    </row>
    <row r="64" spans="1:40" x14ac:dyDescent="0.2">
      <c r="A64" s="4">
        <v>42163</v>
      </c>
    </row>
    <row r="65" spans="1:39" x14ac:dyDescent="0.2">
      <c r="A65" s="1" t="s">
        <v>0</v>
      </c>
      <c r="B65" s="1" t="s">
        <v>1</v>
      </c>
      <c r="C65" s="1" t="s">
        <v>132</v>
      </c>
      <c r="D65" s="1" t="s">
        <v>4</v>
      </c>
      <c r="E65" s="1" t="s">
        <v>5</v>
      </c>
      <c r="F65" s="1" t="s">
        <v>7</v>
      </c>
      <c r="G65" s="1" t="s">
        <v>8</v>
      </c>
      <c r="H65" s="1" t="s">
        <v>9</v>
      </c>
      <c r="I65" s="1" t="s">
        <v>129</v>
      </c>
      <c r="J65" s="1" t="s">
        <v>130</v>
      </c>
      <c r="K65" s="1" t="s">
        <v>131</v>
      </c>
      <c r="L65" s="1" t="s">
        <v>10</v>
      </c>
      <c r="AI65" t="s">
        <v>191</v>
      </c>
      <c r="AJ65" t="s">
        <v>319</v>
      </c>
      <c r="AK65" t="s">
        <v>250</v>
      </c>
      <c r="AL65" t="s">
        <v>251</v>
      </c>
      <c r="AM65" t="s">
        <v>489</v>
      </c>
    </row>
    <row r="66" spans="1:39" x14ac:dyDescent="0.2">
      <c r="A66" s="1">
        <v>1</v>
      </c>
      <c r="B66" s="1" t="s">
        <v>252</v>
      </c>
      <c r="C66" s="1" t="s">
        <v>133</v>
      </c>
      <c r="D66" s="1">
        <v>1.8340000000000001</v>
      </c>
      <c r="E66" s="1">
        <v>8.9999999999999993E-3</v>
      </c>
      <c r="F66" s="1">
        <v>-2.444</v>
      </c>
      <c r="G66" s="1">
        <v>2.4E-2</v>
      </c>
      <c r="H66" s="1" t="s">
        <v>12</v>
      </c>
      <c r="I66" s="1" t="s">
        <v>413</v>
      </c>
      <c r="J66" s="1" t="s">
        <v>486</v>
      </c>
      <c r="K66" s="1" t="s">
        <v>487</v>
      </c>
      <c r="L66" s="1" t="s">
        <v>488</v>
      </c>
      <c r="AI66">
        <v>922</v>
      </c>
      <c r="AJ66">
        <v>2938</v>
      </c>
      <c r="AK66">
        <v>2720</v>
      </c>
      <c r="AL66">
        <v>2562</v>
      </c>
      <c r="AM66">
        <f t="shared" ref="AM66:AM111" si="2">4*9</f>
        <v>36</v>
      </c>
    </row>
    <row r="67" spans="1:39" x14ac:dyDescent="0.2">
      <c r="A67" s="1">
        <v>2</v>
      </c>
      <c r="B67" s="1" t="s">
        <v>254</v>
      </c>
      <c r="C67" s="1" t="s">
        <v>133</v>
      </c>
      <c r="D67" s="1">
        <v>1.8340000000000001</v>
      </c>
      <c r="E67" s="1">
        <v>2.1999999999999999E-2</v>
      </c>
      <c r="F67" s="1">
        <v>-2.4580000000000002</v>
      </c>
      <c r="G67" s="1">
        <v>2.3E-2</v>
      </c>
      <c r="H67" s="1" t="s">
        <v>12</v>
      </c>
      <c r="I67" s="1" t="s">
        <v>413</v>
      </c>
      <c r="J67" s="1" t="s">
        <v>483</v>
      </c>
      <c r="K67" s="1" t="s">
        <v>484</v>
      </c>
      <c r="L67" s="1" t="s">
        <v>485</v>
      </c>
      <c r="AI67">
        <v>891</v>
      </c>
      <c r="AJ67">
        <v>3096</v>
      </c>
      <c r="AK67">
        <v>2985</v>
      </c>
      <c r="AL67">
        <v>2848</v>
      </c>
      <c r="AM67">
        <f t="shared" si="2"/>
        <v>36</v>
      </c>
    </row>
    <row r="68" spans="1:39" x14ac:dyDescent="0.2">
      <c r="A68" s="1">
        <v>3</v>
      </c>
      <c r="B68" s="1" t="s">
        <v>256</v>
      </c>
      <c r="C68" s="1" t="s">
        <v>133</v>
      </c>
      <c r="D68" s="1">
        <v>1.847</v>
      </c>
      <c r="E68" s="1">
        <v>2.3E-2</v>
      </c>
      <c r="F68" s="1">
        <v>-2.3929999999999998</v>
      </c>
      <c r="G68" s="1">
        <v>2.5000000000000001E-2</v>
      </c>
      <c r="H68" s="1" t="s">
        <v>12</v>
      </c>
      <c r="I68" s="1" t="s">
        <v>413</v>
      </c>
      <c r="J68" s="1" t="s">
        <v>480</v>
      </c>
      <c r="K68" s="1" t="s">
        <v>481</v>
      </c>
      <c r="L68" s="1" t="s">
        <v>482</v>
      </c>
      <c r="AI68">
        <v>891</v>
      </c>
      <c r="AJ68">
        <v>3024</v>
      </c>
      <c r="AK68">
        <v>2799</v>
      </c>
      <c r="AL68">
        <v>2635</v>
      </c>
      <c r="AM68">
        <f t="shared" si="2"/>
        <v>36</v>
      </c>
    </row>
    <row r="69" spans="1:39" x14ac:dyDescent="0.2">
      <c r="A69" s="1">
        <v>4</v>
      </c>
      <c r="B69" s="1" t="s">
        <v>258</v>
      </c>
      <c r="C69" s="1" t="s">
        <v>133</v>
      </c>
      <c r="D69" s="1">
        <v>1.8149999999999999</v>
      </c>
      <c r="E69" s="1">
        <v>1.0999999999999999E-2</v>
      </c>
      <c r="F69" s="1">
        <v>-2.4239999999999999</v>
      </c>
      <c r="G69" s="1">
        <v>2.4E-2</v>
      </c>
      <c r="H69" s="1" t="s">
        <v>12</v>
      </c>
      <c r="I69" s="1" t="s">
        <v>413</v>
      </c>
      <c r="J69" s="1" t="s">
        <v>477</v>
      </c>
      <c r="K69" s="1" t="s">
        <v>478</v>
      </c>
      <c r="L69" s="1" t="s">
        <v>479</v>
      </c>
      <c r="AI69">
        <v>937</v>
      </c>
      <c r="AJ69">
        <v>3249</v>
      </c>
      <c r="AK69">
        <v>3124</v>
      </c>
      <c r="AL69">
        <v>2949</v>
      </c>
      <c r="AM69">
        <f t="shared" si="2"/>
        <v>36</v>
      </c>
    </row>
    <row r="70" spans="1:39" x14ac:dyDescent="0.2">
      <c r="A70" s="1">
        <v>5</v>
      </c>
      <c r="B70" s="1" t="s">
        <v>260</v>
      </c>
      <c r="C70" s="1" t="s">
        <v>133</v>
      </c>
      <c r="D70" s="1">
        <v>1.825</v>
      </c>
      <c r="E70" s="1">
        <v>1.4999999999999999E-2</v>
      </c>
      <c r="F70" s="1">
        <v>-2.5270000000000001</v>
      </c>
      <c r="G70" s="1">
        <v>2.7E-2</v>
      </c>
      <c r="H70" s="1" t="s">
        <v>12</v>
      </c>
      <c r="I70" s="1" t="s">
        <v>413</v>
      </c>
      <c r="J70" s="1" t="s">
        <v>474</v>
      </c>
      <c r="K70" s="1" t="s">
        <v>475</v>
      </c>
      <c r="L70" s="1" t="s">
        <v>476</v>
      </c>
      <c r="AI70">
        <v>884</v>
      </c>
      <c r="AJ70">
        <v>2774</v>
      </c>
      <c r="AK70">
        <v>2672</v>
      </c>
      <c r="AL70">
        <v>2560</v>
      </c>
      <c r="AM70">
        <f t="shared" si="2"/>
        <v>36</v>
      </c>
    </row>
    <row r="71" spans="1:39" x14ac:dyDescent="0.2">
      <c r="A71" s="1">
        <v>6</v>
      </c>
      <c r="B71" s="1" t="s">
        <v>262</v>
      </c>
      <c r="C71" s="1" t="s">
        <v>133</v>
      </c>
      <c r="D71" s="1">
        <v>1.819</v>
      </c>
      <c r="E71" s="1">
        <v>1.9E-2</v>
      </c>
      <c r="F71" s="1">
        <v>-2.5209999999999999</v>
      </c>
      <c r="G71" s="1">
        <v>3.6999999999999998E-2</v>
      </c>
      <c r="H71" s="1" t="s">
        <v>12</v>
      </c>
      <c r="I71" s="1" t="s">
        <v>413</v>
      </c>
      <c r="J71" s="1" t="s">
        <v>471</v>
      </c>
      <c r="K71" s="1" t="s">
        <v>472</v>
      </c>
      <c r="L71" s="1" t="s">
        <v>473</v>
      </c>
      <c r="AI71">
        <v>784</v>
      </c>
      <c r="AJ71">
        <v>2110</v>
      </c>
      <c r="AK71">
        <v>2040</v>
      </c>
      <c r="AL71">
        <v>1943</v>
      </c>
      <c r="AM71">
        <f t="shared" si="2"/>
        <v>36</v>
      </c>
    </row>
    <row r="72" spans="1:39" x14ac:dyDescent="0.2">
      <c r="A72" s="1">
        <v>7</v>
      </c>
      <c r="B72" s="1" t="s">
        <v>264</v>
      </c>
      <c r="C72" s="1" t="s">
        <v>133</v>
      </c>
      <c r="D72" s="1">
        <v>1.78</v>
      </c>
      <c r="E72" s="1">
        <v>7.0000000000000001E-3</v>
      </c>
      <c r="F72" s="1">
        <v>-2.5790000000000002</v>
      </c>
      <c r="G72" s="1">
        <v>2.4E-2</v>
      </c>
      <c r="H72" s="1" t="s">
        <v>12</v>
      </c>
      <c r="I72" s="1" t="s">
        <v>413</v>
      </c>
      <c r="J72" s="1" t="s">
        <v>468</v>
      </c>
      <c r="K72" s="1" t="s">
        <v>469</v>
      </c>
      <c r="L72" s="1" t="s">
        <v>470</v>
      </c>
      <c r="AI72">
        <v>919</v>
      </c>
      <c r="AJ72">
        <v>2785</v>
      </c>
      <c r="AK72">
        <v>2552</v>
      </c>
      <c r="AL72">
        <v>2401</v>
      </c>
      <c r="AM72">
        <f t="shared" si="2"/>
        <v>36</v>
      </c>
    </row>
    <row r="73" spans="1:39" x14ac:dyDescent="0.2">
      <c r="A73" s="1">
        <v>8</v>
      </c>
      <c r="B73" s="1" t="s">
        <v>266</v>
      </c>
      <c r="C73" s="1" t="s">
        <v>133</v>
      </c>
      <c r="D73" s="1">
        <v>1.782</v>
      </c>
      <c r="E73" s="1">
        <v>2.3E-2</v>
      </c>
      <c r="F73" s="1">
        <v>-2.5070000000000001</v>
      </c>
      <c r="G73" s="1">
        <v>3.2000000000000001E-2</v>
      </c>
      <c r="H73" s="1" t="s">
        <v>12</v>
      </c>
      <c r="I73" s="1" t="s">
        <v>413</v>
      </c>
      <c r="J73" s="1" t="s">
        <v>465</v>
      </c>
      <c r="K73" s="1" t="s">
        <v>466</v>
      </c>
      <c r="L73" s="1" t="s">
        <v>467</v>
      </c>
      <c r="AI73">
        <v>862</v>
      </c>
      <c r="AJ73">
        <v>2472</v>
      </c>
      <c r="AK73">
        <v>2391</v>
      </c>
      <c r="AL73">
        <v>2292</v>
      </c>
      <c r="AM73">
        <f t="shared" si="2"/>
        <v>36</v>
      </c>
    </row>
    <row r="74" spans="1:39" x14ac:dyDescent="0.2">
      <c r="A74" s="1">
        <v>9</v>
      </c>
      <c r="B74" s="1" t="s">
        <v>268</v>
      </c>
      <c r="C74" s="1" t="s">
        <v>133</v>
      </c>
      <c r="D74" s="1">
        <v>1.762</v>
      </c>
      <c r="E74" s="1">
        <v>2.7E-2</v>
      </c>
      <c r="F74" s="1">
        <v>-2.6320000000000001</v>
      </c>
      <c r="G74" s="1">
        <v>4.1000000000000002E-2</v>
      </c>
      <c r="H74" s="1" t="s">
        <v>12</v>
      </c>
      <c r="I74" s="1" t="s">
        <v>413</v>
      </c>
      <c r="J74" s="1" t="s">
        <v>462</v>
      </c>
      <c r="K74" s="1" t="s">
        <v>463</v>
      </c>
      <c r="L74" s="1" t="s">
        <v>464</v>
      </c>
      <c r="AI74">
        <v>979</v>
      </c>
      <c r="AJ74">
        <v>2662</v>
      </c>
      <c r="AK74">
        <v>2575</v>
      </c>
      <c r="AL74">
        <v>2470</v>
      </c>
      <c r="AM74">
        <f t="shared" si="2"/>
        <v>36</v>
      </c>
    </row>
    <row r="75" spans="1:39" x14ac:dyDescent="0.2">
      <c r="A75" s="1">
        <v>10</v>
      </c>
      <c r="B75" s="1" t="s">
        <v>14</v>
      </c>
      <c r="C75" s="1" t="s">
        <v>133</v>
      </c>
      <c r="D75" s="1">
        <v>1.8169999999999999</v>
      </c>
      <c r="E75" s="1">
        <v>2.9000000000000001E-2</v>
      </c>
      <c r="F75" s="1">
        <v>-2.4689999999999999</v>
      </c>
      <c r="G75" s="1">
        <v>0.03</v>
      </c>
      <c r="H75" s="1" t="s">
        <v>12</v>
      </c>
      <c r="I75" s="1" t="s">
        <v>413</v>
      </c>
      <c r="J75" s="1" t="s">
        <v>459</v>
      </c>
      <c r="K75" s="1" t="s">
        <v>460</v>
      </c>
      <c r="L75" s="1" t="s">
        <v>461</v>
      </c>
      <c r="AI75">
        <v>997</v>
      </c>
      <c r="AJ75">
        <v>2638</v>
      </c>
      <c r="AK75">
        <v>2407</v>
      </c>
      <c r="AL75">
        <v>2268</v>
      </c>
      <c r="AM75">
        <f t="shared" si="2"/>
        <v>36</v>
      </c>
    </row>
    <row r="76" spans="1:39" x14ac:dyDescent="0.2">
      <c r="A76" s="1">
        <v>11</v>
      </c>
      <c r="B76" s="1" t="s">
        <v>16</v>
      </c>
      <c r="C76" s="1" t="s">
        <v>133</v>
      </c>
      <c r="D76" s="1">
        <v>1.786</v>
      </c>
      <c r="E76" s="1">
        <v>1.9E-2</v>
      </c>
      <c r="F76" s="1">
        <v>-2.5150000000000001</v>
      </c>
      <c r="G76" s="1">
        <v>3.5000000000000003E-2</v>
      </c>
      <c r="H76" s="1" t="s">
        <v>12</v>
      </c>
      <c r="I76" s="1" t="s">
        <v>413</v>
      </c>
      <c r="J76" s="1" t="s">
        <v>456</v>
      </c>
      <c r="K76" s="1" t="s">
        <v>457</v>
      </c>
      <c r="L76" s="1" t="s">
        <v>458</v>
      </c>
      <c r="AI76">
        <v>944</v>
      </c>
      <c r="AJ76">
        <v>2398</v>
      </c>
      <c r="AK76">
        <v>2324</v>
      </c>
      <c r="AL76">
        <v>2233</v>
      </c>
      <c r="AM76">
        <f t="shared" si="2"/>
        <v>36</v>
      </c>
    </row>
    <row r="77" spans="1:39" x14ac:dyDescent="0.2">
      <c r="A77" s="1">
        <v>12</v>
      </c>
      <c r="B77" s="1" t="s">
        <v>18</v>
      </c>
      <c r="C77" s="1" t="s">
        <v>133</v>
      </c>
      <c r="D77" s="1">
        <v>1.802</v>
      </c>
      <c r="E77" s="1">
        <v>8.9999999999999993E-3</v>
      </c>
      <c r="F77" s="1">
        <v>-2.5449999999999999</v>
      </c>
      <c r="G77" s="1">
        <v>4.2000000000000003E-2</v>
      </c>
      <c r="H77" s="1" t="s">
        <v>12</v>
      </c>
      <c r="I77" s="1" t="s">
        <v>413</v>
      </c>
      <c r="J77" s="1" t="s">
        <v>453</v>
      </c>
      <c r="K77" s="1" t="s">
        <v>454</v>
      </c>
      <c r="L77" s="1" t="s">
        <v>455</v>
      </c>
      <c r="AI77">
        <v>915</v>
      </c>
      <c r="AJ77">
        <v>2451</v>
      </c>
      <c r="AK77">
        <v>2259</v>
      </c>
      <c r="AL77">
        <v>2127</v>
      </c>
      <c r="AM77">
        <f t="shared" si="2"/>
        <v>36</v>
      </c>
    </row>
    <row r="78" spans="1:39" x14ac:dyDescent="0.2">
      <c r="A78" s="1">
        <v>13</v>
      </c>
      <c r="B78" s="1" t="s">
        <v>20</v>
      </c>
      <c r="C78" s="1" t="s">
        <v>133</v>
      </c>
      <c r="D78" s="1">
        <v>1.8540000000000001</v>
      </c>
      <c r="E78" s="1">
        <v>1.6E-2</v>
      </c>
      <c r="F78" s="1">
        <v>-2.6509999999999998</v>
      </c>
      <c r="G78" s="1">
        <v>2.1999999999999999E-2</v>
      </c>
      <c r="H78" s="1" t="s">
        <v>12</v>
      </c>
      <c r="I78" s="1" t="s">
        <v>413</v>
      </c>
      <c r="J78" s="1" t="s">
        <v>450</v>
      </c>
      <c r="K78" s="1" t="s">
        <v>451</v>
      </c>
      <c r="L78" s="1" t="s">
        <v>452</v>
      </c>
      <c r="AI78">
        <v>820</v>
      </c>
      <c r="AJ78">
        <v>1778</v>
      </c>
      <c r="AK78">
        <v>1644</v>
      </c>
      <c r="AL78">
        <v>1580</v>
      </c>
      <c r="AM78">
        <f t="shared" si="2"/>
        <v>36</v>
      </c>
    </row>
    <row r="79" spans="1:39" x14ac:dyDescent="0.2">
      <c r="A79" s="1">
        <v>14</v>
      </c>
      <c r="B79" s="1" t="s">
        <v>22</v>
      </c>
      <c r="C79" s="1" t="s">
        <v>133</v>
      </c>
      <c r="D79" s="1">
        <v>1.8580000000000001</v>
      </c>
      <c r="E79" s="1">
        <v>1.4999999999999999E-2</v>
      </c>
      <c r="F79" s="1">
        <v>-2.339</v>
      </c>
      <c r="G79" s="1">
        <v>2.3E-2</v>
      </c>
      <c r="H79" s="1" t="s">
        <v>12</v>
      </c>
      <c r="I79" s="1" t="s">
        <v>413</v>
      </c>
      <c r="J79" s="1" t="s">
        <v>447</v>
      </c>
      <c r="K79" s="1" t="s">
        <v>448</v>
      </c>
      <c r="L79" s="1" t="s">
        <v>449</v>
      </c>
      <c r="AI79">
        <v>983</v>
      </c>
      <c r="AJ79">
        <v>3839</v>
      </c>
      <c r="AK79">
        <v>3709</v>
      </c>
      <c r="AL79">
        <v>3533</v>
      </c>
      <c r="AM79">
        <f t="shared" si="2"/>
        <v>36</v>
      </c>
    </row>
    <row r="80" spans="1:39" x14ac:dyDescent="0.2">
      <c r="A80" s="1">
        <v>15</v>
      </c>
      <c r="B80" s="1" t="s">
        <v>24</v>
      </c>
      <c r="C80" s="1" t="s">
        <v>133</v>
      </c>
      <c r="D80" s="1">
        <v>1.8109999999999999</v>
      </c>
      <c r="E80" s="1">
        <v>2.5000000000000001E-2</v>
      </c>
      <c r="F80" s="1">
        <v>-2.5979999999999999</v>
      </c>
      <c r="G80" s="1">
        <v>2.3E-2</v>
      </c>
      <c r="H80" s="1" t="s">
        <v>12</v>
      </c>
      <c r="I80" s="1" t="s">
        <v>413</v>
      </c>
      <c r="J80" s="1" t="s">
        <v>444</v>
      </c>
      <c r="K80" s="1" t="s">
        <v>445</v>
      </c>
      <c r="L80" s="1" t="s">
        <v>446</v>
      </c>
      <c r="AI80">
        <v>837</v>
      </c>
      <c r="AJ80">
        <v>2154</v>
      </c>
      <c r="AK80">
        <v>2066</v>
      </c>
      <c r="AL80">
        <v>1946</v>
      </c>
      <c r="AM80">
        <f t="shared" si="2"/>
        <v>36</v>
      </c>
    </row>
    <row r="81" spans="1:39" x14ac:dyDescent="0.2">
      <c r="A81" s="1">
        <v>16</v>
      </c>
      <c r="B81" s="1" t="s">
        <v>26</v>
      </c>
      <c r="C81" s="1" t="s">
        <v>133</v>
      </c>
      <c r="D81" s="1">
        <v>1.8240000000000001</v>
      </c>
      <c r="E81" s="1">
        <v>8.0000000000000002E-3</v>
      </c>
      <c r="F81" s="1">
        <v>-2.5190000000000001</v>
      </c>
      <c r="G81" s="1">
        <v>2.8000000000000001E-2</v>
      </c>
      <c r="H81" s="1" t="s">
        <v>12</v>
      </c>
      <c r="I81" s="1" t="s">
        <v>413</v>
      </c>
      <c r="J81" s="1" t="s">
        <v>441</v>
      </c>
      <c r="K81" s="1" t="s">
        <v>442</v>
      </c>
      <c r="L81" s="1" t="s">
        <v>443</v>
      </c>
      <c r="AI81">
        <v>919</v>
      </c>
      <c r="AJ81">
        <v>3170</v>
      </c>
      <c r="AK81">
        <v>3048</v>
      </c>
      <c r="AL81">
        <v>2886</v>
      </c>
      <c r="AM81">
        <f t="shared" si="2"/>
        <v>36</v>
      </c>
    </row>
    <row r="82" spans="1:39" x14ac:dyDescent="0.2">
      <c r="A82" s="1">
        <v>17</v>
      </c>
      <c r="B82" s="1" t="s">
        <v>28</v>
      </c>
      <c r="C82" s="1" t="s">
        <v>133</v>
      </c>
      <c r="D82" s="1">
        <v>1.8260000000000001</v>
      </c>
      <c r="E82" s="1">
        <v>1.2E-2</v>
      </c>
      <c r="F82" s="1">
        <v>-2.5350000000000001</v>
      </c>
      <c r="G82" s="1">
        <v>1.2999999999999999E-2</v>
      </c>
      <c r="H82" s="1" t="s">
        <v>12</v>
      </c>
      <c r="I82" s="1" t="s">
        <v>413</v>
      </c>
      <c r="J82" s="1" t="s">
        <v>438</v>
      </c>
      <c r="K82" s="1" t="s">
        <v>439</v>
      </c>
      <c r="L82" s="1" t="s">
        <v>440</v>
      </c>
      <c r="AI82">
        <v>912</v>
      </c>
      <c r="AJ82">
        <v>3174</v>
      </c>
      <c r="AK82">
        <v>3066</v>
      </c>
      <c r="AL82">
        <v>2910</v>
      </c>
      <c r="AM82">
        <f t="shared" si="2"/>
        <v>36</v>
      </c>
    </row>
    <row r="83" spans="1:39" x14ac:dyDescent="0.2">
      <c r="A83" s="1">
        <v>18</v>
      </c>
      <c r="B83" s="1" t="s">
        <v>30</v>
      </c>
      <c r="C83" s="1" t="s">
        <v>133</v>
      </c>
      <c r="D83" s="1">
        <v>1.8069999999999999</v>
      </c>
      <c r="E83" s="1">
        <v>1.7000000000000001E-2</v>
      </c>
      <c r="F83" s="1">
        <v>-2.5030000000000001</v>
      </c>
      <c r="G83" s="1">
        <v>3.9E-2</v>
      </c>
      <c r="H83" s="1" t="s">
        <v>12</v>
      </c>
      <c r="I83" s="1" t="s">
        <v>413</v>
      </c>
      <c r="J83" s="1" t="s">
        <v>435</v>
      </c>
      <c r="K83" s="1" t="s">
        <v>436</v>
      </c>
      <c r="L83" s="1" t="s">
        <v>437</v>
      </c>
      <c r="AI83">
        <v>848</v>
      </c>
      <c r="AJ83">
        <v>2307</v>
      </c>
      <c r="AK83">
        <v>2201</v>
      </c>
      <c r="AL83">
        <v>2072</v>
      </c>
      <c r="AM83">
        <f t="shared" si="2"/>
        <v>36</v>
      </c>
    </row>
    <row r="84" spans="1:39" x14ac:dyDescent="0.2">
      <c r="A84" s="1">
        <v>19</v>
      </c>
      <c r="B84" s="1" t="s">
        <v>32</v>
      </c>
      <c r="C84" s="1" t="s">
        <v>133</v>
      </c>
      <c r="D84" s="1">
        <v>1.835</v>
      </c>
      <c r="E84" s="1">
        <v>1.9E-2</v>
      </c>
      <c r="F84" s="1">
        <v>-2.5419999999999998</v>
      </c>
      <c r="G84" s="1">
        <v>0.04</v>
      </c>
      <c r="H84" s="1" t="s">
        <v>12</v>
      </c>
      <c r="I84" s="1" t="s">
        <v>413</v>
      </c>
      <c r="J84" s="1" t="s">
        <v>432</v>
      </c>
      <c r="K84" s="1" t="s">
        <v>433</v>
      </c>
      <c r="L84" s="1" t="s">
        <v>434</v>
      </c>
      <c r="AI84">
        <v>837</v>
      </c>
      <c r="AJ84">
        <v>2333</v>
      </c>
      <c r="AK84">
        <v>2255</v>
      </c>
      <c r="AL84">
        <v>2170</v>
      </c>
      <c r="AM84">
        <f t="shared" si="2"/>
        <v>36</v>
      </c>
    </row>
    <row r="85" spans="1:39" x14ac:dyDescent="0.2">
      <c r="A85" s="1">
        <v>20</v>
      </c>
      <c r="B85" s="1" t="s">
        <v>36</v>
      </c>
      <c r="C85" s="1" t="s">
        <v>133</v>
      </c>
      <c r="D85" s="1">
        <v>1.788</v>
      </c>
      <c r="E85" s="1">
        <v>1.0999999999999999E-2</v>
      </c>
      <c r="F85" s="1">
        <v>-2.4079999999999999</v>
      </c>
      <c r="G85" s="1">
        <v>2.5999999999999999E-2</v>
      </c>
      <c r="H85" s="1" t="s">
        <v>12</v>
      </c>
      <c r="I85" s="1" t="s">
        <v>413</v>
      </c>
      <c r="J85" s="1" t="s">
        <v>429</v>
      </c>
      <c r="K85" s="1" t="s">
        <v>430</v>
      </c>
      <c r="L85" s="1" t="s">
        <v>431</v>
      </c>
      <c r="AI85">
        <v>873</v>
      </c>
      <c r="AJ85">
        <v>2496</v>
      </c>
      <c r="AK85">
        <v>2329</v>
      </c>
      <c r="AL85">
        <v>2194</v>
      </c>
      <c r="AM85">
        <f t="shared" si="2"/>
        <v>36</v>
      </c>
    </row>
    <row r="86" spans="1:39" x14ac:dyDescent="0.2">
      <c r="A86" s="1">
        <v>21</v>
      </c>
      <c r="B86" s="1" t="s">
        <v>73</v>
      </c>
      <c r="C86" s="1" t="s">
        <v>133</v>
      </c>
      <c r="D86" s="1">
        <v>1.7989999999999999</v>
      </c>
      <c r="E86" s="1">
        <v>1.7999999999999999E-2</v>
      </c>
      <c r="F86" s="1">
        <v>-2.625</v>
      </c>
      <c r="G86" s="1">
        <v>0.03</v>
      </c>
      <c r="H86" s="1" t="s">
        <v>12</v>
      </c>
      <c r="I86" s="1" t="s">
        <v>413</v>
      </c>
      <c r="J86" s="1" t="s">
        <v>426</v>
      </c>
      <c r="K86" s="1" t="s">
        <v>427</v>
      </c>
      <c r="L86" s="1" t="s">
        <v>428</v>
      </c>
      <c r="AI86">
        <v>908</v>
      </c>
      <c r="AJ86">
        <v>2646</v>
      </c>
      <c r="AK86">
        <v>2545</v>
      </c>
      <c r="AL86">
        <v>2438</v>
      </c>
      <c r="AM86">
        <f t="shared" si="2"/>
        <v>36</v>
      </c>
    </row>
    <row r="87" spans="1:39" x14ac:dyDescent="0.2">
      <c r="A87" s="1">
        <v>22</v>
      </c>
      <c r="B87" s="1" t="s">
        <v>75</v>
      </c>
      <c r="C87" s="1" t="s">
        <v>133</v>
      </c>
      <c r="D87" s="1">
        <v>1.8149999999999999</v>
      </c>
      <c r="E87" s="1">
        <v>8.9999999999999993E-3</v>
      </c>
      <c r="F87" s="1">
        <v>-2.4630000000000001</v>
      </c>
      <c r="G87" s="1">
        <v>3.2000000000000001E-2</v>
      </c>
      <c r="H87" s="1" t="s">
        <v>12</v>
      </c>
      <c r="I87" s="1" t="s">
        <v>413</v>
      </c>
      <c r="J87" s="1" t="s">
        <v>423</v>
      </c>
      <c r="K87" s="1" t="s">
        <v>424</v>
      </c>
      <c r="L87" s="1" t="s">
        <v>425</v>
      </c>
      <c r="AI87">
        <v>884</v>
      </c>
      <c r="AJ87">
        <v>2786</v>
      </c>
      <c r="AK87">
        <v>2688</v>
      </c>
      <c r="AL87">
        <v>2575</v>
      </c>
      <c r="AM87">
        <f t="shared" si="2"/>
        <v>36</v>
      </c>
    </row>
    <row r="88" spans="1:39" x14ac:dyDescent="0.2">
      <c r="A88" s="1">
        <v>23</v>
      </c>
      <c r="B88" s="1" t="s">
        <v>207</v>
      </c>
      <c r="C88" s="1" t="s">
        <v>133</v>
      </c>
      <c r="D88" s="1">
        <v>1.8380000000000001</v>
      </c>
      <c r="E88" s="1">
        <v>2.5000000000000001E-2</v>
      </c>
      <c r="F88" s="1">
        <v>-2.448</v>
      </c>
      <c r="G88" s="1">
        <v>3.5000000000000003E-2</v>
      </c>
      <c r="H88" s="1" t="s">
        <v>12</v>
      </c>
      <c r="I88" s="1" t="s">
        <v>413</v>
      </c>
      <c r="J88" s="1" t="s">
        <v>420</v>
      </c>
      <c r="K88" s="1" t="s">
        <v>421</v>
      </c>
      <c r="L88" s="1" t="s">
        <v>422</v>
      </c>
      <c r="AI88">
        <v>841</v>
      </c>
      <c r="AJ88">
        <v>2526</v>
      </c>
      <c r="AK88">
        <v>2445</v>
      </c>
      <c r="AL88">
        <v>2350</v>
      </c>
      <c r="AM88">
        <f t="shared" si="2"/>
        <v>36</v>
      </c>
    </row>
    <row r="89" spans="1:39" x14ac:dyDescent="0.2">
      <c r="A89" s="1">
        <v>24</v>
      </c>
      <c r="B89" s="1" t="s">
        <v>209</v>
      </c>
      <c r="C89" s="1" t="s">
        <v>133</v>
      </c>
      <c r="D89" s="1">
        <v>1.87</v>
      </c>
      <c r="E89" s="1">
        <v>1.0999999999999999E-2</v>
      </c>
      <c r="F89" s="1">
        <v>-2.4289999999999998</v>
      </c>
      <c r="G89" s="1">
        <v>2.5000000000000001E-2</v>
      </c>
      <c r="H89" s="1" t="s">
        <v>12</v>
      </c>
      <c r="I89" s="1" t="s">
        <v>413</v>
      </c>
      <c r="J89" s="1" t="s">
        <v>417</v>
      </c>
      <c r="K89" s="1" t="s">
        <v>418</v>
      </c>
      <c r="L89" s="1" t="s">
        <v>419</v>
      </c>
      <c r="AI89">
        <v>905</v>
      </c>
      <c r="AJ89">
        <v>2829</v>
      </c>
      <c r="AK89">
        <v>2597</v>
      </c>
      <c r="AL89">
        <v>2442</v>
      </c>
      <c r="AM89">
        <f t="shared" si="2"/>
        <v>36</v>
      </c>
    </row>
    <row r="90" spans="1:39" x14ac:dyDescent="0.2">
      <c r="A90" s="1">
        <v>25</v>
      </c>
      <c r="B90" s="1" t="s">
        <v>285</v>
      </c>
      <c r="C90" s="1" t="s">
        <v>133</v>
      </c>
      <c r="D90" s="1">
        <v>1.8480000000000001</v>
      </c>
      <c r="E90" s="1">
        <v>1.7999999999999999E-2</v>
      </c>
      <c r="F90" s="1">
        <v>-2.5750000000000002</v>
      </c>
      <c r="G90" s="1">
        <v>2.5000000000000001E-2</v>
      </c>
      <c r="H90" s="1" t="s">
        <v>12</v>
      </c>
      <c r="I90" s="1" t="s">
        <v>413</v>
      </c>
      <c r="J90" s="1" t="s">
        <v>414</v>
      </c>
      <c r="K90" s="1" t="s">
        <v>415</v>
      </c>
      <c r="L90" s="1" t="s">
        <v>416</v>
      </c>
      <c r="AI90">
        <v>859</v>
      </c>
      <c r="AJ90">
        <v>2731</v>
      </c>
      <c r="AK90">
        <v>2628</v>
      </c>
      <c r="AL90">
        <v>2505</v>
      </c>
      <c r="AM90">
        <f t="shared" si="2"/>
        <v>36</v>
      </c>
    </row>
    <row r="91" spans="1:39" x14ac:dyDescent="0.2">
      <c r="A91" s="1">
        <v>26</v>
      </c>
      <c r="B91" s="1" t="s">
        <v>212</v>
      </c>
      <c r="C91" s="1" t="s">
        <v>133</v>
      </c>
      <c r="D91" s="1">
        <v>1.8759999999999999</v>
      </c>
      <c r="E91" s="1">
        <v>0.02</v>
      </c>
      <c r="F91" s="1">
        <v>-2.339</v>
      </c>
      <c r="G91" s="1">
        <v>3.1E-2</v>
      </c>
      <c r="H91" s="1" t="s">
        <v>12</v>
      </c>
      <c r="I91" s="1" t="s">
        <v>349</v>
      </c>
      <c r="J91" s="1" t="s">
        <v>410</v>
      </c>
      <c r="K91" s="1" t="s">
        <v>411</v>
      </c>
      <c r="L91" s="1" t="s">
        <v>412</v>
      </c>
      <c r="AI91">
        <v>891</v>
      </c>
      <c r="AJ91">
        <v>2645</v>
      </c>
      <c r="AK91">
        <v>2570</v>
      </c>
      <c r="AL91">
        <v>2460</v>
      </c>
      <c r="AM91">
        <f t="shared" si="2"/>
        <v>36</v>
      </c>
    </row>
    <row r="92" spans="1:39" x14ac:dyDescent="0.2">
      <c r="A92" s="1">
        <v>27</v>
      </c>
      <c r="B92" s="1" t="s">
        <v>214</v>
      </c>
      <c r="C92" s="1" t="s">
        <v>133</v>
      </c>
      <c r="D92" s="1">
        <v>1.8120000000000001</v>
      </c>
      <c r="E92" s="1">
        <v>1.9E-2</v>
      </c>
      <c r="F92" s="1">
        <v>-2.5350000000000001</v>
      </c>
      <c r="G92" s="1">
        <v>3.2000000000000001E-2</v>
      </c>
      <c r="H92" s="1" t="s">
        <v>12</v>
      </c>
      <c r="I92" s="1" t="s">
        <v>349</v>
      </c>
      <c r="J92" s="1" t="s">
        <v>407</v>
      </c>
      <c r="K92" s="1" t="s">
        <v>408</v>
      </c>
      <c r="L92" s="1" t="s">
        <v>409</v>
      </c>
      <c r="AI92">
        <v>926</v>
      </c>
      <c r="AJ92">
        <v>3003</v>
      </c>
      <c r="AK92">
        <v>2894</v>
      </c>
      <c r="AL92">
        <v>2734</v>
      </c>
      <c r="AM92">
        <f t="shared" si="2"/>
        <v>36</v>
      </c>
    </row>
    <row r="93" spans="1:39" x14ac:dyDescent="0.2">
      <c r="A93" s="1">
        <v>28</v>
      </c>
      <c r="B93" s="1" t="s">
        <v>216</v>
      </c>
      <c r="C93" s="1" t="s">
        <v>133</v>
      </c>
      <c r="D93" s="1">
        <v>1.7829999999999999</v>
      </c>
      <c r="E93" s="1">
        <v>1.7999999999999999E-2</v>
      </c>
      <c r="F93" s="1">
        <v>-2.6230000000000002</v>
      </c>
      <c r="G93" s="1">
        <v>1.4999999999999999E-2</v>
      </c>
      <c r="H93" s="1" t="s">
        <v>12</v>
      </c>
      <c r="I93" s="1" t="s">
        <v>349</v>
      </c>
      <c r="J93" s="1" t="s">
        <v>404</v>
      </c>
      <c r="K93" s="1" t="s">
        <v>405</v>
      </c>
      <c r="L93" s="1" t="s">
        <v>406</v>
      </c>
      <c r="AI93">
        <v>845</v>
      </c>
      <c r="AJ93">
        <v>2548</v>
      </c>
      <c r="AK93">
        <v>2465</v>
      </c>
      <c r="AL93">
        <v>2364</v>
      </c>
      <c r="AM93">
        <f t="shared" si="2"/>
        <v>36</v>
      </c>
    </row>
    <row r="94" spans="1:39" x14ac:dyDescent="0.2">
      <c r="A94" s="1">
        <v>29</v>
      </c>
      <c r="B94" s="1" t="s">
        <v>218</v>
      </c>
      <c r="C94" s="1" t="s">
        <v>133</v>
      </c>
      <c r="D94" s="1">
        <v>1.8560000000000001</v>
      </c>
      <c r="E94" s="1">
        <v>1.2E-2</v>
      </c>
      <c r="F94" s="1">
        <v>-2.3889999999999998</v>
      </c>
      <c r="G94" s="1">
        <v>1.2999999999999999E-2</v>
      </c>
      <c r="H94" s="1" t="s">
        <v>12</v>
      </c>
      <c r="I94" s="1" t="s">
        <v>349</v>
      </c>
      <c r="J94" s="1" t="s">
        <v>401</v>
      </c>
      <c r="K94" s="1" t="s">
        <v>402</v>
      </c>
      <c r="L94" s="1" t="s">
        <v>403</v>
      </c>
      <c r="AI94">
        <v>876</v>
      </c>
      <c r="AJ94">
        <v>2726</v>
      </c>
      <c r="AK94">
        <v>2527</v>
      </c>
      <c r="AL94">
        <v>2380</v>
      </c>
      <c r="AM94">
        <f t="shared" si="2"/>
        <v>36</v>
      </c>
    </row>
    <row r="95" spans="1:39" x14ac:dyDescent="0.2">
      <c r="A95" s="1">
        <v>30</v>
      </c>
      <c r="B95" s="1" t="s">
        <v>221</v>
      </c>
      <c r="C95" s="1" t="s">
        <v>133</v>
      </c>
      <c r="D95" s="1">
        <v>1.792</v>
      </c>
      <c r="E95" s="1">
        <v>1.2E-2</v>
      </c>
      <c r="F95" s="1">
        <v>-2.512</v>
      </c>
      <c r="G95" s="1">
        <v>3.2000000000000001E-2</v>
      </c>
      <c r="H95" s="1" t="s">
        <v>12</v>
      </c>
      <c r="I95" s="1" t="s">
        <v>349</v>
      </c>
      <c r="J95" s="1" t="s">
        <v>398</v>
      </c>
      <c r="K95" s="1" t="s">
        <v>399</v>
      </c>
      <c r="L95" s="1" t="s">
        <v>400</v>
      </c>
      <c r="AI95">
        <v>908</v>
      </c>
      <c r="AJ95">
        <v>2605</v>
      </c>
      <c r="AK95">
        <v>2513</v>
      </c>
      <c r="AL95">
        <v>2380</v>
      </c>
      <c r="AM95">
        <f t="shared" si="2"/>
        <v>36</v>
      </c>
    </row>
    <row r="96" spans="1:39" x14ac:dyDescent="0.2">
      <c r="A96" s="1">
        <v>31</v>
      </c>
      <c r="B96" s="1" t="s">
        <v>244</v>
      </c>
      <c r="C96" s="1" t="s">
        <v>133</v>
      </c>
      <c r="D96" s="1">
        <v>1.8360000000000001</v>
      </c>
      <c r="E96" s="1">
        <v>0.03</v>
      </c>
      <c r="F96" s="1">
        <v>-2.6019999999999999</v>
      </c>
      <c r="G96" s="1">
        <v>1.4999999999999999E-2</v>
      </c>
      <c r="H96" s="1" t="s">
        <v>12</v>
      </c>
      <c r="I96" s="1" t="s">
        <v>349</v>
      </c>
      <c r="J96" s="1" t="s">
        <v>395</v>
      </c>
      <c r="K96" s="1" t="s">
        <v>396</v>
      </c>
      <c r="L96" s="1" t="s">
        <v>397</v>
      </c>
      <c r="AI96">
        <v>784</v>
      </c>
      <c r="AJ96">
        <v>2046</v>
      </c>
      <c r="AK96">
        <v>1965</v>
      </c>
      <c r="AL96">
        <v>1856</v>
      </c>
      <c r="AM96">
        <f t="shared" si="2"/>
        <v>36</v>
      </c>
    </row>
    <row r="97" spans="1:39" x14ac:dyDescent="0.2">
      <c r="A97" s="1">
        <v>32</v>
      </c>
      <c r="B97" s="1" t="s">
        <v>293</v>
      </c>
      <c r="C97" s="1" t="s">
        <v>133</v>
      </c>
      <c r="D97" s="1">
        <v>1.8680000000000001</v>
      </c>
      <c r="E97" s="1">
        <v>1.4999999999999999E-2</v>
      </c>
      <c r="F97" s="1">
        <v>-2.4380000000000002</v>
      </c>
      <c r="G97" s="1">
        <v>2.9000000000000001E-2</v>
      </c>
      <c r="H97" s="1" t="s">
        <v>12</v>
      </c>
      <c r="I97" s="1" t="s">
        <v>349</v>
      </c>
      <c r="J97" s="1" t="s">
        <v>392</v>
      </c>
      <c r="K97" s="1" t="s">
        <v>393</v>
      </c>
      <c r="L97" s="1" t="s">
        <v>394</v>
      </c>
      <c r="AI97">
        <v>884</v>
      </c>
      <c r="AJ97">
        <v>3012</v>
      </c>
      <c r="AK97">
        <v>2906</v>
      </c>
      <c r="AL97">
        <v>2761</v>
      </c>
      <c r="AM97">
        <f t="shared" si="2"/>
        <v>36</v>
      </c>
    </row>
    <row r="98" spans="1:39" x14ac:dyDescent="0.2">
      <c r="A98" s="1">
        <v>33</v>
      </c>
      <c r="B98" s="1" t="s">
        <v>230</v>
      </c>
      <c r="C98" s="1" t="s">
        <v>133</v>
      </c>
      <c r="D98" s="1">
        <v>1.794</v>
      </c>
      <c r="E98" s="1">
        <v>1.2E-2</v>
      </c>
      <c r="F98" s="1">
        <v>-2.5009999999999999</v>
      </c>
      <c r="G98" s="1">
        <v>1.4999999999999999E-2</v>
      </c>
      <c r="H98" s="1" t="s">
        <v>12</v>
      </c>
      <c r="I98" s="1" t="s">
        <v>349</v>
      </c>
      <c r="J98" s="1" t="s">
        <v>389</v>
      </c>
      <c r="K98" s="1" t="s">
        <v>390</v>
      </c>
      <c r="L98" s="1" t="s">
        <v>391</v>
      </c>
      <c r="AI98">
        <v>901</v>
      </c>
      <c r="AJ98">
        <v>2629</v>
      </c>
      <c r="AK98">
        <v>2393</v>
      </c>
      <c r="AL98">
        <v>2250</v>
      </c>
      <c r="AM98">
        <f t="shared" si="2"/>
        <v>36</v>
      </c>
    </row>
    <row r="99" spans="1:39" x14ac:dyDescent="0.2">
      <c r="A99" s="1">
        <v>34</v>
      </c>
      <c r="B99" s="1" t="s">
        <v>235</v>
      </c>
      <c r="C99" s="1" t="s">
        <v>133</v>
      </c>
      <c r="D99" s="1">
        <v>1.7909999999999999</v>
      </c>
      <c r="E99" s="1">
        <v>1.7999999999999999E-2</v>
      </c>
      <c r="F99" s="1">
        <v>-2.6059999999999999</v>
      </c>
      <c r="G99" s="1">
        <v>3.3000000000000002E-2</v>
      </c>
      <c r="H99" s="1" t="s">
        <v>12</v>
      </c>
      <c r="I99" s="1" t="s">
        <v>349</v>
      </c>
      <c r="J99" s="1" t="s">
        <v>386</v>
      </c>
      <c r="K99" s="1" t="s">
        <v>387</v>
      </c>
      <c r="L99" s="1" t="s">
        <v>388</v>
      </c>
      <c r="AI99">
        <v>845</v>
      </c>
      <c r="AJ99">
        <v>2514</v>
      </c>
      <c r="AK99">
        <v>2419</v>
      </c>
      <c r="AL99">
        <v>2299</v>
      </c>
      <c r="AM99">
        <f t="shared" si="2"/>
        <v>36</v>
      </c>
    </row>
    <row r="100" spans="1:39" x14ac:dyDescent="0.2">
      <c r="A100" s="1">
        <v>35</v>
      </c>
      <c r="B100" s="1" t="s">
        <v>239</v>
      </c>
      <c r="C100" s="1" t="s">
        <v>133</v>
      </c>
      <c r="D100" s="1">
        <v>1.929</v>
      </c>
      <c r="E100" s="1">
        <v>1.4E-2</v>
      </c>
      <c r="F100" s="1">
        <v>-2.3370000000000002</v>
      </c>
      <c r="G100" s="1">
        <v>2.5999999999999999E-2</v>
      </c>
      <c r="H100" s="1" t="s">
        <v>12</v>
      </c>
      <c r="I100" s="1" t="s">
        <v>349</v>
      </c>
      <c r="J100" s="1" t="s">
        <v>383</v>
      </c>
      <c r="K100" s="1" t="s">
        <v>384</v>
      </c>
      <c r="L100" s="1" t="s">
        <v>385</v>
      </c>
      <c r="AI100">
        <v>873</v>
      </c>
      <c r="AJ100">
        <v>2761</v>
      </c>
      <c r="AK100">
        <v>2671</v>
      </c>
      <c r="AL100">
        <v>2558</v>
      </c>
      <c r="AM100">
        <f t="shared" si="2"/>
        <v>36</v>
      </c>
    </row>
    <row r="101" spans="1:39" x14ac:dyDescent="0.2">
      <c r="A101" s="1">
        <v>36</v>
      </c>
      <c r="B101" s="1" t="s">
        <v>243</v>
      </c>
      <c r="C101" s="1" t="s">
        <v>133</v>
      </c>
      <c r="D101" s="1">
        <v>1.784</v>
      </c>
      <c r="E101" s="1">
        <v>1.4E-2</v>
      </c>
      <c r="F101" s="1">
        <v>-2.67</v>
      </c>
      <c r="G101" s="1">
        <v>1.9E-2</v>
      </c>
      <c r="H101" s="1" t="s">
        <v>12</v>
      </c>
      <c r="I101" s="1" t="s">
        <v>349</v>
      </c>
      <c r="J101" s="1" t="s">
        <v>380</v>
      </c>
      <c r="K101" s="1" t="s">
        <v>381</v>
      </c>
      <c r="L101" s="1" t="s">
        <v>382</v>
      </c>
      <c r="AI101">
        <v>806</v>
      </c>
      <c r="AJ101">
        <v>2059</v>
      </c>
      <c r="AK101">
        <v>2024</v>
      </c>
      <c r="AL101">
        <v>1908</v>
      </c>
      <c r="AM101">
        <f t="shared" si="2"/>
        <v>36</v>
      </c>
    </row>
    <row r="102" spans="1:39" x14ac:dyDescent="0.2">
      <c r="A102" s="1">
        <v>37</v>
      </c>
      <c r="B102" s="1" t="s">
        <v>299</v>
      </c>
      <c r="C102" s="1" t="s">
        <v>133</v>
      </c>
      <c r="D102" s="1">
        <v>1.885</v>
      </c>
      <c r="E102" s="1">
        <v>0.02</v>
      </c>
      <c r="F102" s="1">
        <v>-2.4239999999999999</v>
      </c>
      <c r="G102" s="1">
        <v>2.4E-2</v>
      </c>
      <c r="H102" s="1" t="s">
        <v>12</v>
      </c>
      <c r="I102" s="1" t="s">
        <v>349</v>
      </c>
      <c r="J102" s="1" t="s">
        <v>377</v>
      </c>
      <c r="K102" s="1" t="s">
        <v>378</v>
      </c>
      <c r="L102" s="1" t="s">
        <v>379</v>
      </c>
      <c r="AI102">
        <v>940</v>
      </c>
      <c r="AJ102">
        <v>2984</v>
      </c>
      <c r="AK102">
        <v>2853</v>
      </c>
      <c r="AL102">
        <v>2686</v>
      </c>
      <c r="AM102">
        <f t="shared" si="2"/>
        <v>36</v>
      </c>
    </row>
    <row r="103" spans="1:39" x14ac:dyDescent="0.2">
      <c r="A103" s="1">
        <v>38</v>
      </c>
      <c r="B103" s="1" t="s">
        <v>301</v>
      </c>
      <c r="C103" s="1" t="s">
        <v>133</v>
      </c>
      <c r="D103" s="1">
        <v>1.7569999999999999</v>
      </c>
      <c r="E103" s="1">
        <v>3.2000000000000001E-2</v>
      </c>
      <c r="F103" s="1">
        <v>-2.69</v>
      </c>
      <c r="G103" s="1">
        <v>2.5999999999999999E-2</v>
      </c>
      <c r="H103" s="1" t="s">
        <v>12</v>
      </c>
      <c r="I103" s="1" t="s">
        <v>349</v>
      </c>
      <c r="J103" s="1" t="s">
        <v>374</v>
      </c>
      <c r="K103" s="1" t="s">
        <v>375</v>
      </c>
      <c r="L103" s="1" t="s">
        <v>376</v>
      </c>
      <c r="AI103">
        <v>908</v>
      </c>
      <c r="AJ103">
        <v>2784</v>
      </c>
      <c r="AK103">
        <v>2678</v>
      </c>
      <c r="AL103">
        <v>2563</v>
      </c>
      <c r="AM103">
        <f t="shared" si="2"/>
        <v>36</v>
      </c>
    </row>
    <row r="104" spans="1:39" x14ac:dyDescent="0.2">
      <c r="A104" s="1">
        <v>39</v>
      </c>
      <c r="B104" s="1" t="s">
        <v>303</v>
      </c>
      <c r="C104" s="1" t="s">
        <v>133</v>
      </c>
      <c r="D104" s="1">
        <v>1.853</v>
      </c>
      <c r="E104" s="1">
        <v>1.4999999999999999E-2</v>
      </c>
      <c r="F104" s="1">
        <v>-2.444</v>
      </c>
      <c r="G104" s="1">
        <v>3.6999999999999998E-2</v>
      </c>
      <c r="H104" s="1" t="s">
        <v>12</v>
      </c>
      <c r="I104" s="1" t="s">
        <v>349</v>
      </c>
      <c r="J104" s="1" t="s">
        <v>371</v>
      </c>
      <c r="K104" s="1" t="s">
        <v>372</v>
      </c>
      <c r="L104" s="1" t="s">
        <v>373</v>
      </c>
      <c r="AI104">
        <v>841</v>
      </c>
      <c r="AJ104">
        <v>2229</v>
      </c>
      <c r="AK104">
        <v>2132</v>
      </c>
      <c r="AL104">
        <v>2008</v>
      </c>
      <c r="AM104">
        <f t="shared" si="2"/>
        <v>36</v>
      </c>
    </row>
    <row r="105" spans="1:39" x14ac:dyDescent="0.2">
      <c r="A105" s="1">
        <v>40</v>
      </c>
      <c r="B105" s="1" t="s">
        <v>305</v>
      </c>
      <c r="C105" s="1" t="s">
        <v>133</v>
      </c>
      <c r="D105" s="1">
        <v>1.7949999999999999</v>
      </c>
      <c r="E105" s="1">
        <v>1.0999999999999999E-2</v>
      </c>
      <c r="F105" s="1">
        <v>-2.5339999999999998</v>
      </c>
      <c r="G105" s="1">
        <v>3.7999999999999999E-2</v>
      </c>
      <c r="H105" s="1" t="s">
        <v>12</v>
      </c>
      <c r="I105" s="1" t="s">
        <v>349</v>
      </c>
      <c r="J105" s="1" t="s">
        <v>368</v>
      </c>
      <c r="K105" s="1" t="s">
        <v>369</v>
      </c>
      <c r="L105" s="1" t="s">
        <v>370</v>
      </c>
      <c r="AI105">
        <v>898</v>
      </c>
      <c r="AJ105">
        <v>2616</v>
      </c>
      <c r="AK105">
        <v>2529</v>
      </c>
      <c r="AL105">
        <v>2420</v>
      </c>
      <c r="AM105">
        <f t="shared" si="2"/>
        <v>36</v>
      </c>
    </row>
    <row r="106" spans="1:39" x14ac:dyDescent="0.2">
      <c r="A106" s="1">
        <v>41</v>
      </c>
      <c r="B106" s="1" t="s">
        <v>307</v>
      </c>
      <c r="C106" s="1" t="s">
        <v>133</v>
      </c>
      <c r="D106" s="1">
        <v>1.8779999999999999</v>
      </c>
      <c r="E106" s="1">
        <v>1.7000000000000001E-2</v>
      </c>
      <c r="F106" s="1">
        <v>-2.5859999999999999</v>
      </c>
      <c r="G106" s="1">
        <v>2.1999999999999999E-2</v>
      </c>
      <c r="H106" s="1" t="s">
        <v>12</v>
      </c>
      <c r="I106" s="1" t="s">
        <v>349</v>
      </c>
      <c r="J106" s="1" t="s">
        <v>365</v>
      </c>
      <c r="K106" s="1" t="s">
        <v>366</v>
      </c>
      <c r="L106" s="1" t="s">
        <v>367</v>
      </c>
      <c r="AI106">
        <v>905</v>
      </c>
      <c r="AJ106">
        <v>2879</v>
      </c>
      <c r="AK106">
        <v>2766</v>
      </c>
      <c r="AL106">
        <v>2623</v>
      </c>
      <c r="AM106">
        <f t="shared" si="2"/>
        <v>36</v>
      </c>
    </row>
    <row r="107" spans="1:39" x14ac:dyDescent="0.2">
      <c r="A107" s="1">
        <v>42</v>
      </c>
      <c r="B107" s="1" t="s">
        <v>309</v>
      </c>
      <c r="C107" s="1" t="s">
        <v>133</v>
      </c>
      <c r="D107" s="1">
        <v>1.8049999999999999</v>
      </c>
      <c r="E107" s="1">
        <v>2.1999999999999999E-2</v>
      </c>
      <c r="F107" s="1">
        <v>-2.4860000000000002</v>
      </c>
      <c r="G107" s="1">
        <v>0.01</v>
      </c>
      <c r="H107" s="1" t="s">
        <v>12</v>
      </c>
      <c r="I107" s="1" t="s">
        <v>349</v>
      </c>
      <c r="J107" s="1" t="s">
        <v>362</v>
      </c>
      <c r="K107" s="1" t="s">
        <v>363</v>
      </c>
      <c r="L107" s="1" t="s">
        <v>364</v>
      </c>
      <c r="AI107">
        <v>876</v>
      </c>
      <c r="AJ107">
        <v>2423</v>
      </c>
      <c r="AK107">
        <v>2340</v>
      </c>
      <c r="AL107">
        <v>2243</v>
      </c>
      <c r="AM107">
        <f t="shared" si="2"/>
        <v>36</v>
      </c>
    </row>
    <row r="108" spans="1:39" x14ac:dyDescent="0.2">
      <c r="A108" s="1">
        <v>43</v>
      </c>
      <c r="B108" s="1" t="s">
        <v>311</v>
      </c>
      <c r="C108" s="1" t="s">
        <v>133</v>
      </c>
      <c r="D108" s="1">
        <v>1.865</v>
      </c>
      <c r="E108" s="1">
        <v>1.7999999999999999E-2</v>
      </c>
      <c r="F108" s="1">
        <v>-2.4969999999999999</v>
      </c>
      <c r="G108" s="1">
        <v>3.7999999999999999E-2</v>
      </c>
      <c r="H108" s="1" t="s">
        <v>12</v>
      </c>
      <c r="I108" s="1" t="s">
        <v>349</v>
      </c>
      <c r="J108" s="1" t="s">
        <v>359</v>
      </c>
      <c r="K108" s="1" t="s">
        <v>360</v>
      </c>
      <c r="L108" s="1" t="s">
        <v>361</v>
      </c>
      <c r="AI108">
        <v>933</v>
      </c>
      <c r="AJ108">
        <v>3068</v>
      </c>
      <c r="AK108">
        <v>2942</v>
      </c>
      <c r="AL108">
        <v>2783</v>
      </c>
      <c r="AM108">
        <f t="shared" si="2"/>
        <v>36</v>
      </c>
    </row>
    <row r="109" spans="1:39" x14ac:dyDescent="0.2">
      <c r="A109" s="1">
        <v>44</v>
      </c>
      <c r="B109" s="1" t="s">
        <v>313</v>
      </c>
      <c r="C109" s="1" t="s">
        <v>133</v>
      </c>
      <c r="D109" s="1">
        <v>1.89</v>
      </c>
      <c r="E109" s="1">
        <v>2.4E-2</v>
      </c>
      <c r="F109" s="1">
        <v>-2.4079999999999999</v>
      </c>
      <c r="G109" s="1">
        <v>3.3000000000000002E-2</v>
      </c>
      <c r="H109" s="1" t="s">
        <v>12</v>
      </c>
      <c r="I109" s="1" t="s">
        <v>349</v>
      </c>
      <c r="J109" s="1" t="s">
        <v>356</v>
      </c>
      <c r="K109" s="1" t="s">
        <v>357</v>
      </c>
      <c r="L109" s="1" t="s">
        <v>358</v>
      </c>
      <c r="AI109">
        <v>884</v>
      </c>
      <c r="AJ109">
        <v>2820</v>
      </c>
      <c r="AK109">
        <v>2724</v>
      </c>
      <c r="AL109">
        <v>2602</v>
      </c>
      <c r="AM109">
        <f t="shared" si="2"/>
        <v>36</v>
      </c>
    </row>
    <row r="110" spans="1:39" x14ac:dyDescent="0.2">
      <c r="A110" s="1">
        <v>45</v>
      </c>
      <c r="B110" s="1" t="s">
        <v>315</v>
      </c>
      <c r="C110" s="1" t="s">
        <v>133</v>
      </c>
      <c r="D110" s="1">
        <v>1.8340000000000001</v>
      </c>
      <c r="E110" s="1">
        <v>1.2999999999999999E-2</v>
      </c>
      <c r="F110" s="1">
        <v>-2.5150000000000001</v>
      </c>
      <c r="G110" s="1">
        <v>2.7E-2</v>
      </c>
      <c r="H110" s="1" t="s">
        <v>12</v>
      </c>
      <c r="I110" s="1" t="s">
        <v>349</v>
      </c>
      <c r="J110" s="1" t="s">
        <v>353</v>
      </c>
      <c r="K110" s="1" t="s">
        <v>354</v>
      </c>
      <c r="L110" s="1" t="s">
        <v>355</v>
      </c>
      <c r="AI110">
        <v>930</v>
      </c>
      <c r="AJ110">
        <v>2997</v>
      </c>
      <c r="AK110">
        <v>2873</v>
      </c>
      <c r="AL110">
        <v>2734</v>
      </c>
      <c r="AM110">
        <f t="shared" si="2"/>
        <v>36</v>
      </c>
    </row>
    <row r="111" spans="1:39" x14ac:dyDescent="0.2">
      <c r="A111" s="1">
        <v>46</v>
      </c>
      <c r="B111" s="1" t="s">
        <v>317</v>
      </c>
      <c r="C111" s="1" t="s">
        <v>133</v>
      </c>
      <c r="D111" s="1">
        <v>1.83</v>
      </c>
      <c r="E111" s="1">
        <v>1.9E-2</v>
      </c>
      <c r="F111" s="1">
        <v>-2.48</v>
      </c>
      <c r="G111" s="1">
        <v>2.5000000000000001E-2</v>
      </c>
      <c r="H111" s="1" t="s">
        <v>12</v>
      </c>
      <c r="I111" s="1" t="s">
        <v>349</v>
      </c>
      <c r="J111" s="1" t="s">
        <v>350</v>
      </c>
      <c r="K111" s="1" t="s">
        <v>351</v>
      </c>
      <c r="L111" s="1" t="s">
        <v>352</v>
      </c>
      <c r="AI111">
        <v>859</v>
      </c>
      <c r="AJ111">
        <v>2612</v>
      </c>
      <c r="AK111">
        <v>2513</v>
      </c>
      <c r="AL111">
        <v>2384</v>
      </c>
      <c r="AM111">
        <f t="shared" si="2"/>
        <v>36</v>
      </c>
    </row>
    <row r="112" spans="1:39" x14ac:dyDescent="0.2">
      <c r="A112" s="26" t="s">
        <v>91</v>
      </c>
      <c r="B112" s="26"/>
      <c r="C112" s="26"/>
      <c r="D112" s="27">
        <f>_xlfn.STDEV.S(D66:D111)</f>
        <v>3.6618736789490319E-2</v>
      </c>
      <c r="E112" s="27"/>
      <c r="F112" s="27">
        <f>_xlfn.STDEV.S(F66:F111)</f>
        <v>8.7908837827126024E-2</v>
      </c>
    </row>
    <row r="113" spans="1:6" x14ac:dyDescent="0.2">
      <c r="A113" s="26"/>
      <c r="B113" s="26"/>
      <c r="C113" s="26"/>
      <c r="D113" s="27">
        <f>AVERAGE(D66:D111)</f>
        <v>1.8258478260869566</v>
      </c>
      <c r="E113" s="27"/>
      <c r="F113" s="27">
        <f>AVERAGE(F66:F111)</f>
        <v>-2.5057608695652185</v>
      </c>
    </row>
  </sheetData>
  <sortState ref="A64:AL109">
    <sortCondition ref="A64"/>
  </sortState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T160"/>
  <sheetViews>
    <sheetView topLeftCell="A130" zoomScale="70" zoomScaleNormal="70" workbookViewId="0">
      <selection activeCell="E140" sqref="E140:Q160"/>
    </sheetView>
  </sheetViews>
  <sheetFormatPr defaultRowHeight="12.75" x14ac:dyDescent="0.2"/>
  <cols>
    <col min="5" max="44" width="9.140625" customWidth="1"/>
  </cols>
  <sheetData>
    <row r="2" spans="1:41" x14ac:dyDescent="0.2">
      <c r="A2" s="4">
        <v>42173</v>
      </c>
    </row>
    <row r="3" spans="1:41" x14ac:dyDescent="0.2">
      <c r="A3" s="1" t="s">
        <v>0</v>
      </c>
      <c r="B3" s="1" t="s">
        <v>1</v>
      </c>
      <c r="C3" s="1" t="s">
        <v>2</v>
      </c>
      <c r="D3" s="1" t="s">
        <v>132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128</v>
      </c>
      <c r="M3" s="1" t="s">
        <v>129</v>
      </c>
      <c r="N3" s="1" t="s">
        <v>130</v>
      </c>
      <c r="O3" s="1" t="s">
        <v>131</v>
      </c>
      <c r="P3" s="1" t="s">
        <v>10</v>
      </c>
      <c r="AM3" t="s">
        <v>191</v>
      </c>
      <c r="AN3" t="s">
        <v>490</v>
      </c>
      <c r="AO3" t="s">
        <v>570</v>
      </c>
    </row>
    <row r="4" spans="1:41" x14ac:dyDescent="0.2">
      <c r="A4" s="1">
        <v>46</v>
      </c>
      <c r="B4" s="1" t="s">
        <v>317</v>
      </c>
      <c r="D4" s="1" t="s">
        <v>133</v>
      </c>
      <c r="E4" s="1">
        <v>-4.5</v>
      </c>
      <c r="F4" s="1">
        <v>1.871</v>
      </c>
      <c r="G4" s="1">
        <v>8.9999999999999993E-3</v>
      </c>
      <c r="H4" s="1">
        <v>-14.05</v>
      </c>
      <c r="I4" s="1">
        <v>-2.5030000000000001</v>
      </c>
      <c r="J4" s="1">
        <v>1.6E-2</v>
      </c>
      <c r="K4" s="1" t="s">
        <v>12</v>
      </c>
      <c r="L4" s="1">
        <v>1</v>
      </c>
      <c r="M4" s="1" t="s">
        <v>491</v>
      </c>
      <c r="N4" s="1" t="s">
        <v>492</v>
      </c>
      <c r="O4" s="1" t="s">
        <v>351</v>
      </c>
      <c r="P4" s="1" t="s">
        <v>493</v>
      </c>
      <c r="AM4">
        <v>887</v>
      </c>
      <c r="AN4">
        <v>5471</v>
      </c>
      <c r="AO4">
        <f>4*9</f>
        <v>36</v>
      </c>
    </row>
    <row r="5" spans="1:41" x14ac:dyDescent="0.2">
      <c r="A5" s="1">
        <v>45</v>
      </c>
      <c r="B5" s="1" t="s">
        <v>315</v>
      </c>
      <c r="D5" s="1" t="s">
        <v>133</v>
      </c>
      <c r="E5" s="1">
        <v>-4.5</v>
      </c>
      <c r="F5" s="1">
        <v>1.8560000000000001</v>
      </c>
      <c r="G5" s="1">
        <v>1.9E-2</v>
      </c>
      <c r="H5" s="1">
        <v>-14.05</v>
      </c>
      <c r="I5" s="1">
        <v>-2.5299999999999998</v>
      </c>
      <c r="J5" s="1">
        <v>1.2E-2</v>
      </c>
      <c r="K5" s="1" t="s">
        <v>12</v>
      </c>
      <c r="L5" s="1">
        <v>1</v>
      </c>
      <c r="M5" s="1" t="s">
        <v>491</v>
      </c>
      <c r="N5" s="1" t="s">
        <v>494</v>
      </c>
      <c r="O5" s="1" t="s">
        <v>354</v>
      </c>
      <c r="P5" s="1" t="s">
        <v>495</v>
      </c>
      <c r="AM5">
        <v>908</v>
      </c>
      <c r="AN5">
        <v>8727</v>
      </c>
      <c r="AO5">
        <f t="shared" ref="AO5:AO34" si="0">4*9</f>
        <v>36</v>
      </c>
    </row>
    <row r="6" spans="1:41" x14ac:dyDescent="0.2">
      <c r="A6" s="1">
        <v>44</v>
      </c>
      <c r="B6" s="1" t="s">
        <v>313</v>
      </c>
      <c r="D6" s="1" t="s">
        <v>133</v>
      </c>
      <c r="E6" s="1">
        <v>-4.5</v>
      </c>
      <c r="F6" s="1">
        <v>1.8839999999999999</v>
      </c>
      <c r="G6" s="1">
        <v>1.2E-2</v>
      </c>
      <c r="H6" s="1">
        <v>-14.05</v>
      </c>
      <c r="I6" s="1">
        <v>-2.5310000000000001</v>
      </c>
      <c r="J6" s="1">
        <v>1.2999999999999999E-2</v>
      </c>
      <c r="K6" s="1" t="s">
        <v>12</v>
      </c>
      <c r="L6" s="1">
        <v>1</v>
      </c>
      <c r="M6" s="1" t="s">
        <v>491</v>
      </c>
      <c r="N6" s="1" t="s">
        <v>496</v>
      </c>
      <c r="O6" s="1" t="s">
        <v>357</v>
      </c>
      <c r="P6" s="1" t="s">
        <v>497</v>
      </c>
      <c r="AM6">
        <v>884</v>
      </c>
      <c r="AN6">
        <v>8433</v>
      </c>
      <c r="AO6">
        <f t="shared" si="0"/>
        <v>36</v>
      </c>
    </row>
    <row r="7" spans="1:41" x14ac:dyDescent="0.2">
      <c r="A7" s="1">
        <v>43</v>
      </c>
      <c r="B7" s="1" t="s">
        <v>311</v>
      </c>
      <c r="D7" s="1" t="s">
        <v>133</v>
      </c>
      <c r="E7" s="1">
        <v>-4.5</v>
      </c>
      <c r="F7" s="1">
        <v>1.87</v>
      </c>
      <c r="G7" s="1">
        <v>7.0000000000000001E-3</v>
      </c>
      <c r="H7" s="1">
        <v>-14.05</v>
      </c>
      <c r="I7" s="1">
        <v>-2.4940000000000002</v>
      </c>
      <c r="J7" s="1">
        <v>1.7999999999999999E-2</v>
      </c>
      <c r="K7" s="1" t="s">
        <v>12</v>
      </c>
      <c r="L7" s="1">
        <v>1</v>
      </c>
      <c r="M7" s="1" t="s">
        <v>491</v>
      </c>
      <c r="N7" s="1" t="s">
        <v>498</v>
      </c>
      <c r="O7" s="1" t="s">
        <v>360</v>
      </c>
      <c r="P7" s="1" t="s">
        <v>499</v>
      </c>
      <c r="AM7">
        <v>830</v>
      </c>
      <c r="AN7">
        <v>4395</v>
      </c>
      <c r="AO7">
        <f t="shared" si="0"/>
        <v>36</v>
      </c>
    </row>
    <row r="8" spans="1:41" x14ac:dyDescent="0.2">
      <c r="A8" s="1">
        <v>42</v>
      </c>
      <c r="B8" s="1" t="s">
        <v>309</v>
      </c>
      <c r="D8" s="1" t="s">
        <v>133</v>
      </c>
      <c r="E8" s="1">
        <v>-4.5</v>
      </c>
      <c r="F8" s="1">
        <v>2.468</v>
      </c>
      <c r="G8" s="1">
        <v>1.2999999999999999E-2</v>
      </c>
      <c r="H8" s="1">
        <v>-14.05</v>
      </c>
      <c r="I8" s="1">
        <v>-0.81799999999999995</v>
      </c>
      <c r="J8" s="1">
        <v>1.4E-2</v>
      </c>
      <c r="K8" s="1" t="s">
        <v>12</v>
      </c>
      <c r="L8" s="1">
        <v>1</v>
      </c>
      <c r="M8" s="1" t="s">
        <v>491</v>
      </c>
      <c r="N8" s="1" t="s">
        <v>500</v>
      </c>
      <c r="O8" s="1" t="s">
        <v>363</v>
      </c>
      <c r="P8" s="1" t="s">
        <v>501</v>
      </c>
      <c r="AM8">
        <v>876</v>
      </c>
      <c r="AN8">
        <v>5296</v>
      </c>
      <c r="AO8">
        <f t="shared" si="0"/>
        <v>36</v>
      </c>
    </row>
    <row r="9" spans="1:41" x14ac:dyDescent="0.2">
      <c r="A9" s="1">
        <v>41</v>
      </c>
      <c r="B9" s="1" t="s">
        <v>307</v>
      </c>
      <c r="D9" s="1" t="s">
        <v>133</v>
      </c>
      <c r="E9" s="1">
        <v>-4.5</v>
      </c>
      <c r="F9" s="1">
        <v>1.8580000000000001</v>
      </c>
      <c r="G9" s="1">
        <v>0.02</v>
      </c>
      <c r="H9" s="1">
        <v>-14.05</v>
      </c>
      <c r="I9" s="1">
        <v>-2.5299999999999998</v>
      </c>
      <c r="J9" s="1">
        <v>1.6E-2</v>
      </c>
      <c r="K9" s="1" t="s">
        <v>12</v>
      </c>
      <c r="L9" s="1">
        <v>1</v>
      </c>
      <c r="M9" s="1" t="s">
        <v>491</v>
      </c>
      <c r="N9" s="1" t="s">
        <v>502</v>
      </c>
      <c r="O9" s="1" t="s">
        <v>366</v>
      </c>
      <c r="P9" s="1" t="s">
        <v>503</v>
      </c>
      <c r="AM9">
        <v>862</v>
      </c>
      <c r="AN9">
        <v>5051</v>
      </c>
      <c r="AO9">
        <f t="shared" si="0"/>
        <v>36</v>
      </c>
    </row>
    <row r="10" spans="1:41" x14ac:dyDescent="0.2">
      <c r="A10" s="1">
        <v>40</v>
      </c>
      <c r="B10" s="1" t="s">
        <v>305</v>
      </c>
      <c r="D10" s="1" t="s">
        <v>133</v>
      </c>
      <c r="E10" s="1">
        <v>-4.5</v>
      </c>
      <c r="F10" s="1">
        <v>1.8640000000000001</v>
      </c>
      <c r="G10" s="1">
        <v>1.0999999999999999E-2</v>
      </c>
      <c r="H10" s="1">
        <v>-14.05</v>
      </c>
      <c r="I10" s="1">
        <v>-2.38</v>
      </c>
      <c r="J10" s="1">
        <v>1.6E-2</v>
      </c>
      <c r="K10" s="1" t="s">
        <v>12</v>
      </c>
      <c r="L10" s="1">
        <v>1</v>
      </c>
      <c r="M10" s="1" t="s">
        <v>491</v>
      </c>
      <c r="N10" s="1" t="s">
        <v>504</v>
      </c>
      <c r="O10" s="1" t="s">
        <v>369</v>
      </c>
      <c r="P10" s="1" t="s">
        <v>505</v>
      </c>
      <c r="AM10">
        <v>876</v>
      </c>
      <c r="AN10">
        <v>5144</v>
      </c>
      <c r="AO10">
        <f t="shared" si="0"/>
        <v>36</v>
      </c>
    </row>
    <row r="11" spans="1:41" x14ac:dyDescent="0.2">
      <c r="A11" s="1">
        <v>39</v>
      </c>
      <c r="B11" s="1" t="s">
        <v>303</v>
      </c>
      <c r="D11" s="1" t="s">
        <v>133</v>
      </c>
      <c r="E11" s="1">
        <v>-4.5</v>
      </c>
      <c r="F11" s="1">
        <v>1.909</v>
      </c>
      <c r="G11" s="1">
        <v>1.4999999999999999E-2</v>
      </c>
      <c r="H11" s="1">
        <v>-14.05</v>
      </c>
      <c r="I11" s="1">
        <v>-2.504</v>
      </c>
      <c r="J11" s="1">
        <v>1.4E-2</v>
      </c>
      <c r="K11" s="1" t="s">
        <v>12</v>
      </c>
      <c r="L11" s="1">
        <v>1</v>
      </c>
      <c r="M11" s="1" t="s">
        <v>491</v>
      </c>
      <c r="N11" s="1" t="s">
        <v>506</v>
      </c>
      <c r="O11" s="1" t="s">
        <v>372</v>
      </c>
      <c r="P11" s="1" t="s">
        <v>507</v>
      </c>
      <c r="AM11">
        <v>855</v>
      </c>
      <c r="AN11">
        <v>4999</v>
      </c>
      <c r="AO11">
        <f t="shared" si="0"/>
        <v>36</v>
      </c>
    </row>
    <row r="12" spans="1:41" x14ac:dyDescent="0.2">
      <c r="A12" s="1">
        <v>38</v>
      </c>
      <c r="B12" s="1" t="s">
        <v>301</v>
      </c>
      <c r="D12" s="1" t="s">
        <v>133</v>
      </c>
      <c r="E12" s="1">
        <v>-4.5</v>
      </c>
      <c r="F12" s="1">
        <v>1.84</v>
      </c>
      <c r="G12" s="1">
        <v>0.01</v>
      </c>
      <c r="H12" s="1">
        <v>-14.05</v>
      </c>
      <c r="I12" s="1">
        <v>-2.496</v>
      </c>
      <c r="J12" s="1">
        <v>2.1999999999999999E-2</v>
      </c>
      <c r="K12" s="1" t="s">
        <v>12</v>
      </c>
      <c r="L12" s="1">
        <v>1</v>
      </c>
      <c r="M12" s="1" t="s">
        <v>491</v>
      </c>
      <c r="N12" s="1" t="s">
        <v>508</v>
      </c>
      <c r="O12" s="1" t="s">
        <v>375</v>
      </c>
      <c r="P12" s="1" t="s">
        <v>509</v>
      </c>
      <c r="AM12">
        <v>841</v>
      </c>
      <c r="AN12">
        <v>4682</v>
      </c>
      <c r="AO12">
        <f t="shared" si="0"/>
        <v>36</v>
      </c>
    </row>
    <row r="13" spans="1:41" x14ac:dyDescent="0.2">
      <c r="A13" s="1">
        <v>37</v>
      </c>
      <c r="B13" s="1" t="s">
        <v>299</v>
      </c>
      <c r="D13" s="1" t="s">
        <v>133</v>
      </c>
      <c r="E13" s="1">
        <v>-4.5</v>
      </c>
      <c r="F13" s="1">
        <v>1.8919999999999999</v>
      </c>
      <c r="G13" s="1">
        <v>8.0000000000000002E-3</v>
      </c>
      <c r="H13" s="1">
        <v>-14.05</v>
      </c>
      <c r="I13" s="1">
        <v>-2.375</v>
      </c>
      <c r="J13" s="1">
        <v>7.0000000000000001E-3</v>
      </c>
      <c r="K13" s="1" t="s">
        <v>12</v>
      </c>
      <c r="L13" s="1">
        <v>1</v>
      </c>
      <c r="M13" s="1" t="s">
        <v>491</v>
      </c>
      <c r="N13" s="1" t="s">
        <v>510</v>
      </c>
      <c r="O13" s="1" t="s">
        <v>378</v>
      </c>
      <c r="P13" s="1" t="s">
        <v>511</v>
      </c>
      <c r="AM13">
        <v>891</v>
      </c>
      <c r="AN13">
        <v>5607</v>
      </c>
      <c r="AO13">
        <f t="shared" si="0"/>
        <v>36</v>
      </c>
    </row>
    <row r="14" spans="1:41" x14ac:dyDescent="0.2">
      <c r="A14" s="1">
        <v>36</v>
      </c>
      <c r="B14" s="1" t="s">
        <v>243</v>
      </c>
      <c r="D14" s="1" t="s">
        <v>133</v>
      </c>
      <c r="E14" s="1">
        <v>-4.5</v>
      </c>
      <c r="F14" s="1">
        <v>1.889</v>
      </c>
      <c r="G14" s="1">
        <v>1.4E-2</v>
      </c>
      <c r="H14" s="1">
        <v>-14.05</v>
      </c>
      <c r="I14" s="1">
        <v>-2.4580000000000002</v>
      </c>
      <c r="J14" s="1">
        <v>1.0999999999999999E-2</v>
      </c>
      <c r="K14" s="1" t="s">
        <v>12</v>
      </c>
      <c r="L14" s="1">
        <v>1</v>
      </c>
      <c r="M14" s="1" t="s">
        <v>491</v>
      </c>
      <c r="N14" s="1" t="s">
        <v>512</v>
      </c>
      <c r="O14" s="1" t="s">
        <v>381</v>
      </c>
      <c r="P14" s="1" t="s">
        <v>513</v>
      </c>
      <c r="AM14">
        <v>887</v>
      </c>
      <c r="AN14">
        <v>5281</v>
      </c>
      <c r="AO14">
        <f t="shared" si="0"/>
        <v>36</v>
      </c>
    </row>
    <row r="15" spans="1:41" x14ac:dyDescent="0.2">
      <c r="A15" s="1">
        <v>35</v>
      </c>
      <c r="B15" s="1" t="s">
        <v>239</v>
      </c>
      <c r="D15" s="1" t="s">
        <v>133</v>
      </c>
      <c r="E15" s="1">
        <v>-4.5</v>
      </c>
      <c r="F15" s="1">
        <v>1.911</v>
      </c>
      <c r="G15" s="1">
        <v>8.9999999999999993E-3</v>
      </c>
      <c r="H15" s="1">
        <v>-14.05</v>
      </c>
      <c r="I15" s="1">
        <v>-2.496</v>
      </c>
      <c r="J15" s="1">
        <v>1.4E-2</v>
      </c>
      <c r="K15" s="1" t="s">
        <v>12</v>
      </c>
      <c r="L15" s="1">
        <v>1</v>
      </c>
      <c r="M15" s="1" t="s">
        <v>491</v>
      </c>
      <c r="N15" s="1" t="s">
        <v>514</v>
      </c>
      <c r="O15" s="1" t="s">
        <v>384</v>
      </c>
      <c r="P15" s="1" t="s">
        <v>515</v>
      </c>
      <c r="AM15">
        <v>926</v>
      </c>
      <c r="AN15">
        <v>6380</v>
      </c>
      <c r="AO15">
        <f t="shared" si="0"/>
        <v>36</v>
      </c>
    </row>
    <row r="16" spans="1:41" x14ac:dyDescent="0.2">
      <c r="A16" s="1">
        <v>34</v>
      </c>
      <c r="B16" s="1" t="s">
        <v>235</v>
      </c>
      <c r="D16" s="1" t="s">
        <v>133</v>
      </c>
      <c r="E16" s="1">
        <v>-4.5</v>
      </c>
      <c r="F16" s="1">
        <v>1.919</v>
      </c>
      <c r="G16" s="1">
        <v>8.9999999999999993E-3</v>
      </c>
      <c r="H16" s="1">
        <v>-14.05</v>
      </c>
      <c r="I16" s="1">
        <v>-2.4830000000000001</v>
      </c>
      <c r="J16" s="1">
        <v>1.7999999999999999E-2</v>
      </c>
      <c r="K16" s="1" t="s">
        <v>12</v>
      </c>
      <c r="L16" s="1">
        <v>1</v>
      </c>
      <c r="M16" s="1" t="s">
        <v>491</v>
      </c>
      <c r="N16" s="1" t="s">
        <v>516</v>
      </c>
      <c r="O16" s="1" t="s">
        <v>387</v>
      </c>
      <c r="P16" s="1" t="s">
        <v>517</v>
      </c>
      <c r="AM16">
        <v>901</v>
      </c>
      <c r="AN16">
        <v>5950</v>
      </c>
      <c r="AO16">
        <f t="shared" si="0"/>
        <v>36</v>
      </c>
    </row>
    <row r="17" spans="1:41" x14ac:dyDescent="0.2">
      <c r="A17" s="1">
        <v>33</v>
      </c>
      <c r="B17" s="1" t="s">
        <v>230</v>
      </c>
      <c r="D17" s="1" t="s">
        <v>133</v>
      </c>
      <c r="E17" s="1">
        <v>-4.5</v>
      </c>
      <c r="F17" s="1">
        <v>1.845</v>
      </c>
      <c r="G17" s="1">
        <v>0.01</v>
      </c>
      <c r="H17" s="1">
        <v>-14.05</v>
      </c>
      <c r="I17" s="1">
        <v>-2.6269999999999998</v>
      </c>
      <c r="J17" s="1">
        <v>1.2999999999999999E-2</v>
      </c>
      <c r="K17" s="1" t="s">
        <v>12</v>
      </c>
      <c r="L17" s="1">
        <v>1</v>
      </c>
      <c r="M17" s="1" t="s">
        <v>491</v>
      </c>
      <c r="N17" s="1" t="s">
        <v>518</v>
      </c>
      <c r="O17" s="1" t="s">
        <v>390</v>
      </c>
      <c r="P17" s="1" t="s">
        <v>519</v>
      </c>
      <c r="AM17">
        <v>834</v>
      </c>
      <c r="AN17">
        <v>4592</v>
      </c>
      <c r="AO17">
        <f t="shared" si="0"/>
        <v>36</v>
      </c>
    </row>
    <row r="18" spans="1:41" x14ac:dyDescent="0.2">
      <c r="A18" s="1">
        <v>32</v>
      </c>
      <c r="B18" s="1" t="s">
        <v>293</v>
      </c>
      <c r="D18" s="1" t="s">
        <v>133</v>
      </c>
      <c r="E18" s="1">
        <v>-4.5</v>
      </c>
      <c r="F18" s="1">
        <v>1.9039999999999999</v>
      </c>
      <c r="G18" s="1">
        <v>1.0999999999999999E-2</v>
      </c>
      <c r="H18" s="1">
        <v>-14.05</v>
      </c>
      <c r="I18" s="1">
        <v>-2.4849999999999999</v>
      </c>
      <c r="J18" s="1">
        <v>8.0000000000000002E-3</v>
      </c>
      <c r="K18" s="1" t="s">
        <v>12</v>
      </c>
      <c r="L18" s="1">
        <v>1</v>
      </c>
      <c r="M18" s="1" t="s">
        <v>491</v>
      </c>
      <c r="N18" s="1" t="s">
        <v>520</v>
      </c>
      <c r="O18" s="1" t="s">
        <v>393</v>
      </c>
      <c r="P18" s="1" t="s">
        <v>521</v>
      </c>
      <c r="AM18">
        <v>880</v>
      </c>
      <c r="AN18">
        <v>5738</v>
      </c>
      <c r="AO18">
        <f t="shared" si="0"/>
        <v>36</v>
      </c>
    </row>
    <row r="19" spans="1:41" x14ac:dyDescent="0.2">
      <c r="A19" s="1">
        <v>31</v>
      </c>
      <c r="B19" s="1" t="s">
        <v>244</v>
      </c>
      <c r="D19" s="1" t="s">
        <v>133</v>
      </c>
      <c r="E19" s="1">
        <v>-4.5</v>
      </c>
      <c r="F19" s="1">
        <v>1.806</v>
      </c>
      <c r="G19" s="1">
        <v>1.4999999999999999E-2</v>
      </c>
      <c r="H19" s="1">
        <v>-14.05</v>
      </c>
      <c r="I19" s="1">
        <v>-2.6</v>
      </c>
      <c r="J19" s="1">
        <v>0.01</v>
      </c>
      <c r="K19" s="1" t="s">
        <v>12</v>
      </c>
      <c r="L19" s="1">
        <v>1</v>
      </c>
      <c r="M19" s="1" t="s">
        <v>491</v>
      </c>
      <c r="N19" s="1" t="s">
        <v>522</v>
      </c>
      <c r="O19" s="1" t="s">
        <v>396</v>
      </c>
      <c r="P19" s="1" t="s">
        <v>523</v>
      </c>
      <c r="AM19">
        <v>848</v>
      </c>
      <c r="AN19">
        <v>4905</v>
      </c>
      <c r="AO19">
        <f t="shared" si="0"/>
        <v>36</v>
      </c>
    </row>
    <row r="20" spans="1:41" x14ac:dyDescent="0.2">
      <c r="A20" s="1">
        <v>29</v>
      </c>
      <c r="B20" s="1" t="s">
        <v>218</v>
      </c>
      <c r="D20" s="1" t="s">
        <v>133</v>
      </c>
      <c r="E20" s="1">
        <v>-4.5</v>
      </c>
      <c r="F20" s="1">
        <v>1.857</v>
      </c>
      <c r="G20" s="1">
        <v>8.0000000000000002E-3</v>
      </c>
      <c r="H20" s="1">
        <v>-14.05</v>
      </c>
      <c r="I20" s="1">
        <v>-2.5459999999999998</v>
      </c>
      <c r="J20" s="1">
        <v>0.02</v>
      </c>
      <c r="K20" s="1" t="s">
        <v>12</v>
      </c>
      <c r="L20" s="1">
        <v>1</v>
      </c>
      <c r="M20" s="1" t="s">
        <v>524</v>
      </c>
      <c r="N20" s="1" t="s">
        <v>525</v>
      </c>
      <c r="O20" s="1" t="s">
        <v>402</v>
      </c>
      <c r="P20" s="1" t="s">
        <v>526</v>
      </c>
      <c r="AM20">
        <v>841</v>
      </c>
      <c r="AN20">
        <v>4938</v>
      </c>
      <c r="AO20">
        <f t="shared" si="0"/>
        <v>36</v>
      </c>
    </row>
    <row r="21" spans="1:41" x14ac:dyDescent="0.2">
      <c r="A21" s="1">
        <v>28</v>
      </c>
      <c r="B21" s="1" t="s">
        <v>216</v>
      </c>
      <c r="D21" s="1" t="s">
        <v>133</v>
      </c>
      <c r="E21" s="1">
        <v>-4.5</v>
      </c>
      <c r="F21" s="1">
        <v>1.877</v>
      </c>
      <c r="G21" s="1">
        <v>1.2E-2</v>
      </c>
      <c r="H21" s="1">
        <v>-14.05</v>
      </c>
      <c r="I21" s="1">
        <v>-2.516</v>
      </c>
      <c r="J21" s="1">
        <v>1.4E-2</v>
      </c>
      <c r="K21" s="1" t="s">
        <v>12</v>
      </c>
      <c r="L21" s="1">
        <v>1</v>
      </c>
      <c r="M21" s="1" t="s">
        <v>524</v>
      </c>
      <c r="N21" s="1" t="s">
        <v>527</v>
      </c>
      <c r="O21" s="1" t="s">
        <v>405</v>
      </c>
      <c r="P21" s="1" t="s">
        <v>528</v>
      </c>
      <c r="AM21">
        <v>816</v>
      </c>
      <c r="AN21">
        <v>4271</v>
      </c>
      <c r="AO21">
        <f t="shared" si="0"/>
        <v>36</v>
      </c>
    </row>
    <row r="22" spans="1:41" x14ac:dyDescent="0.2">
      <c r="A22" s="1">
        <v>27</v>
      </c>
      <c r="B22" s="1" t="s">
        <v>214</v>
      </c>
      <c r="D22" s="1" t="s">
        <v>133</v>
      </c>
      <c r="E22" s="1">
        <v>-4.5</v>
      </c>
      <c r="F22" s="1">
        <v>1.8959999999999999</v>
      </c>
      <c r="G22" s="1">
        <v>2.4E-2</v>
      </c>
      <c r="H22" s="1">
        <v>-14.05</v>
      </c>
      <c r="I22" s="1">
        <v>-2.532</v>
      </c>
      <c r="J22" s="1">
        <v>4.7E-2</v>
      </c>
      <c r="K22" s="1" t="s">
        <v>12</v>
      </c>
      <c r="L22" s="1">
        <v>1</v>
      </c>
      <c r="M22" s="1" t="s">
        <v>524</v>
      </c>
      <c r="N22" s="1" t="s">
        <v>529</v>
      </c>
      <c r="O22" s="1" t="s">
        <v>408</v>
      </c>
      <c r="P22" s="1" t="s">
        <v>530</v>
      </c>
      <c r="AM22">
        <v>855</v>
      </c>
      <c r="AN22">
        <v>4987</v>
      </c>
      <c r="AO22">
        <f t="shared" si="0"/>
        <v>36</v>
      </c>
    </row>
    <row r="23" spans="1:41" x14ac:dyDescent="0.2">
      <c r="A23" s="1">
        <v>26</v>
      </c>
      <c r="B23" s="1" t="s">
        <v>212</v>
      </c>
      <c r="D23" s="1" t="s">
        <v>133</v>
      </c>
      <c r="E23" s="1">
        <v>-4.5</v>
      </c>
      <c r="F23" s="1">
        <v>1.8580000000000001</v>
      </c>
      <c r="G23" s="1">
        <v>7.0000000000000001E-3</v>
      </c>
      <c r="H23" s="1">
        <v>-14.05</v>
      </c>
      <c r="I23" s="1">
        <v>-2.4820000000000002</v>
      </c>
      <c r="J23" s="1">
        <v>1.4E-2</v>
      </c>
      <c r="K23" s="1" t="s">
        <v>12</v>
      </c>
      <c r="L23" s="1">
        <v>1</v>
      </c>
      <c r="M23" s="1" t="s">
        <v>524</v>
      </c>
      <c r="N23" s="1" t="s">
        <v>531</v>
      </c>
      <c r="O23" s="1" t="s">
        <v>411</v>
      </c>
      <c r="P23" s="1" t="s">
        <v>532</v>
      </c>
      <c r="AM23">
        <v>912</v>
      </c>
      <c r="AN23">
        <v>5986</v>
      </c>
      <c r="AO23">
        <f t="shared" si="0"/>
        <v>36</v>
      </c>
    </row>
    <row r="24" spans="1:41" x14ac:dyDescent="0.2">
      <c r="A24" s="1">
        <v>25</v>
      </c>
      <c r="B24" s="1" t="s">
        <v>285</v>
      </c>
      <c r="D24" s="1" t="s">
        <v>133</v>
      </c>
      <c r="E24" s="1">
        <v>-4.5</v>
      </c>
      <c r="F24" s="1">
        <v>1.8939999999999999</v>
      </c>
      <c r="G24" s="1">
        <v>0.01</v>
      </c>
      <c r="H24" s="1">
        <v>-14.05</v>
      </c>
      <c r="I24" s="1">
        <v>-2.4369999999999998</v>
      </c>
      <c r="J24" s="1">
        <v>0.02</v>
      </c>
      <c r="K24" s="1" t="s">
        <v>12</v>
      </c>
      <c r="L24" s="1">
        <v>1</v>
      </c>
      <c r="M24" s="1" t="s">
        <v>524</v>
      </c>
      <c r="N24" s="1" t="s">
        <v>533</v>
      </c>
      <c r="O24" s="1" t="s">
        <v>415</v>
      </c>
      <c r="P24" s="1" t="s">
        <v>534</v>
      </c>
      <c r="AM24">
        <v>859</v>
      </c>
      <c r="AN24">
        <v>5115</v>
      </c>
      <c r="AO24">
        <f t="shared" si="0"/>
        <v>36</v>
      </c>
    </row>
    <row r="25" spans="1:41" x14ac:dyDescent="0.2">
      <c r="A25" s="1">
        <v>24</v>
      </c>
      <c r="B25" s="1" t="s">
        <v>209</v>
      </c>
      <c r="D25" s="1" t="s">
        <v>133</v>
      </c>
      <c r="E25" s="1">
        <v>-4.5</v>
      </c>
      <c r="F25" s="1">
        <v>1.879</v>
      </c>
      <c r="G25" s="1">
        <v>1.4E-2</v>
      </c>
      <c r="H25" s="1">
        <v>-14.05</v>
      </c>
      <c r="I25" s="1">
        <v>-2.431</v>
      </c>
      <c r="J25" s="1">
        <v>0.01</v>
      </c>
      <c r="K25" s="1" t="s">
        <v>12</v>
      </c>
      <c r="L25" s="1">
        <v>1</v>
      </c>
      <c r="M25" s="1" t="s">
        <v>524</v>
      </c>
      <c r="N25" s="1" t="s">
        <v>535</v>
      </c>
      <c r="O25" s="1" t="s">
        <v>418</v>
      </c>
      <c r="P25" s="1" t="s">
        <v>536</v>
      </c>
      <c r="AM25">
        <v>891</v>
      </c>
      <c r="AN25">
        <v>5301</v>
      </c>
      <c r="AO25">
        <f t="shared" si="0"/>
        <v>36</v>
      </c>
    </row>
    <row r="26" spans="1:41" x14ac:dyDescent="0.2">
      <c r="A26" s="1">
        <v>22</v>
      </c>
      <c r="B26" s="1" t="s">
        <v>75</v>
      </c>
      <c r="D26" s="1" t="s">
        <v>133</v>
      </c>
      <c r="E26" s="1">
        <v>-4.5</v>
      </c>
      <c r="F26" s="1">
        <v>1.845</v>
      </c>
      <c r="G26" s="1">
        <v>1.2E-2</v>
      </c>
      <c r="H26" s="1">
        <v>-14.05</v>
      </c>
      <c r="I26" s="1">
        <v>-2.5499999999999998</v>
      </c>
      <c r="J26" s="1">
        <v>1.6E-2</v>
      </c>
      <c r="K26" s="1" t="s">
        <v>12</v>
      </c>
      <c r="L26" s="1">
        <v>1</v>
      </c>
      <c r="M26" s="1" t="s">
        <v>524</v>
      </c>
      <c r="N26" s="1" t="s">
        <v>537</v>
      </c>
      <c r="O26" s="1" t="s">
        <v>424</v>
      </c>
      <c r="P26" s="1" t="s">
        <v>538</v>
      </c>
      <c r="AM26">
        <v>845</v>
      </c>
      <c r="AN26">
        <v>4712</v>
      </c>
      <c r="AO26">
        <f t="shared" si="0"/>
        <v>36</v>
      </c>
    </row>
    <row r="27" spans="1:41" x14ac:dyDescent="0.2">
      <c r="A27" s="1">
        <v>21</v>
      </c>
      <c r="B27" s="1" t="s">
        <v>73</v>
      </c>
      <c r="D27" s="1" t="s">
        <v>133</v>
      </c>
      <c r="E27" s="1">
        <v>-4.5</v>
      </c>
      <c r="F27" s="1">
        <v>1.907</v>
      </c>
      <c r="G27" s="1">
        <v>7.0000000000000001E-3</v>
      </c>
      <c r="H27" s="1">
        <v>-14.05</v>
      </c>
      <c r="I27" s="1">
        <v>-2.4239999999999999</v>
      </c>
      <c r="J27" s="1">
        <v>1.9E-2</v>
      </c>
      <c r="K27" s="1" t="s">
        <v>12</v>
      </c>
      <c r="L27" s="1">
        <v>1</v>
      </c>
      <c r="M27" s="1" t="s">
        <v>524</v>
      </c>
      <c r="N27" s="1" t="s">
        <v>539</v>
      </c>
      <c r="O27" s="1" t="s">
        <v>427</v>
      </c>
      <c r="P27" s="1" t="s">
        <v>540</v>
      </c>
      <c r="AM27">
        <v>791</v>
      </c>
      <c r="AN27">
        <v>4041</v>
      </c>
      <c r="AO27">
        <f t="shared" si="0"/>
        <v>36</v>
      </c>
    </row>
    <row r="28" spans="1:41" x14ac:dyDescent="0.2">
      <c r="A28" s="1">
        <v>20</v>
      </c>
      <c r="B28" s="1" t="s">
        <v>36</v>
      </c>
      <c r="D28" s="1" t="s">
        <v>133</v>
      </c>
      <c r="E28" s="1">
        <v>-4.5</v>
      </c>
      <c r="F28" s="1">
        <v>1.879</v>
      </c>
      <c r="G28" s="1">
        <v>0.01</v>
      </c>
      <c r="H28" s="1">
        <v>-14.05</v>
      </c>
      <c r="I28" s="1">
        <v>-2.581</v>
      </c>
      <c r="J28" s="1">
        <v>1.0999999999999999E-2</v>
      </c>
      <c r="K28" s="1" t="s">
        <v>12</v>
      </c>
      <c r="L28" s="1">
        <v>1</v>
      </c>
      <c r="M28" s="1" t="s">
        <v>524</v>
      </c>
      <c r="N28" s="1" t="s">
        <v>541</v>
      </c>
      <c r="O28" s="1" t="s">
        <v>430</v>
      </c>
      <c r="P28" s="1" t="s">
        <v>542</v>
      </c>
      <c r="AM28">
        <v>869</v>
      </c>
      <c r="AN28">
        <v>5191</v>
      </c>
      <c r="AO28">
        <f t="shared" si="0"/>
        <v>36</v>
      </c>
    </row>
    <row r="29" spans="1:41" x14ac:dyDescent="0.2">
      <c r="A29" s="1">
        <v>19</v>
      </c>
      <c r="B29" s="1" t="s">
        <v>32</v>
      </c>
      <c r="D29" s="1" t="s">
        <v>133</v>
      </c>
      <c r="E29" s="1">
        <v>-4.5</v>
      </c>
      <c r="F29" s="1">
        <v>1.8660000000000001</v>
      </c>
      <c r="G29" s="1">
        <v>1.2999999999999999E-2</v>
      </c>
      <c r="H29" s="1">
        <v>-14.05</v>
      </c>
      <c r="I29" s="1">
        <v>-2.4780000000000002</v>
      </c>
      <c r="J29" s="1">
        <v>1.7000000000000001E-2</v>
      </c>
      <c r="K29" s="1" t="s">
        <v>12</v>
      </c>
      <c r="L29" s="1">
        <v>1</v>
      </c>
      <c r="M29" s="1" t="s">
        <v>524</v>
      </c>
      <c r="N29" s="1" t="s">
        <v>543</v>
      </c>
      <c r="O29" s="1" t="s">
        <v>433</v>
      </c>
      <c r="P29" s="1" t="s">
        <v>544</v>
      </c>
      <c r="AM29">
        <v>820</v>
      </c>
      <c r="AN29">
        <v>4405</v>
      </c>
      <c r="AO29">
        <f t="shared" si="0"/>
        <v>36</v>
      </c>
    </row>
    <row r="30" spans="1:41" x14ac:dyDescent="0.2">
      <c r="A30" s="1">
        <v>18</v>
      </c>
      <c r="B30" s="1" t="s">
        <v>30</v>
      </c>
      <c r="D30" s="1" t="s">
        <v>133</v>
      </c>
      <c r="E30" s="1">
        <v>-4.5</v>
      </c>
      <c r="F30" s="1">
        <v>1.8560000000000001</v>
      </c>
      <c r="G30" s="1">
        <v>1.2999999999999999E-2</v>
      </c>
      <c r="H30" s="1">
        <v>-14.05</v>
      </c>
      <c r="I30" s="1">
        <v>-2.5150000000000001</v>
      </c>
      <c r="J30" s="1">
        <v>7.0000000000000001E-3</v>
      </c>
      <c r="K30" s="1" t="s">
        <v>12</v>
      </c>
      <c r="L30" s="1">
        <v>1</v>
      </c>
      <c r="M30" s="1" t="s">
        <v>524</v>
      </c>
      <c r="N30" s="1" t="s">
        <v>545</v>
      </c>
      <c r="O30" s="1" t="s">
        <v>436</v>
      </c>
      <c r="P30" s="1" t="s">
        <v>546</v>
      </c>
      <c r="AM30">
        <v>830</v>
      </c>
      <c r="AN30">
        <v>4494</v>
      </c>
      <c r="AO30">
        <f t="shared" si="0"/>
        <v>36</v>
      </c>
    </row>
    <row r="31" spans="1:41" x14ac:dyDescent="0.2">
      <c r="A31" s="1">
        <v>17</v>
      </c>
      <c r="B31" s="1" t="s">
        <v>28</v>
      </c>
      <c r="D31" s="1" t="s">
        <v>133</v>
      </c>
      <c r="E31" s="1">
        <v>-4.5</v>
      </c>
      <c r="F31" s="1">
        <v>1.915</v>
      </c>
      <c r="G31" s="1">
        <v>1.4E-2</v>
      </c>
      <c r="H31" s="1">
        <v>-14.05</v>
      </c>
      <c r="I31" s="1">
        <v>-2.3889999999999998</v>
      </c>
      <c r="J31" s="1">
        <v>1.6E-2</v>
      </c>
      <c r="K31" s="1" t="s">
        <v>12</v>
      </c>
      <c r="L31" s="1">
        <v>1</v>
      </c>
      <c r="M31" s="1" t="s">
        <v>524</v>
      </c>
      <c r="N31" s="1" t="s">
        <v>547</v>
      </c>
      <c r="O31" s="1" t="s">
        <v>439</v>
      </c>
      <c r="P31" s="1" t="s">
        <v>548</v>
      </c>
      <c r="AM31">
        <v>869</v>
      </c>
      <c r="AN31">
        <v>5411</v>
      </c>
      <c r="AO31">
        <f t="shared" si="0"/>
        <v>36</v>
      </c>
    </row>
    <row r="32" spans="1:41" x14ac:dyDescent="0.2">
      <c r="A32" s="1">
        <v>16</v>
      </c>
      <c r="B32" s="1" t="s">
        <v>26</v>
      </c>
      <c r="D32" s="1" t="s">
        <v>133</v>
      </c>
      <c r="E32" s="1">
        <v>-4.5</v>
      </c>
      <c r="F32" s="1">
        <v>1.923</v>
      </c>
      <c r="G32" s="1">
        <v>0.01</v>
      </c>
      <c r="H32" s="1">
        <v>-14.05</v>
      </c>
      <c r="I32" s="1">
        <v>-2.3239999999999998</v>
      </c>
      <c r="J32" s="1">
        <v>1.0999999999999999E-2</v>
      </c>
      <c r="K32" s="1" t="s">
        <v>12</v>
      </c>
      <c r="L32" s="1">
        <v>1</v>
      </c>
      <c r="M32" s="1" t="s">
        <v>524</v>
      </c>
      <c r="N32" s="1" t="s">
        <v>549</v>
      </c>
      <c r="O32" s="1" t="s">
        <v>442</v>
      </c>
      <c r="P32" s="1" t="s">
        <v>550</v>
      </c>
      <c r="AM32">
        <v>958</v>
      </c>
      <c r="AN32">
        <v>7484</v>
      </c>
      <c r="AO32">
        <f t="shared" si="0"/>
        <v>36</v>
      </c>
    </row>
    <row r="33" spans="1:43" x14ac:dyDescent="0.2">
      <c r="A33" s="1">
        <v>15</v>
      </c>
      <c r="B33" s="1" t="s">
        <v>24</v>
      </c>
      <c r="D33" s="1" t="s">
        <v>133</v>
      </c>
      <c r="E33" s="1">
        <v>-4.5</v>
      </c>
      <c r="F33" s="1">
        <v>1.931</v>
      </c>
      <c r="G33" s="1">
        <v>0.01</v>
      </c>
      <c r="H33" s="1">
        <v>-14.05</v>
      </c>
      <c r="I33" s="1">
        <v>-2.286</v>
      </c>
      <c r="J33" s="1">
        <v>1.9E-2</v>
      </c>
      <c r="K33" s="1" t="s">
        <v>12</v>
      </c>
      <c r="L33" s="1">
        <v>1</v>
      </c>
      <c r="M33" s="1" t="s">
        <v>524</v>
      </c>
      <c r="N33" s="1" t="s">
        <v>551</v>
      </c>
      <c r="O33" s="1" t="s">
        <v>445</v>
      </c>
      <c r="P33" s="1" t="s">
        <v>552</v>
      </c>
      <c r="AM33">
        <v>869</v>
      </c>
      <c r="AN33">
        <v>6238</v>
      </c>
      <c r="AO33">
        <f t="shared" si="0"/>
        <v>36</v>
      </c>
    </row>
    <row r="34" spans="1:43" x14ac:dyDescent="0.2">
      <c r="A34" s="1">
        <v>14</v>
      </c>
      <c r="B34" s="1" t="s">
        <v>22</v>
      </c>
      <c r="D34" s="1" t="s">
        <v>133</v>
      </c>
      <c r="E34" s="1">
        <v>-4.5</v>
      </c>
      <c r="F34" s="1">
        <v>1.891</v>
      </c>
      <c r="G34" s="1">
        <v>0.01</v>
      </c>
      <c r="H34" s="1">
        <v>-14.05</v>
      </c>
      <c r="I34" s="1">
        <v>-2.4159999999999999</v>
      </c>
      <c r="J34" s="1">
        <v>1.4999999999999999E-2</v>
      </c>
      <c r="K34" s="1" t="s">
        <v>12</v>
      </c>
      <c r="L34" s="1">
        <v>1</v>
      </c>
      <c r="M34" s="1" t="s">
        <v>524</v>
      </c>
      <c r="N34" s="1" t="s">
        <v>553</v>
      </c>
      <c r="O34" s="1" t="s">
        <v>448</v>
      </c>
      <c r="P34" s="1" t="s">
        <v>554</v>
      </c>
      <c r="AM34">
        <v>912</v>
      </c>
      <c r="AN34">
        <v>7053</v>
      </c>
      <c r="AO34">
        <f t="shared" si="0"/>
        <v>36</v>
      </c>
    </row>
    <row r="35" spans="1:43" x14ac:dyDescent="0.2">
      <c r="A35" s="28">
        <v>42174</v>
      </c>
      <c r="B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43" x14ac:dyDescent="0.2">
      <c r="A36" s="1" t="s">
        <v>0</v>
      </c>
      <c r="B36" s="1" t="s">
        <v>1</v>
      </c>
      <c r="C36" s="1" t="s">
        <v>2</v>
      </c>
      <c r="D36" s="1" t="s">
        <v>132</v>
      </c>
      <c r="E36" s="1" t="s">
        <v>3</v>
      </c>
      <c r="F36" s="1" t="s">
        <v>4</v>
      </c>
      <c r="G36" s="1" t="s">
        <v>5</v>
      </c>
      <c r="H36" s="1" t="s">
        <v>6</v>
      </c>
      <c r="I36" s="1" t="s">
        <v>7</v>
      </c>
      <c r="J36" s="1" t="s">
        <v>8</v>
      </c>
      <c r="K36" s="1" t="s">
        <v>9</v>
      </c>
      <c r="L36" s="1" t="s">
        <v>128</v>
      </c>
      <c r="M36" s="1" t="s">
        <v>129</v>
      </c>
      <c r="N36" s="1" t="s">
        <v>130</v>
      </c>
      <c r="O36" s="1" t="s">
        <v>131</v>
      </c>
      <c r="P36" s="1" t="s">
        <v>10</v>
      </c>
    </row>
    <row r="37" spans="1:43" x14ac:dyDescent="0.2">
      <c r="A37" s="1">
        <v>1</v>
      </c>
      <c r="B37" s="1" t="s">
        <v>252</v>
      </c>
      <c r="D37" s="1" t="s">
        <v>133</v>
      </c>
      <c r="E37" s="1">
        <v>-4.5</v>
      </c>
      <c r="F37" s="1">
        <v>1.8520000000000001</v>
      </c>
      <c r="G37" s="1">
        <v>2.4E-2</v>
      </c>
      <c r="H37" s="1">
        <v>-14.05</v>
      </c>
      <c r="I37" s="1">
        <v>-2.5259999999999998</v>
      </c>
      <c r="J37" s="1">
        <v>6.2E-2</v>
      </c>
      <c r="K37" s="1" t="s">
        <v>12</v>
      </c>
      <c r="L37" s="1">
        <v>1</v>
      </c>
      <c r="M37" s="1" t="s">
        <v>491</v>
      </c>
      <c r="N37" s="1" t="s">
        <v>555</v>
      </c>
      <c r="O37" s="1" t="s">
        <v>487</v>
      </c>
      <c r="P37" s="1" t="s">
        <v>556</v>
      </c>
      <c r="AM37">
        <v>795</v>
      </c>
      <c r="AN37">
        <v>8603</v>
      </c>
      <c r="AO37">
        <f t="shared" ref="AO37:AO43" si="1">4*9</f>
        <v>36</v>
      </c>
    </row>
    <row r="38" spans="1:43" x14ac:dyDescent="0.2">
      <c r="A38" s="1">
        <v>2</v>
      </c>
      <c r="B38" s="1" t="s">
        <v>254</v>
      </c>
      <c r="D38" s="1" t="s">
        <v>133</v>
      </c>
      <c r="E38" s="1">
        <v>-4.5</v>
      </c>
      <c r="F38" s="1">
        <v>1.93</v>
      </c>
      <c r="G38" s="1">
        <v>2.4E-2</v>
      </c>
      <c r="H38" s="1">
        <v>-14.05</v>
      </c>
      <c r="I38" s="1">
        <v>-2.5659999999999998</v>
      </c>
      <c r="J38" s="1">
        <v>3.9E-2</v>
      </c>
      <c r="K38" s="1" t="s">
        <v>12</v>
      </c>
      <c r="L38" s="1">
        <v>1</v>
      </c>
      <c r="M38" s="1" t="s">
        <v>491</v>
      </c>
      <c r="N38" s="1" t="s">
        <v>557</v>
      </c>
      <c r="O38" s="1" t="s">
        <v>484</v>
      </c>
      <c r="P38" s="1" t="s">
        <v>558</v>
      </c>
      <c r="AM38">
        <v>791</v>
      </c>
      <c r="AN38">
        <v>7581</v>
      </c>
      <c r="AO38">
        <f t="shared" si="1"/>
        <v>36</v>
      </c>
    </row>
    <row r="39" spans="1:43" x14ac:dyDescent="0.2">
      <c r="A39" s="1">
        <v>3</v>
      </c>
      <c r="B39" s="1" t="s">
        <v>256</v>
      </c>
      <c r="D39" s="1" t="s">
        <v>133</v>
      </c>
      <c r="E39" s="1">
        <v>-4.5</v>
      </c>
      <c r="F39" s="1">
        <v>2.0230000000000001</v>
      </c>
      <c r="G39" s="1">
        <v>2.3E-2</v>
      </c>
      <c r="H39" s="1">
        <v>-14.05</v>
      </c>
      <c r="I39" s="1">
        <v>-2.4870000000000001</v>
      </c>
      <c r="J39" s="1">
        <v>3.5999999999999997E-2</v>
      </c>
      <c r="K39" s="1" t="s">
        <v>12</v>
      </c>
      <c r="L39" s="1">
        <v>1</v>
      </c>
      <c r="M39" s="1" t="s">
        <v>491</v>
      </c>
      <c r="N39" s="1" t="s">
        <v>559</v>
      </c>
      <c r="O39" s="1" t="s">
        <v>481</v>
      </c>
      <c r="P39" s="1" t="s">
        <v>560</v>
      </c>
      <c r="AM39">
        <v>937</v>
      </c>
      <c r="AN39">
        <v>9678</v>
      </c>
      <c r="AO39">
        <f t="shared" si="1"/>
        <v>36</v>
      </c>
    </row>
    <row r="40" spans="1:43" x14ac:dyDescent="0.2">
      <c r="A40" s="1">
        <v>4</v>
      </c>
      <c r="B40" s="1" t="s">
        <v>258</v>
      </c>
      <c r="D40" s="1" t="s">
        <v>133</v>
      </c>
      <c r="E40" s="1">
        <v>-4.5</v>
      </c>
      <c r="F40" s="1">
        <v>1.9570000000000001</v>
      </c>
      <c r="G40" s="1">
        <v>1.2999999999999999E-2</v>
      </c>
      <c r="H40" s="1">
        <v>-14.05</v>
      </c>
      <c r="I40" s="1">
        <v>-2.5539999999999998</v>
      </c>
      <c r="J40" s="1">
        <v>6.8000000000000005E-2</v>
      </c>
      <c r="K40" s="1" t="s">
        <v>12</v>
      </c>
      <c r="L40" s="1">
        <v>1</v>
      </c>
      <c r="M40" s="1" t="s">
        <v>491</v>
      </c>
      <c r="N40" s="1" t="s">
        <v>561</v>
      </c>
      <c r="O40" s="1" t="s">
        <v>478</v>
      </c>
      <c r="P40" s="1" t="s">
        <v>562</v>
      </c>
      <c r="AM40">
        <v>880</v>
      </c>
      <c r="AN40">
        <v>7884</v>
      </c>
      <c r="AO40">
        <f t="shared" si="1"/>
        <v>36</v>
      </c>
    </row>
    <row r="41" spans="1:43" x14ac:dyDescent="0.2">
      <c r="A41" s="1">
        <v>5</v>
      </c>
      <c r="B41" s="1" t="s">
        <v>260</v>
      </c>
      <c r="D41" s="1" t="s">
        <v>133</v>
      </c>
      <c r="E41" s="1">
        <v>-4.5</v>
      </c>
      <c r="F41" s="1">
        <v>1.925</v>
      </c>
      <c r="G41" s="1">
        <v>2.9000000000000001E-2</v>
      </c>
      <c r="H41" s="1">
        <v>-14.05</v>
      </c>
      <c r="I41" s="1">
        <v>-2.4449999999999998</v>
      </c>
      <c r="J41" s="1">
        <v>6.6000000000000003E-2</v>
      </c>
      <c r="K41" s="1" t="s">
        <v>12</v>
      </c>
      <c r="L41" s="1">
        <v>1</v>
      </c>
      <c r="M41" s="1" t="s">
        <v>491</v>
      </c>
      <c r="N41" s="1" t="s">
        <v>563</v>
      </c>
      <c r="O41" s="1" t="s">
        <v>475</v>
      </c>
      <c r="P41" s="1" t="s">
        <v>564</v>
      </c>
      <c r="AM41">
        <v>912</v>
      </c>
      <c r="AN41">
        <v>8791</v>
      </c>
      <c r="AO41">
        <f t="shared" si="1"/>
        <v>36</v>
      </c>
    </row>
    <row r="42" spans="1:43" x14ac:dyDescent="0.2">
      <c r="A42" s="1">
        <v>6</v>
      </c>
      <c r="B42" s="1" t="s">
        <v>262</v>
      </c>
      <c r="D42" s="1" t="s">
        <v>133</v>
      </c>
      <c r="E42" s="1">
        <v>-4.5</v>
      </c>
      <c r="F42" s="1">
        <v>1.9359999999999999</v>
      </c>
      <c r="G42" s="1">
        <v>1.4999999999999999E-2</v>
      </c>
      <c r="H42" s="1">
        <v>-14.05</v>
      </c>
      <c r="I42" s="1">
        <v>-2.4940000000000002</v>
      </c>
      <c r="J42" s="1">
        <v>4.7E-2</v>
      </c>
      <c r="K42" s="1" t="s">
        <v>12</v>
      </c>
      <c r="L42" s="1">
        <v>1</v>
      </c>
      <c r="M42" s="1" t="s">
        <v>491</v>
      </c>
      <c r="N42" s="1" t="s">
        <v>565</v>
      </c>
      <c r="O42" s="1" t="s">
        <v>472</v>
      </c>
      <c r="P42" s="1" t="s">
        <v>566</v>
      </c>
      <c r="AM42">
        <v>816</v>
      </c>
      <c r="AN42">
        <v>8101</v>
      </c>
      <c r="AO42">
        <f t="shared" si="1"/>
        <v>36</v>
      </c>
    </row>
    <row r="43" spans="1:43" x14ac:dyDescent="0.2">
      <c r="A43" s="1">
        <v>12</v>
      </c>
      <c r="B43" s="1" t="s">
        <v>18</v>
      </c>
      <c r="D43" s="1" t="s">
        <v>133</v>
      </c>
      <c r="E43" s="1">
        <v>-4.5</v>
      </c>
      <c r="F43" s="1">
        <v>1.804</v>
      </c>
      <c r="G43" s="1">
        <v>4.2999999999999997E-2</v>
      </c>
      <c r="H43" s="1">
        <v>-14.05</v>
      </c>
      <c r="I43" s="1">
        <v>-2.403</v>
      </c>
      <c r="J43" s="1">
        <v>5.5E-2</v>
      </c>
      <c r="K43" s="1" t="s">
        <v>12</v>
      </c>
      <c r="L43" s="1">
        <v>1</v>
      </c>
      <c r="M43" s="1" t="s">
        <v>491</v>
      </c>
      <c r="N43" s="1" t="s">
        <v>567</v>
      </c>
      <c r="O43" s="1" t="s">
        <v>454</v>
      </c>
      <c r="P43" s="1" t="s">
        <v>568</v>
      </c>
      <c r="AM43">
        <v>802</v>
      </c>
      <c r="AN43">
        <v>5202</v>
      </c>
      <c r="AO43">
        <f t="shared" si="1"/>
        <v>36</v>
      </c>
    </row>
    <row r="44" spans="1:43" x14ac:dyDescent="0.2">
      <c r="A44" s="29" t="s">
        <v>569</v>
      </c>
      <c r="B44" s="29"/>
      <c r="C44" s="30"/>
      <c r="D44" s="29"/>
      <c r="E44" s="29"/>
      <c r="F44" s="31">
        <f>AVERAGE(F4:F43)</f>
        <v>1.90228947368421</v>
      </c>
      <c r="G44" s="29"/>
      <c r="H44" s="29"/>
      <c r="I44" s="31">
        <f>AVERAGE(I4:I43)</f>
        <v>-2.4392631578947364</v>
      </c>
      <c r="J44" s="29"/>
      <c r="K44" s="29"/>
      <c r="L44" s="1"/>
      <c r="M44" s="1"/>
      <c r="N44" s="1"/>
      <c r="O44" s="1"/>
      <c r="P44" s="1"/>
    </row>
    <row r="45" spans="1:43" x14ac:dyDescent="0.2">
      <c r="A45" s="29" t="s">
        <v>91</v>
      </c>
      <c r="B45" s="29"/>
      <c r="C45" s="30"/>
      <c r="D45" s="29"/>
      <c r="E45" s="29"/>
      <c r="F45" s="31">
        <f>STDEV(F4:F43)</f>
        <v>0.10285121972886613</v>
      </c>
      <c r="G45" s="29"/>
      <c r="H45" s="29"/>
      <c r="I45" s="31">
        <f>STDEV(I4:I43)</f>
        <v>0.27971807082581568</v>
      </c>
      <c r="J45" s="29"/>
      <c r="K45" s="29"/>
      <c r="L45" s="1"/>
      <c r="M45" s="1"/>
      <c r="N45" s="1"/>
      <c r="O45" s="1"/>
      <c r="P45" s="1"/>
    </row>
    <row r="46" spans="1:43" x14ac:dyDescent="0.2">
      <c r="A46" s="1"/>
      <c r="B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43" x14ac:dyDescent="0.2">
      <c r="A47" s="28">
        <v>42177</v>
      </c>
      <c r="B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43" x14ac:dyDescent="0.2">
      <c r="A48" s="1" t="s">
        <v>0</v>
      </c>
      <c r="B48" s="1" t="s">
        <v>1</v>
      </c>
      <c r="C48" s="1" t="s">
        <v>2</v>
      </c>
      <c r="D48" s="1" t="s">
        <v>132</v>
      </c>
      <c r="E48" s="1" t="s">
        <v>3</v>
      </c>
      <c r="F48" s="1" t="s">
        <v>4</v>
      </c>
      <c r="G48" s="1" t="s">
        <v>5</v>
      </c>
      <c r="H48" s="1" t="s">
        <v>6</v>
      </c>
      <c r="I48" s="1" t="s">
        <v>7</v>
      </c>
      <c r="J48" s="1" t="s">
        <v>8</v>
      </c>
      <c r="K48" s="1" t="s">
        <v>9</v>
      </c>
      <c r="L48" s="1" t="s">
        <v>128</v>
      </c>
      <c r="M48" s="1" t="s">
        <v>129</v>
      </c>
      <c r="N48" s="1" t="s">
        <v>130</v>
      </c>
      <c r="O48" s="1" t="s">
        <v>131</v>
      </c>
      <c r="P48" s="1" t="s">
        <v>10</v>
      </c>
      <c r="AM48" t="s">
        <v>191</v>
      </c>
      <c r="AN48" t="s">
        <v>490</v>
      </c>
      <c r="AO48" t="s">
        <v>570</v>
      </c>
      <c r="AP48" t="s">
        <v>686</v>
      </c>
      <c r="AQ48" t="s">
        <v>687</v>
      </c>
    </row>
    <row r="49" spans="1:41" x14ac:dyDescent="0.2">
      <c r="A49" s="1">
        <v>10</v>
      </c>
      <c r="B49" s="1" t="s">
        <v>14</v>
      </c>
      <c r="C49" s="1" t="s">
        <v>157</v>
      </c>
      <c r="D49" s="1" t="s">
        <v>157</v>
      </c>
      <c r="E49" s="1">
        <v>-4.5</v>
      </c>
      <c r="F49" s="1">
        <v>1.145</v>
      </c>
      <c r="G49" s="1">
        <v>6.0999999999999999E-2</v>
      </c>
      <c r="H49" s="1">
        <v>-14.05</v>
      </c>
      <c r="I49" s="1">
        <v>-6.2539999999999996</v>
      </c>
      <c r="J49" s="1">
        <v>0.22900000000000001</v>
      </c>
      <c r="K49" s="1" t="s">
        <v>12</v>
      </c>
      <c r="L49" s="1">
        <v>1</v>
      </c>
      <c r="M49" s="1" t="s">
        <v>571</v>
      </c>
      <c r="N49" s="1" t="s">
        <v>572</v>
      </c>
      <c r="O49" s="1" t="s">
        <v>573</v>
      </c>
      <c r="P49" s="1" t="s">
        <v>574</v>
      </c>
      <c r="AM49">
        <v>303</v>
      </c>
      <c r="AN49">
        <v>796</v>
      </c>
      <c r="AO49">
        <v>18</v>
      </c>
    </row>
    <row r="50" spans="1:41" x14ac:dyDescent="0.2">
      <c r="A50" s="1">
        <v>9</v>
      </c>
      <c r="B50" s="1" t="s">
        <v>268</v>
      </c>
      <c r="C50" s="1" t="s">
        <v>157</v>
      </c>
      <c r="D50" s="1" t="s">
        <v>157</v>
      </c>
      <c r="E50" s="1">
        <v>-4.5</v>
      </c>
      <c r="F50" s="1">
        <v>1.629</v>
      </c>
      <c r="G50" s="1">
        <v>0.01</v>
      </c>
      <c r="H50" s="1">
        <v>-14.05</v>
      </c>
      <c r="I50" s="1">
        <v>-3.331</v>
      </c>
      <c r="J50" s="1">
        <v>0.127</v>
      </c>
      <c r="K50" s="1" t="s">
        <v>12</v>
      </c>
      <c r="L50" s="1">
        <v>1</v>
      </c>
      <c r="M50" s="1" t="s">
        <v>571</v>
      </c>
      <c r="N50" s="1" t="s">
        <v>575</v>
      </c>
      <c r="O50" s="1" t="s">
        <v>576</v>
      </c>
      <c r="P50" s="1" t="s">
        <v>577</v>
      </c>
      <c r="AM50">
        <v>600</v>
      </c>
      <c r="AN50">
        <v>2879</v>
      </c>
      <c r="AO50">
        <v>18</v>
      </c>
    </row>
    <row r="51" spans="1:41" x14ac:dyDescent="0.2">
      <c r="A51" s="1">
        <v>8</v>
      </c>
      <c r="B51" s="1" t="s">
        <v>266</v>
      </c>
      <c r="C51" s="1" t="s">
        <v>178</v>
      </c>
      <c r="D51" s="1" t="s">
        <v>178</v>
      </c>
      <c r="E51" s="1">
        <v>-4.5</v>
      </c>
      <c r="F51" s="1">
        <v>1.3340000000000001</v>
      </c>
      <c r="G51" s="1">
        <v>3.3000000000000002E-2</v>
      </c>
      <c r="H51" s="1">
        <v>-14.05</v>
      </c>
      <c r="I51" s="1">
        <v>-4.1210000000000004</v>
      </c>
      <c r="J51" s="1">
        <v>0.192</v>
      </c>
      <c r="K51" s="1" t="s">
        <v>12</v>
      </c>
      <c r="L51" s="1">
        <v>1</v>
      </c>
      <c r="M51" s="1" t="s">
        <v>571</v>
      </c>
      <c r="N51" s="1" t="s">
        <v>578</v>
      </c>
      <c r="O51" s="1" t="s">
        <v>579</v>
      </c>
      <c r="P51" s="1" t="s">
        <v>580</v>
      </c>
      <c r="AM51">
        <v>398</v>
      </c>
      <c r="AN51">
        <v>1270</v>
      </c>
      <c r="AO51">
        <v>9</v>
      </c>
    </row>
    <row r="52" spans="1:41" x14ac:dyDescent="0.2">
      <c r="A52" s="1">
        <v>7</v>
      </c>
      <c r="B52" s="1" t="s">
        <v>264</v>
      </c>
      <c r="C52" s="1" t="s">
        <v>178</v>
      </c>
      <c r="D52" s="1" t="s">
        <v>178</v>
      </c>
      <c r="E52" s="1">
        <v>-4.5</v>
      </c>
      <c r="F52" s="1">
        <v>1.304</v>
      </c>
      <c r="G52" s="1">
        <v>1.6E-2</v>
      </c>
      <c r="H52" s="1">
        <v>-14.05</v>
      </c>
      <c r="I52" s="1">
        <v>-4.4470000000000001</v>
      </c>
      <c r="J52" s="1">
        <v>0.22700000000000001</v>
      </c>
      <c r="K52" s="1" t="s">
        <v>12</v>
      </c>
      <c r="L52" s="1">
        <v>1</v>
      </c>
      <c r="M52" s="1" t="s">
        <v>571</v>
      </c>
      <c r="N52" s="1" t="s">
        <v>581</v>
      </c>
      <c r="O52" s="1" t="s">
        <v>582</v>
      </c>
      <c r="P52" s="1" t="s">
        <v>583</v>
      </c>
      <c r="AM52">
        <v>391</v>
      </c>
      <c r="AN52">
        <v>1277</v>
      </c>
      <c r="AO52">
        <v>9</v>
      </c>
    </row>
    <row r="53" spans="1:41" x14ac:dyDescent="0.2">
      <c r="A53" s="1">
        <v>6</v>
      </c>
      <c r="B53" s="1" t="s">
        <v>262</v>
      </c>
      <c r="C53" s="1" t="s">
        <v>178</v>
      </c>
      <c r="D53" s="1" t="s">
        <v>178</v>
      </c>
      <c r="E53" s="1">
        <v>-4.5</v>
      </c>
      <c r="F53" s="1">
        <v>1.3879999999999999</v>
      </c>
      <c r="G53" s="1">
        <v>1.7000000000000001E-2</v>
      </c>
      <c r="H53" s="1">
        <v>-14.05</v>
      </c>
      <c r="I53" s="1">
        <v>-3.8050000000000002</v>
      </c>
      <c r="J53" s="1">
        <v>0.159</v>
      </c>
      <c r="K53" s="1" t="s">
        <v>12</v>
      </c>
      <c r="L53" s="1">
        <v>1</v>
      </c>
      <c r="M53" s="1" t="s">
        <v>571</v>
      </c>
      <c r="N53" s="1" t="s">
        <v>584</v>
      </c>
      <c r="O53" s="1" t="s">
        <v>585</v>
      </c>
      <c r="P53" s="1" t="s">
        <v>586</v>
      </c>
      <c r="AM53">
        <v>420</v>
      </c>
      <c r="AN53">
        <v>1432</v>
      </c>
      <c r="AO53">
        <v>9</v>
      </c>
    </row>
    <row r="54" spans="1:41" x14ac:dyDescent="0.2">
      <c r="A54" s="1">
        <v>5</v>
      </c>
      <c r="B54" s="1" t="s">
        <v>260</v>
      </c>
      <c r="C54" s="1" t="s">
        <v>178</v>
      </c>
      <c r="D54" s="1" t="s">
        <v>178</v>
      </c>
      <c r="E54" s="1">
        <v>-4.5</v>
      </c>
      <c r="F54" s="1">
        <v>1.496</v>
      </c>
      <c r="G54" s="1">
        <v>1.4E-2</v>
      </c>
      <c r="H54" s="1">
        <v>-14.05</v>
      </c>
      <c r="I54" s="1">
        <v>-3.5739999999999998</v>
      </c>
      <c r="J54" s="1">
        <v>0.151</v>
      </c>
      <c r="K54" s="1" t="s">
        <v>12</v>
      </c>
      <c r="L54" s="1">
        <v>1</v>
      </c>
      <c r="M54" s="1" t="s">
        <v>571</v>
      </c>
      <c r="N54" s="1" t="s">
        <v>587</v>
      </c>
      <c r="O54" s="1" t="s">
        <v>588</v>
      </c>
      <c r="P54" s="1" t="s">
        <v>589</v>
      </c>
      <c r="AM54">
        <v>515</v>
      </c>
      <c r="AN54">
        <v>2049</v>
      </c>
      <c r="AO54">
        <v>9</v>
      </c>
    </row>
    <row r="55" spans="1:41" x14ac:dyDescent="0.2">
      <c r="A55" s="1">
        <v>4</v>
      </c>
      <c r="B55" s="1" t="s">
        <v>258</v>
      </c>
      <c r="C55" s="1" t="s">
        <v>178</v>
      </c>
      <c r="D55" s="1" t="s">
        <v>178</v>
      </c>
      <c r="E55" s="1">
        <v>-4.5</v>
      </c>
      <c r="F55" s="1">
        <v>1.321</v>
      </c>
      <c r="G55" s="1">
        <v>1.7000000000000001E-2</v>
      </c>
      <c r="H55" s="1">
        <v>-14.05</v>
      </c>
      <c r="I55" s="1">
        <v>-4.7030000000000003</v>
      </c>
      <c r="J55" s="1">
        <v>0.14299999999999999</v>
      </c>
      <c r="K55" s="1" t="s">
        <v>12</v>
      </c>
      <c r="L55" s="1">
        <v>1</v>
      </c>
      <c r="M55" s="1" t="s">
        <v>571</v>
      </c>
      <c r="N55" s="1" t="s">
        <v>590</v>
      </c>
      <c r="O55" s="1" t="s">
        <v>591</v>
      </c>
      <c r="P55" s="1" t="s">
        <v>592</v>
      </c>
      <c r="AM55">
        <v>370</v>
      </c>
      <c r="AN55">
        <v>1176</v>
      </c>
      <c r="AO55">
        <v>9</v>
      </c>
    </row>
    <row r="56" spans="1:41" x14ac:dyDescent="0.2">
      <c r="A56" s="1">
        <v>3</v>
      </c>
      <c r="B56" s="1" t="s">
        <v>256</v>
      </c>
      <c r="C56" s="1" t="s">
        <v>178</v>
      </c>
      <c r="D56" s="1" t="s">
        <v>178</v>
      </c>
      <c r="E56" s="1">
        <v>-4.5</v>
      </c>
      <c r="F56" s="1">
        <v>1.3220000000000001</v>
      </c>
      <c r="G56" s="1">
        <v>3.3000000000000002E-2</v>
      </c>
      <c r="H56" s="1">
        <v>-14.05</v>
      </c>
      <c r="I56" s="1">
        <v>-3.794</v>
      </c>
      <c r="J56" s="1">
        <v>0.16300000000000001</v>
      </c>
      <c r="K56" s="1" t="s">
        <v>12</v>
      </c>
      <c r="L56" s="1">
        <v>1</v>
      </c>
      <c r="M56" s="1" t="s">
        <v>571</v>
      </c>
      <c r="N56" s="1" t="s">
        <v>593</v>
      </c>
      <c r="O56" s="1" t="s">
        <v>594</v>
      </c>
      <c r="P56" s="1" t="s">
        <v>595</v>
      </c>
      <c r="AM56">
        <v>413</v>
      </c>
      <c r="AN56">
        <v>1490</v>
      </c>
      <c r="AO56">
        <v>9</v>
      </c>
    </row>
    <row r="57" spans="1:41" x14ac:dyDescent="0.2">
      <c r="A57" s="1">
        <v>2</v>
      </c>
      <c r="B57" s="1" t="s">
        <v>254</v>
      </c>
      <c r="C57" s="1" t="s">
        <v>133</v>
      </c>
      <c r="D57" s="1" t="s">
        <v>133</v>
      </c>
      <c r="E57" s="1">
        <v>-4.5</v>
      </c>
      <c r="F57" s="1">
        <v>1.9850000000000001</v>
      </c>
      <c r="G57" s="1">
        <v>3.7999999999999999E-2</v>
      </c>
      <c r="H57" s="1">
        <v>-14.05</v>
      </c>
      <c r="I57" s="1">
        <v>-2.4689999999999999</v>
      </c>
      <c r="J57" s="1">
        <v>0.04</v>
      </c>
      <c r="K57" s="1" t="s">
        <v>12</v>
      </c>
      <c r="L57" s="1">
        <v>1</v>
      </c>
      <c r="M57" s="1" t="s">
        <v>571</v>
      </c>
      <c r="N57" s="1" t="s">
        <v>596</v>
      </c>
      <c r="O57" s="1" t="s">
        <v>597</v>
      </c>
      <c r="P57" s="1" t="s">
        <v>598</v>
      </c>
      <c r="AM57">
        <v>887</v>
      </c>
      <c r="AN57">
        <v>10181</v>
      </c>
      <c r="AO57">
        <f>4*9</f>
        <v>36</v>
      </c>
    </row>
    <row r="58" spans="1:41" x14ac:dyDescent="0.2">
      <c r="A58" s="1">
        <v>1</v>
      </c>
      <c r="B58" s="1" t="s">
        <v>252</v>
      </c>
      <c r="C58" s="1" t="s">
        <v>133</v>
      </c>
      <c r="D58" s="1" t="s">
        <v>133</v>
      </c>
      <c r="E58" s="1">
        <v>-4.5</v>
      </c>
      <c r="F58" s="1">
        <v>1.87</v>
      </c>
      <c r="G58" s="1">
        <v>2.4E-2</v>
      </c>
      <c r="H58" s="1">
        <v>-14.05</v>
      </c>
      <c r="I58" s="1">
        <v>-2.6680000000000001</v>
      </c>
      <c r="J58" s="1">
        <v>5.8999999999999997E-2</v>
      </c>
      <c r="K58" s="1" t="s">
        <v>12</v>
      </c>
      <c r="L58" s="1">
        <v>1</v>
      </c>
      <c r="M58" s="1" t="s">
        <v>571</v>
      </c>
      <c r="N58" s="1" t="s">
        <v>599</v>
      </c>
      <c r="O58" s="1" t="s">
        <v>600</v>
      </c>
      <c r="P58" s="1" t="s">
        <v>601</v>
      </c>
      <c r="AM58">
        <v>738</v>
      </c>
      <c r="AN58">
        <v>5571</v>
      </c>
      <c r="AO58">
        <f>4*9</f>
        <v>36</v>
      </c>
    </row>
    <row r="59" spans="1:41" x14ac:dyDescent="0.2">
      <c r="A59" s="28">
        <v>42178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41" x14ac:dyDescent="0.2">
      <c r="A60" s="1" t="s">
        <v>0</v>
      </c>
      <c r="B60" s="1" t="s">
        <v>1</v>
      </c>
      <c r="C60" s="1" t="s">
        <v>2</v>
      </c>
      <c r="D60" s="1" t="s">
        <v>132</v>
      </c>
      <c r="E60" s="1" t="s">
        <v>3</v>
      </c>
      <c r="F60" s="1" t="s">
        <v>4</v>
      </c>
      <c r="G60" s="1" t="s">
        <v>5</v>
      </c>
      <c r="H60" s="1" t="s">
        <v>6</v>
      </c>
      <c r="I60" s="1" t="s">
        <v>7</v>
      </c>
      <c r="J60" s="1" t="s">
        <v>8</v>
      </c>
      <c r="K60" s="1" t="s">
        <v>9</v>
      </c>
      <c r="L60" s="1" t="s">
        <v>128</v>
      </c>
      <c r="M60" s="1" t="s">
        <v>129</v>
      </c>
      <c r="N60" s="1" t="s">
        <v>130</v>
      </c>
      <c r="O60" s="1" t="s">
        <v>131</v>
      </c>
      <c r="P60" s="1" t="s">
        <v>10</v>
      </c>
    </row>
    <row r="61" spans="1:41" x14ac:dyDescent="0.2">
      <c r="A61" s="1">
        <v>21</v>
      </c>
      <c r="B61" s="1" t="s">
        <v>73</v>
      </c>
      <c r="C61" s="1" t="s">
        <v>133</v>
      </c>
      <c r="D61" s="1" t="s">
        <v>133</v>
      </c>
      <c r="E61" s="1">
        <v>-4.5</v>
      </c>
      <c r="F61" s="1">
        <v>1.855</v>
      </c>
      <c r="G61" s="1">
        <v>1.7999999999999999E-2</v>
      </c>
      <c r="H61" s="1">
        <v>-14.05</v>
      </c>
      <c r="I61" s="1">
        <v>-2.6480000000000001</v>
      </c>
      <c r="J61" s="1">
        <v>7.0000000000000007E-2</v>
      </c>
      <c r="K61" s="1" t="s">
        <v>12</v>
      </c>
      <c r="L61" s="1">
        <v>1</v>
      </c>
      <c r="M61" s="1" t="s">
        <v>602</v>
      </c>
      <c r="N61" s="1" t="s">
        <v>603</v>
      </c>
      <c r="O61" s="1" t="s">
        <v>604</v>
      </c>
      <c r="P61" s="1" t="s">
        <v>605</v>
      </c>
      <c r="AM61">
        <v>866</v>
      </c>
      <c r="AN61">
        <v>7929</v>
      </c>
      <c r="AO61">
        <f>4*9</f>
        <v>36</v>
      </c>
    </row>
    <row r="62" spans="1:41" x14ac:dyDescent="0.2">
      <c r="A62" s="1">
        <v>20</v>
      </c>
      <c r="B62" s="1" t="s">
        <v>36</v>
      </c>
      <c r="C62" s="1" t="s">
        <v>199</v>
      </c>
      <c r="D62" s="1" t="s">
        <v>199</v>
      </c>
      <c r="E62" s="1">
        <v>-4.5</v>
      </c>
      <c r="F62" s="1">
        <v>1.8620000000000001</v>
      </c>
      <c r="G62" s="1">
        <v>1.4999999999999999E-2</v>
      </c>
      <c r="H62" s="1">
        <v>-14.05</v>
      </c>
      <c r="I62" s="1">
        <v>-2.819</v>
      </c>
      <c r="J62" s="1">
        <v>0.11</v>
      </c>
      <c r="K62" s="1" t="s">
        <v>12</v>
      </c>
      <c r="L62" s="1">
        <v>1</v>
      </c>
      <c r="M62" s="1" t="s">
        <v>602</v>
      </c>
      <c r="N62" s="1" t="s">
        <v>606</v>
      </c>
      <c r="O62" s="1" t="s">
        <v>607</v>
      </c>
      <c r="P62" s="1" t="s">
        <v>608</v>
      </c>
      <c r="AM62">
        <v>728</v>
      </c>
      <c r="AN62">
        <v>4989</v>
      </c>
      <c r="AO62">
        <f>3*9</f>
        <v>27</v>
      </c>
    </row>
    <row r="63" spans="1:41" x14ac:dyDescent="0.2">
      <c r="A63" s="1">
        <v>19</v>
      </c>
      <c r="B63" s="1" t="s">
        <v>32</v>
      </c>
      <c r="C63" s="1" t="s">
        <v>199</v>
      </c>
      <c r="D63" s="1" t="s">
        <v>199</v>
      </c>
      <c r="E63" s="1">
        <v>-4.5</v>
      </c>
      <c r="F63" s="1">
        <v>1.877</v>
      </c>
      <c r="G63" s="1">
        <v>8.9999999999999993E-3</v>
      </c>
      <c r="H63" s="1">
        <v>-14.05</v>
      </c>
      <c r="I63" s="1">
        <v>-2.738</v>
      </c>
      <c r="J63" s="1">
        <v>4.7E-2</v>
      </c>
      <c r="K63" s="1" t="s">
        <v>12</v>
      </c>
      <c r="L63" s="1">
        <v>1</v>
      </c>
      <c r="M63" s="1" t="s">
        <v>602</v>
      </c>
      <c r="N63" s="1" t="s">
        <v>609</v>
      </c>
      <c r="O63" s="1" t="s">
        <v>610</v>
      </c>
      <c r="P63" s="1" t="s">
        <v>611</v>
      </c>
      <c r="AM63">
        <v>827</v>
      </c>
      <c r="AN63">
        <v>6661</v>
      </c>
      <c r="AO63">
        <f t="shared" ref="AO63:AO66" si="2">3*9</f>
        <v>27</v>
      </c>
    </row>
    <row r="64" spans="1:41" x14ac:dyDescent="0.2">
      <c r="A64" s="1">
        <v>18</v>
      </c>
      <c r="B64" s="1" t="s">
        <v>30</v>
      </c>
      <c r="C64" s="1" t="s">
        <v>199</v>
      </c>
      <c r="D64" s="1" t="s">
        <v>199</v>
      </c>
      <c r="E64" s="1">
        <v>-4.5</v>
      </c>
      <c r="F64" s="1">
        <v>1.653</v>
      </c>
      <c r="G64" s="1">
        <v>0.02</v>
      </c>
      <c r="H64" s="1">
        <v>-14.05</v>
      </c>
      <c r="I64" s="1">
        <v>-2.262</v>
      </c>
      <c r="J64" s="1">
        <v>0.11700000000000001</v>
      </c>
      <c r="K64" s="1" t="s">
        <v>12</v>
      </c>
      <c r="L64" s="1">
        <v>1</v>
      </c>
      <c r="M64" s="1" t="s">
        <v>602</v>
      </c>
      <c r="N64" s="1" t="s">
        <v>612</v>
      </c>
      <c r="O64" s="1" t="s">
        <v>613</v>
      </c>
      <c r="P64" s="1" t="s">
        <v>614</v>
      </c>
      <c r="AM64">
        <v>770</v>
      </c>
      <c r="AN64">
        <v>5039</v>
      </c>
      <c r="AO64">
        <f t="shared" si="2"/>
        <v>27</v>
      </c>
    </row>
    <row r="65" spans="1:43" x14ac:dyDescent="0.2">
      <c r="A65" s="1">
        <v>17</v>
      </c>
      <c r="B65" s="1" t="s">
        <v>28</v>
      </c>
      <c r="C65" s="1" t="s">
        <v>199</v>
      </c>
      <c r="D65" s="1" t="s">
        <v>199</v>
      </c>
      <c r="E65" s="1">
        <v>-4.5</v>
      </c>
      <c r="F65" s="1">
        <v>1.8180000000000001</v>
      </c>
      <c r="G65" s="1">
        <v>1.4999999999999999E-2</v>
      </c>
      <c r="H65" s="1">
        <v>-14.05</v>
      </c>
      <c r="I65" s="1">
        <v>-2.8210000000000002</v>
      </c>
      <c r="J65" s="1">
        <v>0.109</v>
      </c>
      <c r="K65" s="1" t="s">
        <v>12</v>
      </c>
      <c r="L65" s="1">
        <v>1</v>
      </c>
      <c r="M65" s="1" t="s">
        <v>602</v>
      </c>
      <c r="N65" s="1" t="s">
        <v>615</v>
      </c>
      <c r="O65" s="1" t="s">
        <v>616</v>
      </c>
      <c r="P65" s="1" t="s">
        <v>617</v>
      </c>
      <c r="AM65">
        <v>760</v>
      </c>
      <c r="AN65">
        <v>5765</v>
      </c>
      <c r="AO65">
        <f t="shared" si="2"/>
        <v>27</v>
      </c>
    </row>
    <row r="66" spans="1:43" x14ac:dyDescent="0.2">
      <c r="A66" s="1">
        <v>15</v>
      </c>
      <c r="B66" s="1" t="s">
        <v>24</v>
      </c>
      <c r="C66" s="1" t="s">
        <v>199</v>
      </c>
      <c r="D66" s="1" t="s">
        <v>199</v>
      </c>
      <c r="E66" s="1">
        <v>-4.5</v>
      </c>
      <c r="F66" s="1">
        <v>1.8620000000000001</v>
      </c>
      <c r="G66" s="1">
        <v>2.1000000000000001E-2</v>
      </c>
      <c r="H66" s="1">
        <v>-14.05</v>
      </c>
      <c r="I66" s="1">
        <v>-2.819</v>
      </c>
      <c r="J66" s="1">
        <v>7.6999999999999999E-2</v>
      </c>
      <c r="K66" s="1" t="s">
        <v>12</v>
      </c>
      <c r="L66" s="1">
        <v>1</v>
      </c>
      <c r="M66" s="1" t="s">
        <v>602</v>
      </c>
      <c r="N66" s="1" t="s">
        <v>618</v>
      </c>
      <c r="O66" s="1" t="s">
        <v>619</v>
      </c>
      <c r="P66" s="1" t="s">
        <v>620</v>
      </c>
      <c r="AM66">
        <v>777</v>
      </c>
      <c r="AN66">
        <v>5861</v>
      </c>
      <c r="AO66">
        <f t="shared" si="2"/>
        <v>27</v>
      </c>
    </row>
    <row r="67" spans="1:43" x14ac:dyDescent="0.2">
      <c r="A67" s="1">
        <v>14</v>
      </c>
      <c r="B67" s="1" t="s">
        <v>22</v>
      </c>
      <c r="C67" s="1" t="s">
        <v>157</v>
      </c>
      <c r="D67" s="1" t="s">
        <v>157</v>
      </c>
      <c r="E67" s="1">
        <v>-4.5</v>
      </c>
      <c r="F67" s="1">
        <v>1.8089999999999999</v>
      </c>
      <c r="G67" s="1">
        <v>1.2999999999999999E-2</v>
      </c>
      <c r="H67" s="1">
        <v>-14.05</v>
      </c>
      <c r="I67" s="1">
        <v>-3.0030000000000001</v>
      </c>
      <c r="J67" s="1">
        <v>0.14000000000000001</v>
      </c>
      <c r="K67" s="1" t="s">
        <v>12</v>
      </c>
      <c r="L67" s="1">
        <v>1</v>
      </c>
      <c r="M67" s="1" t="s">
        <v>602</v>
      </c>
      <c r="N67" s="1" t="s">
        <v>621</v>
      </c>
      <c r="O67" s="1" t="s">
        <v>622</v>
      </c>
      <c r="P67" s="1" t="s">
        <v>623</v>
      </c>
      <c r="AM67">
        <v>671</v>
      </c>
      <c r="AN67">
        <v>4076</v>
      </c>
      <c r="AO67">
        <v>18</v>
      </c>
    </row>
    <row r="68" spans="1:43" x14ac:dyDescent="0.2">
      <c r="A68" s="1">
        <v>13</v>
      </c>
      <c r="B68" s="1" t="s">
        <v>20</v>
      </c>
      <c r="C68" s="1" t="s">
        <v>157</v>
      </c>
      <c r="D68" s="1" t="s">
        <v>157</v>
      </c>
      <c r="E68" s="1">
        <v>-4.5</v>
      </c>
      <c r="F68" s="1">
        <v>1.6619999999999999</v>
      </c>
      <c r="G68" s="1">
        <v>1.2E-2</v>
      </c>
      <c r="H68" s="1">
        <v>-14.05</v>
      </c>
      <c r="I68" s="1">
        <v>-3.1160000000000001</v>
      </c>
      <c r="J68" s="1">
        <v>0.126</v>
      </c>
      <c r="K68" s="1" t="s">
        <v>12</v>
      </c>
      <c r="L68" s="1">
        <v>1</v>
      </c>
      <c r="M68" s="1" t="s">
        <v>602</v>
      </c>
      <c r="N68" s="1" t="s">
        <v>624</v>
      </c>
      <c r="O68" s="1" t="s">
        <v>625</v>
      </c>
      <c r="P68" s="1" t="s">
        <v>626</v>
      </c>
      <c r="AM68">
        <v>600</v>
      </c>
      <c r="AN68">
        <v>3360</v>
      </c>
      <c r="AO68">
        <v>18</v>
      </c>
    </row>
    <row r="69" spans="1:43" x14ac:dyDescent="0.2">
      <c r="A69" s="28">
        <v>42179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43" x14ac:dyDescent="0.2">
      <c r="A70" s="1" t="s">
        <v>0</v>
      </c>
      <c r="B70" s="1" t="s">
        <v>1</v>
      </c>
      <c r="C70" s="1" t="s">
        <v>2</v>
      </c>
      <c r="D70" s="1" t="s">
        <v>132</v>
      </c>
      <c r="E70" s="1" t="s">
        <v>3</v>
      </c>
      <c r="F70" s="1" t="s">
        <v>4</v>
      </c>
      <c r="G70" s="1" t="s">
        <v>5</v>
      </c>
      <c r="H70" s="1" t="s">
        <v>6</v>
      </c>
      <c r="I70" s="1" t="s">
        <v>7</v>
      </c>
      <c r="J70" s="1" t="s">
        <v>8</v>
      </c>
      <c r="K70" s="1" t="s">
        <v>9</v>
      </c>
      <c r="L70" s="1" t="s">
        <v>128</v>
      </c>
      <c r="M70" s="1" t="s">
        <v>129</v>
      </c>
      <c r="N70" s="1" t="s">
        <v>130</v>
      </c>
      <c r="O70" s="1" t="s">
        <v>131</v>
      </c>
      <c r="P70" s="1" t="s">
        <v>10</v>
      </c>
    </row>
    <row r="71" spans="1:43" x14ac:dyDescent="0.2">
      <c r="A71" s="1">
        <v>41</v>
      </c>
      <c r="B71" s="1" t="s">
        <v>307</v>
      </c>
      <c r="C71" s="1" t="s">
        <v>133</v>
      </c>
      <c r="D71" s="1" t="s">
        <v>133</v>
      </c>
      <c r="E71" s="1">
        <v>-4.5</v>
      </c>
      <c r="F71" s="1">
        <v>1.9359999999999999</v>
      </c>
      <c r="G71" s="1">
        <v>1.7999999999999999E-2</v>
      </c>
      <c r="H71" s="1">
        <v>-14.05</v>
      </c>
      <c r="I71" s="1">
        <v>-2.5579999999999998</v>
      </c>
      <c r="J71" s="1">
        <v>8.2000000000000003E-2</v>
      </c>
      <c r="K71" s="1" t="s">
        <v>12</v>
      </c>
      <c r="L71" s="1">
        <v>1</v>
      </c>
      <c r="M71" s="1" t="s">
        <v>627</v>
      </c>
      <c r="N71" s="1" t="s">
        <v>628</v>
      </c>
      <c r="O71" s="1" t="s">
        <v>629</v>
      </c>
      <c r="P71" s="1" t="s">
        <v>630</v>
      </c>
      <c r="AM71">
        <v>908</v>
      </c>
      <c r="AN71">
        <v>7922</v>
      </c>
      <c r="AO71">
        <f>4*9</f>
        <v>36</v>
      </c>
      <c r="AQ71">
        <v>908</v>
      </c>
    </row>
    <row r="72" spans="1:43" x14ac:dyDescent="0.2">
      <c r="A72" s="1">
        <v>40</v>
      </c>
      <c r="B72" s="1" t="s">
        <v>305</v>
      </c>
      <c r="C72" s="1" t="s">
        <v>133</v>
      </c>
      <c r="D72" s="1" t="s">
        <v>133</v>
      </c>
      <c r="E72" s="1">
        <v>-4.5</v>
      </c>
      <c r="F72" s="1">
        <v>1.913</v>
      </c>
      <c r="G72" s="1">
        <v>1.9E-2</v>
      </c>
      <c r="H72" s="1">
        <v>-14.05</v>
      </c>
      <c r="I72" s="1">
        <v>-2.6829999999999998</v>
      </c>
      <c r="J72" s="1">
        <v>5.5E-2</v>
      </c>
      <c r="K72" s="1" t="s">
        <v>12</v>
      </c>
      <c r="L72" s="1">
        <v>1</v>
      </c>
      <c r="M72" s="1" t="s">
        <v>627</v>
      </c>
      <c r="N72" s="1" t="s">
        <v>631</v>
      </c>
      <c r="O72" s="1" t="s">
        <v>632</v>
      </c>
      <c r="P72" s="1" t="s">
        <v>633</v>
      </c>
      <c r="AM72">
        <v>855</v>
      </c>
      <c r="AN72">
        <v>6557</v>
      </c>
      <c r="AO72">
        <f t="shared" ref="AO72:AO73" si="3">4*9</f>
        <v>36</v>
      </c>
      <c r="AQ72">
        <v>855</v>
      </c>
    </row>
    <row r="73" spans="1:43" x14ac:dyDescent="0.2">
      <c r="A73" s="1">
        <v>39</v>
      </c>
      <c r="B73" s="1" t="s">
        <v>303</v>
      </c>
      <c r="C73" s="1" t="s">
        <v>133</v>
      </c>
      <c r="D73" s="1" t="s">
        <v>133</v>
      </c>
      <c r="E73" s="1">
        <v>-4.5</v>
      </c>
      <c r="F73" s="1">
        <v>1.625</v>
      </c>
      <c r="G73" s="1">
        <v>1.2999999999999999E-2</v>
      </c>
      <c r="H73" s="1">
        <v>-14.05</v>
      </c>
      <c r="I73" s="1">
        <v>-1.365</v>
      </c>
      <c r="J73" s="1">
        <v>0.16700000000000001</v>
      </c>
      <c r="K73" s="1" t="s">
        <v>12</v>
      </c>
      <c r="L73" s="1">
        <v>1</v>
      </c>
      <c r="M73" s="1" t="s">
        <v>627</v>
      </c>
      <c r="N73" s="1" t="s">
        <v>634</v>
      </c>
      <c r="O73" s="1" t="s">
        <v>635</v>
      </c>
      <c r="P73" s="1" t="s">
        <v>636</v>
      </c>
      <c r="AM73">
        <v>731</v>
      </c>
      <c r="AN73">
        <v>2815</v>
      </c>
      <c r="AO73">
        <f t="shared" si="3"/>
        <v>36</v>
      </c>
      <c r="AQ73">
        <v>731</v>
      </c>
    </row>
    <row r="74" spans="1:43" x14ac:dyDescent="0.2">
      <c r="A74" s="1">
        <v>38</v>
      </c>
      <c r="B74" s="1" t="s">
        <v>301</v>
      </c>
      <c r="C74" s="1" t="s">
        <v>135</v>
      </c>
      <c r="D74" s="1" t="s">
        <v>135</v>
      </c>
      <c r="E74" s="1">
        <v>-4.5</v>
      </c>
      <c r="F74" s="1">
        <v>1.962</v>
      </c>
      <c r="G74" s="1">
        <v>0.02</v>
      </c>
      <c r="H74" s="1">
        <v>-14.05</v>
      </c>
      <c r="I74" s="1">
        <v>-2.6909999999999998</v>
      </c>
      <c r="J74" s="1">
        <v>9.7000000000000003E-2</v>
      </c>
      <c r="K74" s="1" t="s">
        <v>12</v>
      </c>
      <c r="L74" s="1">
        <v>1</v>
      </c>
      <c r="M74" s="1" t="s">
        <v>627</v>
      </c>
      <c r="N74" s="1" t="s">
        <v>637</v>
      </c>
      <c r="O74" s="1" t="s">
        <v>638</v>
      </c>
      <c r="P74" s="1" t="s">
        <v>639</v>
      </c>
      <c r="AM74" s="32">
        <v>1068</v>
      </c>
      <c r="AN74">
        <v>6225</v>
      </c>
      <c r="AO74">
        <f>6*9</f>
        <v>54</v>
      </c>
      <c r="AP74">
        <v>1</v>
      </c>
      <c r="AQ74">
        <v>837</v>
      </c>
    </row>
    <row r="75" spans="1:43" x14ac:dyDescent="0.2">
      <c r="A75" s="1">
        <v>37</v>
      </c>
      <c r="B75" s="1" t="s">
        <v>299</v>
      </c>
      <c r="C75" s="1" t="s">
        <v>135</v>
      </c>
      <c r="D75" s="1" t="s">
        <v>135</v>
      </c>
      <c r="E75" s="1">
        <v>-4.5</v>
      </c>
      <c r="F75" s="1">
        <v>1.9990000000000001</v>
      </c>
      <c r="G75" s="1">
        <v>0.02</v>
      </c>
      <c r="H75" s="1">
        <v>-14.05</v>
      </c>
      <c r="I75" s="1">
        <v>-2.4740000000000002</v>
      </c>
      <c r="J75" s="1">
        <v>5.2999999999999999E-2</v>
      </c>
      <c r="K75" s="1" t="s">
        <v>12</v>
      </c>
      <c r="L75" s="1">
        <v>1</v>
      </c>
      <c r="M75" s="1" t="s">
        <v>627</v>
      </c>
      <c r="N75" s="1" t="s">
        <v>640</v>
      </c>
      <c r="O75" s="1" t="s">
        <v>641</v>
      </c>
      <c r="P75" s="1" t="s">
        <v>642</v>
      </c>
      <c r="AM75">
        <v>965</v>
      </c>
      <c r="AN75">
        <v>11260</v>
      </c>
      <c r="AO75">
        <f t="shared" ref="AO75:AO79" si="4">6*9</f>
        <v>54</v>
      </c>
      <c r="AQ75">
        <v>965</v>
      </c>
    </row>
    <row r="76" spans="1:43" x14ac:dyDescent="0.2">
      <c r="A76" s="1">
        <v>36</v>
      </c>
      <c r="B76" s="1" t="s">
        <v>243</v>
      </c>
      <c r="C76" s="1" t="s">
        <v>135</v>
      </c>
      <c r="D76" s="1" t="s">
        <v>135</v>
      </c>
      <c r="E76" s="1">
        <v>-4.5</v>
      </c>
      <c r="F76" s="1">
        <v>1.9610000000000001</v>
      </c>
      <c r="G76" s="1">
        <v>1.6E-2</v>
      </c>
      <c r="H76" s="1">
        <v>-14.05</v>
      </c>
      <c r="I76" s="1">
        <v>-2.6829999999999998</v>
      </c>
      <c r="J76" s="1">
        <v>6.8000000000000005E-2</v>
      </c>
      <c r="K76" s="1" t="s">
        <v>12</v>
      </c>
      <c r="L76" s="1">
        <v>1</v>
      </c>
      <c r="M76" s="1" t="s">
        <v>627</v>
      </c>
      <c r="N76" s="1" t="s">
        <v>643</v>
      </c>
      <c r="O76" s="1" t="s">
        <v>644</v>
      </c>
      <c r="P76" s="1" t="s">
        <v>645</v>
      </c>
      <c r="AM76" s="32">
        <v>1022</v>
      </c>
      <c r="AN76">
        <v>6664</v>
      </c>
      <c r="AO76">
        <f t="shared" si="4"/>
        <v>54</v>
      </c>
      <c r="AP76">
        <v>1</v>
      </c>
      <c r="AQ76">
        <v>802</v>
      </c>
    </row>
    <row r="77" spans="1:43" x14ac:dyDescent="0.2">
      <c r="A77" s="1">
        <v>35</v>
      </c>
      <c r="B77" s="1" t="s">
        <v>239</v>
      </c>
      <c r="C77" s="1" t="s">
        <v>135</v>
      </c>
      <c r="D77" s="1" t="s">
        <v>135</v>
      </c>
      <c r="E77" s="1">
        <v>-4.5</v>
      </c>
      <c r="F77" s="1">
        <v>1.944</v>
      </c>
      <c r="G77" s="1">
        <v>1.4999999999999999E-2</v>
      </c>
      <c r="H77" s="1">
        <v>-14.05</v>
      </c>
      <c r="I77" s="1">
        <v>-2.6349999999999998</v>
      </c>
      <c r="J77" s="1">
        <v>4.4999999999999998E-2</v>
      </c>
      <c r="K77" s="1" t="s">
        <v>12</v>
      </c>
      <c r="L77" s="1">
        <v>1</v>
      </c>
      <c r="M77" s="1" t="s">
        <v>627</v>
      </c>
      <c r="N77" s="1" t="s">
        <v>646</v>
      </c>
      <c r="O77" s="1" t="s">
        <v>647</v>
      </c>
      <c r="P77" s="1" t="s">
        <v>648</v>
      </c>
      <c r="AM77">
        <v>979</v>
      </c>
      <c r="AN77">
        <v>12256</v>
      </c>
      <c r="AO77">
        <f t="shared" si="4"/>
        <v>54</v>
      </c>
      <c r="AQ77">
        <v>979</v>
      </c>
    </row>
    <row r="78" spans="1:43" x14ac:dyDescent="0.2">
      <c r="A78" s="1">
        <v>34</v>
      </c>
      <c r="B78" s="1" t="s">
        <v>235</v>
      </c>
      <c r="C78" s="1" t="s">
        <v>135</v>
      </c>
      <c r="D78" s="1" t="s">
        <v>135</v>
      </c>
      <c r="E78" s="1">
        <v>-4.5</v>
      </c>
      <c r="F78" s="1">
        <v>1.923</v>
      </c>
      <c r="G78" s="1">
        <v>0.03</v>
      </c>
      <c r="H78" s="1">
        <v>-14.05</v>
      </c>
      <c r="I78" s="1">
        <v>-1.899</v>
      </c>
      <c r="J78" s="1">
        <v>0.05</v>
      </c>
      <c r="K78" s="1" t="s">
        <v>12</v>
      </c>
      <c r="L78" s="1">
        <v>1</v>
      </c>
      <c r="M78" s="1" t="s">
        <v>627</v>
      </c>
      <c r="N78" s="1" t="s">
        <v>649</v>
      </c>
      <c r="O78" s="1" t="s">
        <v>650</v>
      </c>
      <c r="P78" s="1" t="s">
        <v>651</v>
      </c>
      <c r="AM78">
        <v>947</v>
      </c>
      <c r="AN78">
        <v>10563</v>
      </c>
      <c r="AO78">
        <f t="shared" si="4"/>
        <v>54</v>
      </c>
      <c r="AQ78">
        <v>947</v>
      </c>
    </row>
    <row r="79" spans="1:43" x14ac:dyDescent="0.2">
      <c r="A79" s="1">
        <v>33</v>
      </c>
      <c r="B79" s="1" t="s">
        <v>230</v>
      </c>
      <c r="C79" s="1" t="s">
        <v>135</v>
      </c>
      <c r="D79" s="1" t="s">
        <v>135</v>
      </c>
      <c r="E79" s="1">
        <v>-4.5</v>
      </c>
      <c r="F79" s="1">
        <v>1.9259999999999999</v>
      </c>
      <c r="G79" s="1">
        <v>2.3E-2</v>
      </c>
      <c r="H79" s="1">
        <v>-14.05</v>
      </c>
      <c r="I79" s="1">
        <v>-2.7290000000000001</v>
      </c>
      <c r="J79" s="1">
        <v>8.7999999999999995E-2</v>
      </c>
      <c r="K79" s="1" t="s">
        <v>12</v>
      </c>
      <c r="L79" s="1">
        <v>1</v>
      </c>
      <c r="M79" s="1" t="s">
        <v>627</v>
      </c>
      <c r="N79" s="1" t="s">
        <v>652</v>
      </c>
      <c r="O79" s="1" t="s">
        <v>653</v>
      </c>
      <c r="P79" s="1" t="s">
        <v>654</v>
      </c>
      <c r="AM79" s="32">
        <v>1004</v>
      </c>
      <c r="AN79">
        <v>5387</v>
      </c>
      <c r="AO79">
        <f t="shared" si="4"/>
        <v>54</v>
      </c>
      <c r="AP79">
        <v>1</v>
      </c>
      <c r="AQ79">
        <v>763</v>
      </c>
    </row>
    <row r="80" spans="1:43" x14ac:dyDescent="0.2">
      <c r="A80" s="1">
        <v>32</v>
      </c>
      <c r="B80" s="1" t="s">
        <v>293</v>
      </c>
      <c r="C80" s="1" t="s">
        <v>204</v>
      </c>
      <c r="D80" s="1" t="s">
        <v>204</v>
      </c>
      <c r="E80" s="1">
        <v>-4.5</v>
      </c>
      <c r="F80" s="1">
        <v>1.974</v>
      </c>
      <c r="G80" s="1">
        <v>1.4E-2</v>
      </c>
      <c r="H80" s="1">
        <v>-14.05</v>
      </c>
      <c r="I80" s="1">
        <v>-2.383</v>
      </c>
      <c r="J80" s="1">
        <v>7.5999999999999998E-2</v>
      </c>
      <c r="K80" s="1" t="s">
        <v>12</v>
      </c>
      <c r="L80" s="1">
        <v>1</v>
      </c>
      <c r="M80" s="1" t="s">
        <v>627</v>
      </c>
      <c r="N80" s="1" t="s">
        <v>655</v>
      </c>
      <c r="O80" s="1" t="s">
        <v>656</v>
      </c>
      <c r="P80" s="1" t="s">
        <v>657</v>
      </c>
      <c r="AM80">
        <v>986</v>
      </c>
      <c r="AN80">
        <v>11312</v>
      </c>
      <c r="AO80">
        <f>5*9</f>
        <v>45</v>
      </c>
      <c r="AQ80">
        <v>986</v>
      </c>
    </row>
    <row r="81" spans="1:46" x14ac:dyDescent="0.2">
      <c r="A81" s="1">
        <v>31</v>
      </c>
      <c r="B81" s="1" t="s">
        <v>244</v>
      </c>
      <c r="C81" s="1" t="s">
        <v>204</v>
      </c>
      <c r="D81" s="1" t="s">
        <v>204</v>
      </c>
      <c r="E81" s="1">
        <v>-4.5</v>
      </c>
      <c r="F81" s="1">
        <v>1.9510000000000001</v>
      </c>
      <c r="G81" s="1">
        <v>2.7E-2</v>
      </c>
      <c r="H81" s="1">
        <v>-14.05</v>
      </c>
      <c r="I81" s="1">
        <v>-2.5659999999999998</v>
      </c>
      <c r="J81" s="1">
        <v>6.9000000000000006E-2</v>
      </c>
      <c r="K81" s="1" t="s">
        <v>12</v>
      </c>
      <c r="L81" s="1">
        <v>1</v>
      </c>
      <c r="M81" s="1" t="s">
        <v>627</v>
      </c>
      <c r="N81" s="1" t="s">
        <v>658</v>
      </c>
      <c r="O81" s="1" t="s">
        <v>659</v>
      </c>
      <c r="P81" s="1" t="s">
        <v>660</v>
      </c>
      <c r="AM81">
        <v>915</v>
      </c>
      <c r="AN81">
        <v>10347</v>
      </c>
      <c r="AO81">
        <f t="shared" ref="AO81:AO83" si="5">5*9</f>
        <v>45</v>
      </c>
      <c r="AQ81">
        <v>915</v>
      </c>
    </row>
    <row r="82" spans="1:46" x14ac:dyDescent="0.2">
      <c r="A82" s="1">
        <v>30</v>
      </c>
      <c r="B82" s="1" t="s">
        <v>221</v>
      </c>
      <c r="C82" s="1" t="s">
        <v>204</v>
      </c>
      <c r="D82" s="1" t="s">
        <v>204</v>
      </c>
      <c r="E82" s="1">
        <v>-4.5</v>
      </c>
      <c r="F82" s="1">
        <v>1.968</v>
      </c>
      <c r="G82" s="1">
        <v>2.8000000000000001E-2</v>
      </c>
      <c r="H82" s="1">
        <v>-14.05</v>
      </c>
      <c r="I82" s="1">
        <v>-2.4420000000000002</v>
      </c>
      <c r="J82" s="1">
        <v>5.2999999999999999E-2</v>
      </c>
      <c r="K82" s="1" t="s">
        <v>12</v>
      </c>
      <c r="L82" s="1">
        <v>1</v>
      </c>
      <c r="M82" s="1" t="s">
        <v>627</v>
      </c>
      <c r="N82" s="1" t="s">
        <v>661</v>
      </c>
      <c r="O82" s="1" t="s">
        <v>662</v>
      </c>
      <c r="P82" s="1" t="s">
        <v>663</v>
      </c>
      <c r="AM82">
        <v>954</v>
      </c>
      <c r="AN82">
        <v>11198</v>
      </c>
      <c r="AO82">
        <f t="shared" si="5"/>
        <v>45</v>
      </c>
      <c r="AQ82">
        <v>954</v>
      </c>
    </row>
    <row r="83" spans="1:46" x14ac:dyDescent="0.2">
      <c r="A83" s="1">
        <v>28</v>
      </c>
      <c r="B83" s="1" t="s">
        <v>216</v>
      </c>
      <c r="C83" s="1" t="s">
        <v>204</v>
      </c>
      <c r="D83" s="1" t="s">
        <v>204</v>
      </c>
      <c r="E83" s="1">
        <v>-4.5</v>
      </c>
      <c r="F83" s="1">
        <v>2</v>
      </c>
      <c r="G83" s="1">
        <v>1.2E-2</v>
      </c>
      <c r="H83" s="1">
        <v>-14.05</v>
      </c>
      <c r="I83" s="1">
        <v>-2.2189999999999999</v>
      </c>
      <c r="J83" s="1">
        <v>5.8999999999999997E-2</v>
      </c>
      <c r="K83" s="1" t="s">
        <v>12</v>
      </c>
      <c r="L83" s="1">
        <v>1</v>
      </c>
      <c r="M83" s="1" t="s">
        <v>627</v>
      </c>
      <c r="N83" s="1" t="s">
        <v>664</v>
      </c>
      <c r="O83" s="1" t="s">
        <v>665</v>
      </c>
      <c r="P83" s="1" t="s">
        <v>666</v>
      </c>
      <c r="AM83">
        <v>926</v>
      </c>
      <c r="AN83">
        <v>12166</v>
      </c>
      <c r="AO83">
        <f t="shared" si="5"/>
        <v>45</v>
      </c>
      <c r="AQ83">
        <v>926</v>
      </c>
    </row>
    <row r="84" spans="1:46" x14ac:dyDescent="0.2">
      <c r="A84" s="1">
        <v>25</v>
      </c>
      <c r="B84" s="1" t="s">
        <v>285</v>
      </c>
      <c r="C84" s="1" t="s">
        <v>133</v>
      </c>
      <c r="D84" s="1" t="s">
        <v>133</v>
      </c>
      <c r="E84" s="1">
        <v>-4.5</v>
      </c>
      <c r="F84" s="1">
        <v>1.9119999999999999</v>
      </c>
      <c r="G84" s="1">
        <v>1.7999999999999999E-2</v>
      </c>
      <c r="H84" s="1">
        <v>-14.05</v>
      </c>
      <c r="I84" s="1">
        <v>-2.6640000000000001</v>
      </c>
      <c r="J84" s="1">
        <v>5.8000000000000003E-2</v>
      </c>
      <c r="K84" s="1" t="s">
        <v>12</v>
      </c>
      <c r="L84" s="1">
        <v>1</v>
      </c>
      <c r="M84" s="1" t="s">
        <v>667</v>
      </c>
      <c r="N84" s="1" t="s">
        <v>668</v>
      </c>
      <c r="O84" s="1" t="s">
        <v>669</v>
      </c>
      <c r="P84" s="1" t="s">
        <v>670</v>
      </c>
      <c r="AM84">
        <v>830</v>
      </c>
      <c r="AN84">
        <v>7196</v>
      </c>
      <c r="AO84">
        <f>4*9</f>
        <v>36</v>
      </c>
      <c r="AQ84">
        <v>830</v>
      </c>
    </row>
    <row r="85" spans="1:46" x14ac:dyDescent="0.2">
      <c r="A85" s="1">
        <v>24</v>
      </c>
      <c r="B85" s="1" t="s">
        <v>209</v>
      </c>
      <c r="C85" s="1" t="s">
        <v>133</v>
      </c>
      <c r="D85" s="1" t="s">
        <v>133</v>
      </c>
      <c r="E85" s="1">
        <v>-4.5</v>
      </c>
      <c r="F85" s="1">
        <v>1.911</v>
      </c>
      <c r="G85" s="1">
        <v>2.1000000000000001E-2</v>
      </c>
      <c r="H85" s="1">
        <v>-14.05</v>
      </c>
      <c r="I85" s="1">
        <v>-2.629</v>
      </c>
      <c r="J85" s="1">
        <v>6.9000000000000006E-2</v>
      </c>
      <c r="K85" s="1" t="s">
        <v>12</v>
      </c>
      <c r="L85" s="1">
        <v>1</v>
      </c>
      <c r="M85" s="1" t="s">
        <v>667</v>
      </c>
      <c r="N85" s="1" t="s">
        <v>671</v>
      </c>
      <c r="O85" s="1" t="s">
        <v>672</v>
      </c>
      <c r="P85" s="1" t="s">
        <v>673</v>
      </c>
      <c r="AM85">
        <v>788</v>
      </c>
      <c r="AN85">
        <v>6617</v>
      </c>
      <c r="AO85">
        <f t="shared" ref="AO85:AO89" si="6">4*9</f>
        <v>36</v>
      </c>
      <c r="AQ85">
        <v>788</v>
      </c>
    </row>
    <row r="86" spans="1:46" x14ac:dyDescent="0.2">
      <c r="A86" s="1">
        <v>43</v>
      </c>
      <c r="B86" s="1" t="s">
        <v>311</v>
      </c>
      <c r="C86" s="1" t="s">
        <v>133</v>
      </c>
      <c r="D86" s="1" t="s">
        <v>133</v>
      </c>
      <c r="E86" s="1">
        <v>-4.5</v>
      </c>
      <c r="F86" s="1">
        <v>1.8440000000000001</v>
      </c>
      <c r="G86" s="1">
        <v>2.1999999999999999E-2</v>
      </c>
      <c r="H86" s="1">
        <v>-14.05</v>
      </c>
      <c r="I86" s="1">
        <v>-2.4089999999999998</v>
      </c>
      <c r="J86" s="1">
        <v>5.2999999999999999E-2</v>
      </c>
      <c r="K86" s="1" t="s">
        <v>12</v>
      </c>
      <c r="L86" s="1">
        <v>1</v>
      </c>
      <c r="M86" s="1" t="s">
        <v>667</v>
      </c>
      <c r="N86" s="1" t="s">
        <v>674</v>
      </c>
      <c r="O86" s="1" t="s">
        <v>675</v>
      </c>
      <c r="P86" s="1" t="s">
        <v>676</v>
      </c>
      <c r="AM86">
        <v>834</v>
      </c>
      <c r="AN86">
        <v>8394</v>
      </c>
      <c r="AO86">
        <f t="shared" si="6"/>
        <v>36</v>
      </c>
      <c r="AQ86">
        <v>834</v>
      </c>
    </row>
    <row r="87" spans="1:46" x14ac:dyDescent="0.2">
      <c r="A87" s="1">
        <v>42</v>
      </c>
      <c r="B87" s="1" t="s">
        <v>309</v>
      </c>
      <c r="C87" s="1" t="s">
        <v>133</v>
      </c>
      <c r="D87" s="1" t="s">
        <v>133</v>
      </c>
      <c r="E87" s="1">
        <v>-4.5</v>
      </c>
      <c r="F87" s="1">
        <v>1.865</v>
      </c>
      <c r="G87" s="1">
        <v>0.03</v>
      </c>
      <c r="H87" s="1">
        <v>-14.05</v>
      </c>
      <c r="I87" s="1">
        <v>-2.7589999999999999</v>
      </c>
      <c r="J87" s="1">
        <v>7.0999999999999994E-2</v>
      </c>
      <c r="K87" s="1" t="s">
        <v>12</v>
      </c>
      <c r="L87" s="1">
        <v>1</v>
      </c>
      <c r="M87" s="1" t="s">
        <v>667</v>
      </c>
      <c r="N87" s="1" t="s">
        <v>677</v>
      </c>
      <c r="O87" s="1" t="s">
        <v>678</v>
      </c>
      <c r="P87" s="1" t="s">
        <v>679</v>
      </c>
      <c r="AM87">
        <v>752</v>
      </c>
      <c r="AN87">
        <v>6031</v>
      </c>
      <c r="AO87">
        <f t="shared" si="6"/>
        <v>36</v>
      </c>
      <c r="AQ87">
        <v>752</v>
      </c>
    </row>
    <row r="88" spans="1:46" x14ac:dyDescent="0.2">
      <c r="A88" s="1">
        <v>41</v>
      </c>
      <c r="B88" s="1" t="s">
        <v>307</v>
      </c>
      <c r="C88" s="1" t="s">
        <v>133</v>
      </c>
      <c r="D88" s="1" t="s">
        <v>133</v>
      </c>
      <c r="E88" s="1">
        <v>-4.5</v>
      </c>
      <c r="F88" s="1">
        <v>1.9079999999999999</v>
      </c>
      <c r="G88" s="1">
        <v>2.5000000000000001E-2</v>
      </c>
      <c r="H88" s="1">
        <v>-14.05</v>
      </c>
      <c r="I88" s="1">
        <v>-2.5390000000000001</v>
      </c>
      <c r="J88" s="1">
        <v>3.7999999999999999E-2</v>
      </c>
      <c r="K88" s="1" t="s">
        <v>12</v>
      </c>
      <c r="L88" s="1">
        <v>1</v>
      </c>
      <c r="M88" s="1" t="s">
        <v>667</v>
      </c>
      <c r="N88" s="1" t="s">
        <v>680</v>
      </c>
      <c r="O88" s="1" t="s">
        <v>681</v>
      </c>
      <c r="P88" s="1" t="s">
        <v>682</v>
      </c>
      <c r="AM88">
        <v>866</v>
      </c>
      <c r="AN88">
        <v>8146</v>
      </c>
      <c r="AO88">
        <f t="shared" si="6"/>
        <v>36</v>
      </c>
      <c r="AQ88">
        <v>866</v>
      </c>
    </row>
    <row r="89" spans="1:46" x14ac:dyDescent="0.2">
      <c r="A89" s="1">
        <v>40</v>
      </c>
      <c r="B89" s="1" t="s">
        <v>305</v>
      </c>
      <c r="C89" s="1" t="s">
        <v>133</v>
      </c>
      <c r="D89" s="1" t="s">
        <v>133</v>
      </c>
      <c r="E89" s="1">
        <v>-4.5</v>
      </c>
      <c r="F89" s="1">
        <v>2</v>
      </c>
      <c r="G89" s="1">
        <v>0.02</v>
      </c>
      <c r="H89" s="1">
        <v>-14.05</v>
      </c>
      <c r="I89" s="1">
        <v>-2.4039999999999999</v>
      </c>
      <c r="J89" s="1">
        <v>5.6000000000000001E-2</v>
      </c>
      <c r="K89" s="1" t="s">
        <v>12</v>
      </c>
      <c r="L89" s="1">
        <v>1</v>
      </c>
      <c r="M89" s="1" t="s">
        <v>667</v>
      </c>
      <c r="N89" s="1" t="s">
        <v>683</v>
      </c>
      <c r="O89" s="1" t="s">
        <v>684</v>
      </c>
      <c r="P89" s="1" t="s">
        <v>685</v>
      </c>
      <c r="AM89">
        <v>884</v>
      </c>
      <c r="AN89">
        <v>6557</v>
      </c>
      <c r="AO89">
        <f t="shared" si="6"/>
        <v>36</v>
      </c>
      <c r="AQ89">
        <v>884</v>
      </c>
    </row>
    <row r="90" spans="1:46" x14ac:dyDescent="0.2">
      <c r="A90" t="s">
        <v>569</v>
      </c>
      <c r="F90" s="31">
        <f>AVERAGE(F49:F89)</f>
        <v>1.7760540540540548</v>
      </c>
      <c r="G90" s="29"/>
      <c r="H90" s="29"/>
      <c r="I90" s="31">
        <f>AVERAGE(I49:I89)</f>
        <v>-2.9222432432432432</v>
      </c>
    </row>
    <row r="91" spans="1:46" x14ac:dyDescent="0.2">
      <c r="A91" t="s">
        <v>91</v>
      </c>
      <c r="F91" s="31">
        <f>STDEV(F49:F89)</f>
        <v>0.24304319985754333</v>
      </c>
      <c r="G91" s="29"/>
      <c r="H91" s="29"/>
      <c r="I91" s="31">
        <f>STDEV(I49:I89)</f>
        <v>0.86842719919421141</v>
      </c>
    </row>
    <row r="92" spans="1:46" x14ac:dyDescent="0.2">
      <c r="A92" s="4"/>
      <c r="F92" s="31"/>
      <c r="G92" s="29"/>
      <c r="H92" s="29"/>
      <c r="I92" s="31"/>
    </row>
    <row r="93" spans="1:46" x14ac:dyDescent="0.2">
      <c r="A93" s="4">
        <v>42184</v>
      </c>
      <c r="F93" s="31"/>
      <c r="G93" s="29"/>
      <c r="H93" s="29"/>
      <c r="I93" s="31"/>
    </row>
    <row r="94" spans="1:46" x14ac:dyDescent="0.2">
      <c r="A94" s="1" t="s">
        <v>0</v>
      </c>
      <c r="B94" s="1" t="s">
        <v>1</v>
      </c>
      <c r="C94" s="1" t="s">
        <v>2</v>
      </c>
      <c r="D94" s="1" t="s">
        <v>132</v>
      </c>
      <c r="E94" s="1" t="s">
        <v>3</v>
      </c>
      <c r="F94" s="1" t="s">
        <v>4</v>
      </c>
      <c r="G94" s="1" t="s">
        <v>5</v>
      </c>
      <c r="H94" s="1" t="s">
        <v>6</v>
      </c>
      <c r="I94" s="1" t="s">
        <v>7</v>
      </c>
      <c r="J94" s="1" t="s">
        <v>8</v>
      </c>
      <c r="K94" s="1" t="s">
        <v>9</v>
      </c>
      <c r="L94" s="1" t="s">
        <v>129</v>
      </c>
      <c r="M94" s="1" t="s">
        <v>130</v>
      </c>
      <c r="N94" s="1" t="s">
        <v>131</v>
      </c>
      <c r="O94" s="1" t="s">
        <v>10</v>
      </c>
      <c r="AL94" t="s">
        <v>191</v>
      </c>
      <c r="AM94" t="s">
        <v>688</v>
      </c>
      <c r="AN94" t="s">
        <v>689</v>
      </c>
      <c r="AO94" t="s">
        <v>690</v>
      </c>
      <c r="AP94" t="s">
        <v>691</v>
      </c>
      <c r="AQ94" t="s">
        <v>692</v>
      </c>
      <c r="AR94" s="11" t="s">
        <v>686</v>
      </c>
      <c r="AS94" s="11" t="s">
        <v>687</v>
      </c>
      <c r="AT94" s="11" t="s">
        <v>570</v>
      </c>
    </row>
    <row r="95" spans="1:46" x14ac:dyDescent="0.2">
      <c r="A95" s="1">
        <v>46</v>
      </c>
      <c r="B95" s="1" t="s">
        <v>317</v>
      </c>
      <c r="C95" s="1" t="s">
        <v>178</v>
      </c>
      <c r="D95" s="1" t="s">
        <v>178</v>
      </c>
      <c r="E95" s="1">
        <v>-4.5</v>
      </c>
      <c r="F95" s="1">
        <v>1.484</v>
      </c>
      <c r="G95" s="1">
        <v>7.0000000000000001E-3</v>
      </c>
      <c r="H95" s="1">
        <v>-14.05</v>
      </c>
      <c r="I95" s="1">
        <v>-3.9129999999999998</v>
      </c>
      <c r="J95" s="1">
        <v>0.17199999999999999</v>
      </c>
      <c r="K95" s="1" t="s">
        <v>12</v>
      </c>
      <c r="L95" s="1" t="s">
        <v>693</v>
      </c>
      <c r="M95" s="1" t="s">
        <v>694</v>
      </c>
      <c r="N95" s="1" t="s">
        <v>695</v>
      </c>
      <c r="O95" s="1" t="s">
        <v>696</v>
      </c>
      <c r="AL95">
        <v>434</v>
      </c>
      <c r="AM95">
        <v>1490</v>
      </c>
      <c r="AN95">
        <v>1301</v>
      </c>
      <c r="AO95">
        <v>1415</v>
      </c>
      <c r="AS95">
        <f>AL95</f>
        <v>434</v>
      </c>
      <c r="AT95">
        <v>9</v>
      </c>
    </row>
    <row r="96" spans="1:46" x14ac:dyDescent="0.2">
      <c r="A96" s="1">
        <v>45</v>
      </c>
      <c r="B96" s="1" t="s">
        <v>315</v>
      </c>
      <c r="C96" s="1" t="s">
        <v>178</v>
      </c>
      <c r="D96" s="1" t="s">
        <v>178</v>
      </c>
      <c r="E96" s="1">
        <v>-4.5</v>
      </c>
      <c r="F96" s="1">
        <v>1.472</v>
      </c>
      <c r="G96" s="1">
        <v>3.4000000000000002E-2</v>
      </c>
      <c r="H96" s="1">
        <v>-14.05</v>
      </c>
      <c r="I96" s="1">
        <v>-4.18</v>
      </c>
      <c r="J96" s="1">
        <v>0.29299999999999998</v>
      </c>
      <c r="K96" s="1" t="s">
        <v>12</v>
      </c>
      <c r="L96" s="1" t="s">
        <v>693</v>
      </c>
      <c r="M96" s="1" t="s">
        <v>697</v>
      </c>
      <c r="N96" s="1" t="s">
        <v>698</v>
      </c>
      <c r="O96" s="1" t="s">
        <v>699</v>
      </c>
      <c r="AL96">
        <v>430</v>
      </c>
      <c r="AM96">
        <v>1543</v>
      </c>
      <c r="AN96">
        <v>1346</v>
      </c>
      <c r="AO96">
        <v>1445</v>
      </c>
      <c r="AS96">
        <f t="shared" ref="AS96:AS98" si="7">AL96</f>
        <v>430</v>
      </c>
      <c r="AT96">
        <v>9</v>
      </c>
    </row>
    <row r="97" spans="1:46" x14ac:dyDescent="0.2">
      <c r="A97" s="1">
        <v>44</v>
      </c>
      <c r="B97" s="1" t="s">
        <v>313</v>
      </c>
      <c r="C97" s="1" t="s">
        <v>178</v>
      </c>
      <c r="D97" s="1" t="s">
        <v>178</v>
      </c>
      <c r="E97" s="1">
        <v>-4.5</v>
      </c>
      <c r="F97" s="1">
        <v>1.4850000000000001</v>
      </c>
      <c r="G97" s="1">
        <v>4.1000000000000002E-2</v>
      </c>
      <c r="H97" s="1">
        <v>-14.05</v>
      </c>
      <c r="I97" s="1">
        <v>-3.8879999999999999</v>
      </c>
      <c r="J97" s="1">
        <v>0.22600000000000001</v>
      </c>
      <c r="K97" s="1" t="s">
        <v>12</v>
      </c>
      <c r="L97" s="1" t="s">
        <v>693</v>
      </c>
      <c r="M97" s="1" t="s">
        <v>700</v>
      </c>
      <c r="N97" s="1" t="s">
        <v>701</v>
      </c>
      <c r="O97" s="1" t="s">
        <v>702</v>
      </c>
      <c r="AL97">
        <v>444</v>
      </c>
      <c r="AM97">
        <v>1581</v>
      </c>
      <c r="AN97">
        <v>1379</v>
      </c>
      <c r="AO97">
        <v>1473</v>
      </c>
      <c r="AS97">
        <f t="shared" si="7"/>
        <v>444</v>
      </c>
      <c r="AT97">
        <v>9</v>
      </c>
    </row>
    <row r="98" spans="1:46" x14ac:dyDescent="0.2">
      <c r="A98" s="1">
        <v>43</v>
      </c>
      <c r="B98" s="1" t="s">
        <v>311</v>
      </c>
      <c r="C98" s="1" t="s">
        <v>178</v>
      </c>
      <c r="D98" s="1" t="s">
        <v>178</v>
      </c>
      <c r="E98" s="1">
        <v>-4.5</v>
      </c>
      <c r="F98" s="1">
        <v>1.4119999999999999</v>
      </c>
      <c r="G98" s="1">
        <v>2.3E-2</v>
      </c>
      <c r="H98" s="1">
        <v>-14.05</v>
      </c>
      <c r="I98" s="1">
        <v>-5.0549999999999997</v>
      </c>
      <c r="J98" s="1">
        <v>0.17499999999999999</v>
      </c>
      <c r="K98" s="1" t="s">
        <v>12</v>
      </c>
      <c r="L98" s="1" t="s">
        <v>693</v>
      </c>
      <c r="M98" s="1" t="s">
        <v>703</v>
      </c>
      <c r="N98" s="1" t="s">
        <v>704</v>
      </c>
      <c r="O98" s="1" t="s">
        <v>705</v>
      </c>
      <c r="AL98">
        <v>359</v>
      </c>
      <c r="AM98">
        <v>1075</v>
      </c>
      <c r="AN98">
        <v>949</v>
      </c>
      <c r="AO98">
        <v>1460</v>
      </c>
      <c r="AS98">
        <f t="shared" si="7"/>
        <v>359</v>
      </c>
      <c r="AT98">
        <v>9</v>
      </c>
    </row>
    <row r="99" spans="1:46" x14ac:dyDescent="0.2">
      <c r="A99" s="1">
        <v>42</v>
      </c>
      <c r="B99" s="1" t="s">
        <v>309</v>
      </c>
      <c r="C99" s="1" t="s">
        <v>135</v>
      </c>
      <c r="D99" s="1" t="s">
        <v>135</v>
      </c>
      <c r="E99" s="1">
        <v>-4.5</v>
      </c>
      <c r="F99" s="1">
        <v>1.954</v>
      </c>
      <c r="G99" s="1">
        <v>1.4E-2</v>
      </c>
      <c r="H99" s="1">
        <v>-14.05</v>
      </c>
      <c r="I99" s="1">
        <v>-2.7589999999999999</v>
      </c>
      <c r="J99" s="1">
        <v>6.4000000000000001E-2</v>
      </c>
      <c r="K99" s="1" t="s">
        <v>12</v>
      </c>
      <c r="L99" s="1" t="s">
        <v>693</v>
      </c>
      <c r="M99" s="1" t="s">
        <v>706</v>
      </c>
      <c r="N99" s="1" t="s">
        <v>707</v>
      </c>
      <c r="O99" s="1" t="s">
        <v>708</v>
      </c>
      <c r="AL99" s="22">
        <v>1043</v>
      </c>
      <c r="AM99">
        <v>5794</v>
      </c>
      <c r="AN99">
        <v>4196</v>
      </c>
      <c r="AO99">
        <v>3715</v>
      </c>
      <c r="AR99">
        <v>1</v>
      </c>
      <c r="AS99" s="32">
        <v>806</v>
      </c>
      <c r="AT99">
        <f>9*6</f>
        <v>54</v>
      </c>
    </row>
    <row r="100" spans="1:46" x14ac:dyDescent="0.2">
      <c r="A100" s="1">
        <v>41</v>
      </c>
      <c r="B100" s="1" t="s">
        <v>307</v>
      </c>
      <c r="C100" s="1" t="s">
        <v>135</v>
      </c>
      <c r="D100" s="1" t="s">
        <v>135</v>
      </c>
      <c r="E100" s="1">
        <v>-4.5</v>
      </c>
      <c r="F100" s="1">
        <v>1.954</v>
      </c>
      <c r="G100" s="1">
        <v>0.02</v>
      </c>
      <c r="H100" s="1">
        <v>-14.05</v>
      </c>
      <c r="I100" s="1">
        <v>-2.835</v>
      </c>
      <c r="J100" s="1">
        <v>8.6999999999999994E-2</v>
      </c>
      <c r="K100" s="1" t="s">
        <v>12</v>
      </c>
      <c r="L100" s="1" t="s">
        <v>693</v>
      </c>
      <c r="M100" s="1" t="s">
        <v>709</v>
      </c>
      <c r="N100" s="1" t="s">
        <v>710</v>
      </c>
      <c r="O100" s="1" t="s">
        <v>711</v>
      </c>
      <c r="AL100" s="22">
        <v>1032</v>
      </c>
      <c r="AM100">
        <v>5765</v>
      </c>
      <c r="AN100">
        <v>4138</v>
      </c>
      <c r="AO100">
        <v>3658</v>
      </c>
      <c r="AR100">
        <v>1</v>
      </c>
      <c r="AS100" s="32">
        <v>802</v>
      </c>
      <c r="AT100">
        <f t="shared" ref="AT100:AT105" si="8">9*6</f>
        <v>54</v>
      </c>
    </row>
    <row r="101" spans="1:46" x14ac:dyDescent="0.2">
      <c r="A101" s="1">
        <v>40</v>
      </c>
      <c r="B101" s="1" t="s">
        <v>305</v>
      </c>
      <c r="C101" s="1" t="s">
        <v>135</v>
      </c>
      <c r="D101" s="1" t="s">
        <v>135</v>
      </c>
      <c r="E101" s="1">
        <v>-4.5</v>
      </c>
      <c r="F101" s="1">
        <v>1.899</v>
      </c>
      <c r="G101" s="1">
        <v>1.9E-2</v>
      </c>
      <c r="H101" s="1">
        <v>-14.05</v>
      </c>
      <c r="I101" s="1">
        <v>-2.7909999999999999</v>
      </c>
      <c r="J101" s="1">
        <v>6.4000000000000001E-2</v>
      </c>
      <c r="K101" s="1" t="s">
        <v>12</v>
      </c>
      <c r="L101" s="1" t="s">
        <v>693</v>
      </c>
      <c r="M101" s="1" t="s">
        <v>712</v>
      </c>
      <c r="N101" s="1" t="s">
        <v>713</v>
      </c>
      <c r="O101" s="1" t="s">
        <v>714</v>
      </c>
      <c r="AL101" s="22">
        <v>1018</v>
      </c>
      <c r="AM101">
        <v>5307</v>
      </c>
      <c r="AN101">
        <v>3936</v>
      </c>
      <c r="AO101">
        <v>3494</v>
      </c>
      <c r="AP101">
        <v>9.3000000000000007</v>
      </c>
      <c r="AQ101">
        <v>40</v>
      </c>
      <c r="AR101">
        <v>1</v>
      </c>
      <c r="AS101" s="32">
        <v>781</v>
      </c>
      <c r="AT101">
        <f t="shared" si="8"/>
        <v>54</v>
      </c>
    </row>
    <row r="102" spans="1:46" x14ac:dyDescent="0.2">
      <c r="A102" s="1">
        <v>39</v>
      </c>
      <c r="B102" s="1" t="s">
        <v>303</v>
      </c>
      <c r="C102" s="1" t="s">
        <v>135</v>
      </c>
      <c r="D102" s="1" t="s">
        <v>135</v>
      </c>
      <c r="E102" s="1">
        <v>-4.5</v>
      </c>
      <c r="F102" s="1">
        <v>1.9490000000000001</v>
      </c>
      <c r="G102" s="1">
        <v>2.4E-2</v>
      </c>
      <c r="H102" s="1">
        <v>-14.05</v>
      </c>
      <c r="I102" s="1">
        <v>-2.532</v>
      </c>
      <c r="J102" s="1">
        <v>6.0999999999999999E-2</v>
      </c>
      <c r="K102" s="1" t="s">
        <v>12</v>
      </c>
      <c r="L102" s="1" t="s">
        <v>693</v>
      </c>
      <c r="M102" s="1" t="s">
        <v>715</v>
      </c>
      <c r="N102" s="1" t="s">
        <v>716</v>
      </c>
      <c r="O102" s="1" t="s">
        <v>717</v>
      </c>
      <c r="AL102">
        <v>979</v>
      </c>
      <c r="AM102">
        <v>10168</v>
      </c>
      <c r="AN102">
        <v>7027</v>
      </c>
      <c r="AO102">
        <v>6149</v>
      </c>
      <c r="AS102">
        <f>AL102</f>
        <v>979</v>
      </c>
      <c r="AT102">
        <f t="shared" si="8"/>
        <v>54</v>
      </c>
    </row>
    <row r="103" spans="1:46" x14ac:dyDescent="0.2">
      <c r="A103" s="1">
        <v>38</v>
      </c>
      <c r="B103" s="1" t="s">
        <v>301</v>
      </c>
      <c r="C103" s="1" t="s">
        <v>135</v>
      </c>
      <c r="D103" s="1" t="s">
        <v>135</v>
      </c>
      <c r="E103" s="1">
        <v>-4.5</v>
      </c>
      <c r="F103" s="1">
        <v>1.9</v>
      </c>
      <c r="G103" s="1">
        <v>7.0000000000000001E-3</v>
      </c>
      <c r="H103" s="1">
        <v>-14.05</v>
      </c>
      <c r="I103" s="1">
        <v>-2.8359999999999999</v>
      </c>
      <c r="J103" s="1">
        <v>8.6999999999999994E-2</v>
      </c>
      <c r="K103" s="1" t="s">
        <v>12</v>
      </c>
      <c r="L103" s="1" t="s">
        <v>693</v>
      </c>
      <c r="M103" s="1" t="s">
        <v>718</v>
      </c>
      <c r="N103" s="1" t="s">
        <v>719</v>
      </c>
      <c r="O103" s="1" t="s">
        <v>720</v>
      </c>
      <c r="AL103" s="22">
        <v>1011</v>
      </c>
      <c r="AM103">
        <v>5000</v>
      </c>
      <c r="AN103">
        <v>3422</v>
      </c>
      <c r="AO103">
        <v>3301</v>
      </c>
      <c r="AR103">
        <v>1</v>
      </c>
      <c r="AS103" s="32">
        <v>763</v>
      </c>
      <c r="AT103">
        <f t="shared" si="8"/>
        <v>54</v>
      </c>
    </row>
    <row r="104" spans="1:46" x14ac:dyDescent="0.2">
      <c r="A104" s="1">
        <v>37</v>
      </c>
      <c r="B104" s="1" t="s">
        <v>299</v>
      </c>
      <c r="C104" s="1" t="s">
        <v>135</v>
      </c>
      <c r="D104" s="1" t="s">
        <v>135</v>
      </c>
      <c r="E104" s="1">
        <v>-4.5</v>
      </c>
      <c r="F104" s="1">
        <v>1.905</v>
      </c>
      <c r="G104" s="1">
        <v>1.4999999999999999E-2</v>
      </c>
      <c r="H104" s="1">
        <v>-14.05</v>
      </c>
      <c r="I104" s="1">
        <v>-2.85</v>
      </c>
      <c r="J104" s="1">
        <v>8.5999999999999993E-2</v>
      </c>
      <c r="K104" s="1" t="s">
        <v>12</v>
      </c>
      <c r="L104" s="1" t="s">
        <v>693</v>
      </c>
      <c r="M104" s="1" t="s">
        <v>721</v>
      </c>
      <c r="N104" s="1" t="s">
        <v>722</v>
      </c>
      <c r="O104" s="1" t="s">
        <v>723</v>
      </c>
      <c r="AL104" s="22">
        <v>1046</v>
      </c>
      <c r="AM104">
        <v>5378</v>
      </c>
      <c r="AN104">
        <v>3888</v>
      </c>
      <c r="AO104">
        <v>3430</v>
      </c>
      <c r="AR104">
        <v>1</v>
      </c>
      <c r="AS104" s="32">
        <v>791</v>
      </c>
      <c r="AT104">
        <f t="shared" si="8"/>
        <v>54</v>
      </c>
    </row>
    <row r="105" spans="1:46" x14ac:dyDescent="0.2">
      <c r="A105" s="1">
        <v>36</v>
      </c>
      <c r="B105" s="1" t="s">
        <v>243</v>
      </c>
      <c r="C105" s="1" t="s">
        <v>135</v>
      </c>
      <c r="D105" s="1" t="s">
        <v>135</v>
      </c>
      <c r="E105" s="1">
        <v>-4.5</v>
      </c>
      <c r="F105" s="1">
        <v>1.8959999999999999</v>
      </c>
      <c r="G105" s="1">
        <v>5.0000000000000001E-3</v>
      </c>
      <c r="H105" s="1">
        <v>-14.05</v>
      </c>
      <c r="I105" s="1">
        <v>-2.754</v>
      </c>
      <c r="J105" s="1">
        <v>7.6999999999999999E-2</v>
      </c>
      <c r="K105" s="1" t="s">
        <v>12</v>
      </c>
      <c r="L105" s="1" t="s">
        <v>693</v>
      </c>
      <c r="M105" s="1" t="s">
        <v>724</v>
      </c>
      <c r="N105" s="1" t="s">
        <v>725</v>
      </c>
      <c r="O105" s="1" t="s">
        <v>726</v>
      </c>
      <c r="AL105" s="22">
        <v>1068</v>
      </c>
      <c r="AM105">
        <v>5803</v>
      </c>
      <c r="AN105">
        <v>4200</v>
      </c>
      <c r="AO105">
        <v>3717</v>
      </c>
      <c r="AR105">
        <v>1</v>
      </c>
      <c r="AS105" s="32">
        <v>820</v>
      </c>
      <c r="AT105">
        <f t="shared" si="8"/>
        <v>54</v>
      </c>
    </row>
    <row r="106" spans="1:46" x14ac:dyDescent="0.2">
      <c r="A106" s="1">
        <v>35</v>
      </c>
      <c r="B106" s="1" t="s">
        <v>239</v>
      </c>
      <c r="C106" s="1" t="s">
        <v>204</v>
      </c>
      <c r="D106" s="1" t="s">
        <v>204</v>
      </c>
      <c r="E106" s="1">
        <v>-4.5</v>
      </c>
      <c r="F106" s="1">
        <v>1.907</v>
      </c>
      <c r="G106" s="1">
        <v>8.9999999999999993E-3</v>
      </c>
      <c r="H106" s="1">
        <v>-14.05</v>
      </c>
      <c r="I106" s="1">
        <v>-2.8140000000000001</v>
      </c>
      <c r="J106" s="1">
        <v>6.6000000000000003E-2</v>
      </c>
      <c r="K106" s="1" t="s">
        <v>12</v>
      </c>
      <c r="L106" s="1" t="s">
        <v>693</v>
      </c>
      <c r="M106" s="1" t="s">
        <v>727</v>
      </c>
      <c r="N106" s="1" t="s">
        <v>728</v>
      </c>
      <c r="O106" s="1" t="s">
        <v>729</v>
      </c>
      <c r="AL106" s="22">
        <v>1007</v>
      </c>
      <c r="AM106">
        <v>4929</v>
      </c>
      <c r="AN106">
        <v>3658</v>
      </c>
      <c r="AO106">
        <v>3256</v>
      </c>
      <c r="AP106">
        <v>9.3000000000000007</v>
      </c>
      <c r="AQ106">
        <v>40</v>
      </c>
      <c r="AR106">
        <v>1</v>
      </c>
      <c r="AS106" s="32">
        <v>763</v>
      </c>
      <c r="AT106">
        <f>9*5</f>
        <v>45</v>
      </c>
    </row>
    <row r="107" spans="1:46" x14ac:dyDescent="0.2">
      <c r="A107" s="1">
        <v>34</v>
      </c>
      <c r="B107" s="1" t="s">
        <v>235</v>
      </c>
      <c r="C107" s="1" t="s">
        <v>204</v>
      </c>
      <c r="D107" s="1" t="s">
        <v>204</v>
      </c>
      <c r="E107" s="1">
        <v>-4.5</v>
      </c>
      <c r="F107" s="1">
        <v>1.9419999999999999</v>
      </c>
      <c r="G107" s="1">
        <v>1.7000000000000001E-2</v>
      </c>
      <c r="H107" s="1">
        <v>-14.05</v>
      </c>
      <c r="I107" s="1">
        <v>-2.57</v>
      </c>
      <c r="J107" s="1">
        <v>4.8000000000000001E-2</v>
      </c>
      <c r="K107" s="1" t="s">
        <v>12</v>
      </c>
      <c r="L107" s="1" t="s">
        <v>693</v>
      </c>
      <c r="M107" s="1" t="s">
        <v>730</v>
      </c>
      <c r="N107" s="1" t="s">
        <v>731</v>
      </c>
      <c r="O107" s="1" t="s">
        <v>732</v>
      </c>
      <c r="AL107">
        <v>993</v>
      </c>
      <c r="AM107">
        <v>10369</v>
      </c>
      <c r="AN107">
        <v>7134</v>
      </c>
      <c r="AO107">
        <v>6248</v>
      </c>
      <c r="AS107">
        <f>AL107</f>
        <v>993</v>
      </c>
      <c r="AT107">
        <f t="shared" ref="AT107:AT112" si="9">9*5</f>
        <v>45</v>
      </c>
    </row>
    <row r="108" spans="1:46" x14ac:dyDescent="0.2">
      <c r="A108" s="1">
        <v>33</v>
      </c>
      <c r="B108" s="1" t="s">
        <v>230</v>
      </c>
      <c r="C108" s="1" t="s">
        <v>204</v>
      </c>
      <c r="D108" s="1" t="s">
        <v>204</v>
      </c>
      <c r="E108" s="1">
        <v>-4.5</v>
      </c>
      <c r="F108" s="1">
        <v>1.9359999999999999</v>
      </c>
      <c r="G108" s="1">
        <v>8.0000000000000002E-3</v>
      </c>
      <c r="H108" s="1">
        <v>-14.05</v>
      </c>
      <c r="I108" s="1">
        <v>-2.5649999999999999</v>
      </c>
      <c r="J108" s="1">
        <v>6.3E-2</v>
      </c>
      <c r="K108" s="1" t="s">
        <v>12</v>
      </c>
      <c r="L108" s="1" t="s">
        <v>693</v>
      </c>
      <c r="M108" s="1" t="s">
        <v>733</v>
      </c>
      <c r="N108" s="1" t="s">
        <v>734</v>
      </c>
      <c r="O108" s="1" t="s">
        <v>735</v>
      </c>
      <c r="AL108">
        <v>997</v>
      </c>
      <c r="AM108">
        <v>10687</v>
      </c>
      <c r="AN108">
        <v>7304</v>
      </c>
      <c r="AO108">
        <v>6390</v>
      </c>
      <c r="AS108">
        <f t="shared" ref="AS108:AS136" si="10">AL108</f>
        <v>997</v>
      </c>
      <c r="AT108">
        <f t="shared" si="9"/>
        <v>45</v>
      </c>
    </row>
    <row r="109" spans="1:46" x14ac:dyDescent="0.2">
      <c r="A109" s="1">
        <v>32</v>
      </c>
      <c r="B109" s="1" t="s">
        <v>293</v>
      </c>
      <c r="C109" s="1" t="s">
        <v>204</v>
      </c>
      <c r="D109" s="1" t="s">
        <v>204</v>
      </c>
      <c r="E109" s="1">
        <v>-4.5</v>
      </c>
      <c r="F109" s="1">
        <v>1.9730000000000001</v>
      </c>
      <c r="G109" s="1">
        <v>1.2E-2</v>
      </c>
      <c r="H109" s="1">
        <v>-14.05</v>
      </c>
      <c r="I109" s="1">
        <v>-2.5430000000000001</v>
      </c>
      <c r="J109" s="1">
        <v>5.8999999999999997E-2</v>
      </c>
      <c r="K109" s="1" t="s">
        <v>12</v>
      </c>
      <c r="L109" s="1" t="s">
        <v>693</v>
      </c>
      <c r="M109" s="1" t="s">
        <v>736</v>
      </c>
      <c r="N109" s="1" t="s">
        <v>737</v>
      </c>
      <c r="O109" s="1" t="s">
        <v>738</v>
      </c>
      <c r="AL109">
        <v>905</v>
      </c>
      <c r="AM109">
        <v>9707</v>
      </c>
      <c r="AN109">
        <v>6701</v>
      </c>
      <c r="AO109">
        <v>5882</v>
      </c>
      <c r="AS109">
        <f t="shared" si="10"/>
        <v>905</v>
      </c>
      <c r="AT109">
        <f t="shared" si="9"/>
        <v>45</v>
      </c>
    </row>
    <row r="110" spans="1:46" x14ac:dyDescent="0.2">
      <c r="A110" s="1">
        <v>31</v>
      </c>
      <c r="B110" s="1" t="s">
        <v>244</v>
      </c>
      <c r="C110" s="1" t="s">
        <v>204</v>
      </c>
      <c r="D110" s="1" t="s">
        <v>204</v>
      </c>
      <c r="E110" s="1">
        <v>-4.5</v>
      </c>
      <c r="F110" s="1">
        <v>1.9850000000000001</v>
      </c>
      <c r="G110" s="1">
        <v>2.4E-2</v>
      </c>
      <c r="H110" s="1">
        <v>-14.05</v>
      </c>
      <c r="I110" s="1">
        <v>-2.532</v>
      </c>
      <c r="J110" s="1">
        <v>7.3999999999999996E-2</v>
      </c>
      <c r="K110" s="1" t="s">
        <v>12</v>
      </c>
      <c r="L110" s="1" t="s">
        <v>693</v>
      </c>
      <c r="M110" s="1" t="s">
        <v>739</v>
      </c>
      <c r="N110" s="1" t="s">
        <v>740</v>
      </c>
      <c r="O110" s="1" t="s">
        <v>741</v>
      </c>
      <c r="AL110">
        <v>919</v>
      </c>
      <c r="AM110">
        <v>10278</v>
      </c>
      <c r="AN110">
        <v>7122</v>
      </c>
      <c r="AO110">
        <v>6242</v>
      </c>
      <c r="AS110">
        <f t="shared" si="10"/>
        <v>919</v>
      </c>
      <c r="AT110">
        <f t="shared" si="9"/>
        <v>45</v>
      </c>
    </row>
    <row r="111" spans="1:46" x14ac:dyDescent="0.2">
      <c r="A111" s="1">
        <v>30</v>
      </c>
      <c r="B111" s="1" t="s">
        <v>221</v>
      </c>
      <c r="C111" s="1" t="s">
        <v>204</v>
      </c>
      <c r="D111" s="1" t="s">
        <v>204</v>
      </c>
      <c r="E111" s="1">
        <v>-4.5</v>
      </c>
      <c r="F111" s="1">
        <v>1.956</v>
      </c>
      <c r="G111" s="1">
        <v>1.7000000000000001E-2</v>
      </c>
      <c r="H111" s="1">
        <v>-14.05</v>
      </c>
      <c r="I111" s="1">
        <v>-2.5870000000000002</v>
      </c>
      <c r="J111" s="1">
        <v>4.9000000000000002E-2</v>
      </c>
      <c r="K111" s="1" t="s">
        <v>12</v>
      </c>
      <c r="L111" s="1" t="s">
        <v>693</v>
      </c>
      <c r="M111" s="1" t="s">
        <v>742</v>
      </c>
      <c r="N111" s="1" t="s">
        <v>743</v>
      </c>
      <c r="O111" s="1" t="s">
        <v>744</v>
      </c>
      <c r="AL111">
        <v>926</v>
      </c>
      <c r="AM111">
        <v>8799</v>
      </c>
      <c r="AN111">
        <v>6154</v>
      </c>
      <c r="AO111">
        <v>5416</v>
      </c>
      <c r="AP111">
        <v>9.3000000000000007</v>
      </c>
      <c r="AQ111">
        <v>40</v>
      </c>
      <c r="AS111">
        <f t="shared" si="10"/>
        <v>926</v>
      </c>
      <c r="AT111">
        <f t="shared" si="9"/>
        <v>45</v>
      </c>
    </row>
    <row r="112" spans="1:46" x14ac:dyDescent="0.2">
      <c r="A112" s="1">
        <v>29</v>
      </c>
      <c r="B112" s="1" t="s">
        <v>218</v>
      </c>
      <c r="C112" s="1" t="s">
        <v>204</v>
      </c>
      <c r="D112" s="1" t="s">
        <v>204</v>
      </c>
      <c r="E112" s="1">
        <v>-4.5</v>
      </c>
      <c r="F112" s="1">
        <v>1.8879999999999999</v>
      </c>
      <c r="G112" s="1">
        <v>2.5000000000000001E-2</v>
      </c>
      <c r="H112" s="1">
        <v>-14.05</v>
      </c>
      <c r="I112" s="1">
        <v>-2.88</v>
      </c>
      <c r="J112" s="1">
        <v>0.109</v>
      </c>
      <c r="K112" s="1" t="s">
        <v>12</v>
      </c>
      <c r="L112" s="1" t="s">
        <v>693</v>
      </c>
      <c r="M112" s="1" t="s">
        <v>745</v>
      </c>
      <c r="N112" s="1" t="s">
        <v>746</v>
      </c>
      <c r="O112" s="1" t="s">
        <v>747</v>
      </c>
      <c r="AL112" s="32">
        <v>1018</v>
      </c>
      <c r="AM112">
        <v>4711</v>
      </c>
      <c r="AN112">
        <v>3492</v>
      </c>
      <c r="AO112">
        <v>3098</v>
      </c>
      <c r="AR112">
        <v>1</v>
      </c>
      <c r="AS112" s="32">
        <v>760</v>
      </c>
      <c r="AT112">
        <f t="shared" si="9"/>
        <v>45</v>
      </c>
    </row>
    <row r="113" spans="1:46" x14ac:dyDescent="0.2">
      <c r="A113" s="1">
        <v>28</v>
      </c>
      <c r="B113" s="1" t="s">
        <v>216</v>
      </c>
      <c r="C113" s="1" t="s">
        <v>133</v>
      </c>
      <c r="D113" s="1" t="s">
        <v>133</v>
      </c>
      <c r="E113" s="1">
        <v>-4.5</v>
      </c>
      <c r="F113" s="1">
        <v>1.9179999999999999</v>
      </c>
      <c r="G113" s="1">
        <v>1.6E-2</v>
      </c>
      <c r="H113" s="1">
        <v>-14.05</v>
      </c>
      <c r="I113" s="1">
        <v>-2.6779999999999999</v>
      </c>
      <c r="J113" s="1">
        <v>0.08</v>
      </c>
      <c r="K113" s="1" t="s">
        <v>12</v>
      </c>
      <c r="L113" s="1" t="s">
        <v>693</v>
      </c>
      <c r="M113" s="1" t="s">
        <v>748</v>
      </c>
      <c r="N113" s="1" t="s">
        <v>749</v>
      </c>
      <c r="O113" s="1" t="s">
        <v>750</v>
      </c>
      <c r="AL113">
        <v>855</v>
      </c>
      <c r="AM113">
        <v>5995</v>
      </c>
      <c r="AN113">
        <v>4405</v>
      </c>
      <c r="AO113">
        <v>3910</v>
      </c>
      <c r="AS113">
        <f t="shared" si="10"/>
        <v>855</v>
      </c>
      <c r="AT113">
        <f>9*4</f>
        <v>36</v>
      </c>
    </row>
    <row r="114" spans="1:46" x14ac:dyDescent="0.2">
      <c r="A114" s="1">
        <v>27</v>
      </c>
      <c r="B114" s="1" t="s">
        <v>214</v>
      </c>
      <c r="C114" s="1" t="s">
        <v>133</v>
      </c>
      <c r="D114" s="1" t="s">
        <v>133</v>
      </c>
      <c r="E114" s="1">
        <v>-4.5</v>
      </c>
      <c r="F114" s="1">
        <v>1.988</v>
      </c>
      <c r="G114" s="1">
        <v>2.1000000000000001E-2</v>
      </c>
      <c r="H114" s="1">
        <v>-14.05</v>
      </c>
      <c r="I114" s="1">
        <v>-2.4820000000000002</v>
      </c>
      <c r="J114" s="1">
        <v>7.4999999999999997E-2</v>
      </c>
      <c r="K114" s="1" t="s">
        <v>12</v>
      </c>
      <c r="L114" s="1" t="s">
        <v>693</v>
      </c>
      <c r="M114" s="1" t="s">
        <v>751</v>
      </c>
      <c r="N114" s="1" t="s">
        <v>752</v>
      </c>
      <c r="O114" s="1" t="s">
        <v>753</v>
      </c>
      <c r="AL114">
        <v>926</v>
      </c>
      <c r="AM114">
        <v>8204</v>
      </c>
      <c r="AN114">
        <v>5787</v>
      </c>
      <c r="AO114">
        <v>5089</v>
      </c>
      <c r="AS114">
        <f t="shared" si="10"/>
        <v>926</v>
      </c>
      <c r="AT114">
        <f t="shared" ref="AT114:AT117" si="11">9*4</f>
        <v>36</v>
      </c>
    </row>
    <row r="115" spans="1:46" x14ac:dyDescent="0.2">
      <c r="A115" s="1">
        <v>26</v>
      </c>
      <c r="B115" s="1" t="s">
        <v>212</v>
      </c>
      <c r="C115" s="1" t="s">
        <v>133</v>
      </c>
      <c r="D115" s="1" t="s">
        <v>133</v>
      </c>
      <c r="E115" s="1">
        <v>-4.5</v>
      </c>
      <c r="F115" s="1">
        <v>1.913</v>
      </c>
      <c r="G115" s="1">
        <v>1.9E-2</v>
      </c>
      <c r="H115" s="1">
        <v>-14.05</v>
      </c>
      <c r="I115" s="1">
        <v>-2.6480000000000001</v>
      </c>
      <c r="J115" s="1">
        <v>8.1000000000000003E-2</v>
      </c>
      <c r="K115" s="1" t="s">
        <v>12</v>
      </c>
      <c r="L115" s="1" t="s">
        <v>693</v>
      </c>
      <c r="M115" s="1" t="s">
        <v>754</v>
      </c>
      <c r="N115" s="1" t="s">
        <v>755</v>
      </c>
      <c r="O115" s="1" t="s">
        <v>756</v>
      </c>
      <c r="AL115">
        <v>901</v>
      </c>
      <c r="AM115">
        <v>7327</v>
      </c>
      <c r="AN115">
        <v>5208</v>
      </c>
      <c r="AO115">
        <v>4590</v>
      </c>
      <c r="AS115">
        <f t="shared" si="10"/>
        <v>901</v>
      </c>
      <c r="AT115">
        <f t="shared" si="11"/>
        <v>36</v>
      </c>
    </row>
    <row r="116" spans="1:46" x14ac:dyDescent="0.2">
      <c r="A116" s="1">
        <v>24</v>
      </c>
      <c r="B116" s="1" t="s">
        <v>209</v>
      </c>
      <c r="C116" s="1" t="s">
        <v>133</v>
      </c>
      <c r="D116" s="1" t="s">
        <v>133</v>
      </c>
      <c r="E116" s="1">
        <v>-4.5</v>
      </c>
      <c r="F116" s="1">
        <v>1.8440000000000001</v>
      </c>
      <c r="G116" s="1">
        <v>1.9E-2</v>
      </c>
      <c r="H116" s="1">
        <v>-14.05</v>
      </c>
      <c r="I116" s="1">
        <v>-2.8839999999999999</v>
      </c>
      <c r="J116" s="1">
        <v>7.6999999999999999E-2</v>
      </c>
      <c r="K116" s="1" t="s">
        <v>12</v>
      </c>
      <c r="L116" s="1" t="s">
        <v>693</v>
      </c>
      <c r="M116" s="1" t="s">
        <v>757</v>
      </c>
      <c r="N116" s="1" t="s">
        <v>758</v>
      </c>
      <c r="O116" s="1" t="s">
        <v>759</v>
      </c>
      <c r="AL116">
        <v>834</v>
      </c>
      <c r="AM116">
        <v>7508</v>
      </c>
      <c r="AN116">
        <v>5365</v>
      </c>
      <c r="AO116">
        <v>4729</v>
      </c>
      <c r="AS116">
        <f t="shared" si="10"/>
        <v>834</v>
      </c>
      <c r="AT116">
        <f t="shared" si="11"/>
        <v>36</v>
      </c>
    </row>
    <row r="117" spans="1:46" x14ac:dyDescent="0.2">
      <c r="A117" s="1">
        <v>23</v>
      </c>
      <c r="B117" s="1" t="s">
        <v>207</v>
      </c>
      <c r="C117" s="1" t="s">
        <v>133</v>
      </c>
      <c r="D117" s="1" t="s">
        <v>133</v>
      </c>
      <c r="E117" s="1">
        <v>-4.5</v>
      </c>
      <c r="F117" s="1">
        <v>1.873</v>
      </c>
      <c r="G117" s="1">
        <v>2.5000000000000001E-2</v>
      </c>
      <c r="H117" s="1">
        <v>-14.05</v>
      </c>
      <c r="I117" s="1">
        <v>-2.7610000000000001</v>
      </c>
      <c r="J117" s="1">
        <v>4.9000000000000002E-2</v>
      </c>
      <c r="K117" s="1" t="s">
        <v>12</v>
      </c>
      <c r="L117" s="1" t="s">
        <v>693</v>
      </c>
      <c r="M117" s="1" t="s">
        <v>760</v>
      </c>
      <c r="N117" s="1" t="s">
        <v>761</v>
      </c>
      <c r="O117" s="1" t="s">
        <v>762</v>
      </c>
      <c r="AL117">
        <v>912</v>
      </c>
      <c r="AM117">
        <v>8780</v>
      </c>
      <c r="AN117">
        <v>6124</v>
      </c>
      <c r="AO117">
        <v>5381</v>
      </c>
      <c r="AS117">
        <f t="shared" si="10"/>
        <v>912</v>
      </c>
      <c r="AT117">
        <f t="shared" si="11"/>
        <v>36</v>
      </c>
    </row>
    <row r="118" spans="1:46" x14ac:dyDescent="0.2">
      <c r="A118" s="1">
        <v>20</v>
      </c>
      <c r="B118" s="1" t="s">
        <v>36</v>
      </c>
      <c r="C118" s="1" t="s">
        <v>199</v>
      </c>
      <c r="D118" s="1" t="s">
        <v>199</v>
      </c>
      <c r="E118" s="1">
        <v>-4.5</v>
      </c>
      <c r="F118" s="1">
        <v>1.847</v>
      </c>
      <c r="G118" s="1">
        <v>1.2999999999999999E-2</v>
      </c>
      <c r="H118" s="1">
        <v>-14.05</v>
      </c>
      <c r="I118" s="1">
        <v>-2.8929999999999998</v>
      </c>
      <c r="J118" s="1">
        <v>0.13100000000000001</v>
      </c>
      <c r="K118" s="1" t="s">
        <v>12</v>
      </c>
      <c r="L118" s="1" t="s">
        <v>693</v>
      </c>
      <c r="M118" s="1" t="s">
        <v>763</v>
      </c>
      <c r="N118" s="1" t="s">
        <v>607</v>
      </c>
      <c r="O118" s="1" t="s">
        <v>764</v>
      </c>
      <c r="AL118">
        <v>710</v>
      </c>
      <c r="AM118">
        <v>4182</v>
      </c>
      <c r="AN118">
        <v>3095</v>
      </c>
      <c r="AO118">
        <v>2760</v>
      </c>
      <c r="AS118">
        <f t="shared" si="10"/>
        <v>710</v>
      </c>
      <c r="AT118">
        <f>9*3</f>
        <v>27</v>
      </c>
    </row>
    <row r="119" spans="1:46" x14ac:dyDescent="0.2">
      <c r="A119" s="1">
        <v>19</v>
      </c>
      <c r="B119" s="1" t="s">
        <v>32</v>
      </c>
      <c r="C119" s="1" t="s">
        <v>199</v>
      </c>
      <c r="D119" s="1" t="s">
        <v>199</v>
      </c>
      <c r="E119" s="1">
        <v>-4.5</v>
      </c>
      <c r="F119" s="1">
        <v>1.885</v>
      </c>
      <c r="G119" s="1">
        <v>2.4E-2</v>
      </c>
      <c r="H119" s="1">
        <v>-14.05</v>
      </c>
      <c r="I119" s="1">
        <v>-2.7770000000000001</v>
      </c>
      <c r="J119" s="1">
        <v>8.4000000000000005E-2</v>
      </c>
      <c r="K119" s="1" t="s">
        <v>12</v>
      </c>
      <c r="L119" s="1" t="s">
        <v>765</v>
      </c>
      <c r="M119" s="1" t="s">
        <v>766</v>
      </c>
      <c r="N119" s="1" t="s">
        <v>610</v>
      </c>
      <c r="O119" s="1" t="s">
        <v>767</v>
      </c>
      <c r="AL119">
        <v>809</v>
      </c>
      <c r="AM119">
        <v>5678</v>
      </c>
      <c r="AN119">
        <v>4134</v>
      </c>
      <c r="AO119">
        <v>3671</v>
      </c>
      <c r="AS119">
        <f t="shared" si="10"/>
        <v>809</v>
      </c>
      <c r="AT119">
        <f t="shared" ref="AT119:AT123" si="12">9*3</f>
        <v>27</v>
      </c>
    </row>
    <row r="120" spans="1:46" x14ac:dyDescent="0.2">
      <c r="A120" s="1">
        <v>18</v>
      </c>
      <c r="B120" s="1" t="s">
        <v>30</v>
      </c>
      <c r="C120" s="1" t="s">
        <v>199</v>
      </c>
      <c r="D120" s="1" t="s">
        <v>199</v>
      </c>
      <c r="E120" s="1">
        <v>-4.5</v>
      </c>
      <c r="F120" s="1">
        <v>1.853</v>
      </c>
      <c r="G120" s="1">
        <v>0.01</v>
      </c>
      <c r="H120" s="1">
        <v>-14.05</v>
      </c>
      <c r="I120" s="1">
        <v>-2.7450000000000001</v>
      </c>
      <c r="J120" s="1">
        <v>0.13800000000000001</v>
      </c>
      <c r="K120" s="1" t="s">
        <v>12</v>
      </c>
      <c r="L120" s="1" t="s">
        <v>765</v>
      </c>
      <c r="M120" s="1" t="s">
        <v>768</v>
      </c>
      <c r="N120" s="1" t="s">
        <v>613</v>
      </c>
      <c r="O120" s="1" t="s">
        <v>769</v>
      </c>
      <c r="AL120">
        <v>763</v>
      </c>
      <c r="AM120">
        <v>4950</v>
      </c>
      <c r="AN120">
        <v>3642</v>
      </c>
      <c r="AO120">
        <v>3237</v>
      </c>
      <c r="AP120">
        <v>5.8</v>
      </c>
      <c r="AQ120">
        <v>25</v>
      </c>
      <c r="AS120">
        <f t="shared" si="10"/>
        <v>763</v>
      </c>
      <c r="AT120">
        <f t="shared" si="12"/>
        <v>27</v>
      </c>
    </row>
    <row r="121" spans="1:46" x14ac:dyDescent="0.2">
      <c r="A121" s="1">
        <v>17</v>
      </c>
      <c r="B121" s="1" t="s">
        <v>28</v>
      </c>
      <c r="C121" s="1" t="s">
        <v>199</v>
      </c>
      <c r="D121" s="1" t="s">
        <v>199</v>
      </c>
      <c r="E121" s="1">
        <v>-4.5</v>
      </c>
      <c r="F121" s="1">
        <v>1.94</v>
      </c>
      <c r="G121" s="1">
        <v>1.6E-2</v>
      </c>
      <c r="H121" s="1">
        <v>-14.05</v>
      </c>
      <c r="I121" s="1">
        <v>-2.6880000000000002</v>
      </c>
      <c r="J121" s="1">
        <v>5.7000000000000002E-2</v>
      </c>
      <c r="K121" s="1" t="s">
        <v>12</v>
      </c>
      <c r="L121" s="1" t="s">
        <v>765</v>
      </c>
      <c r="M121" s="1" t="s">
        <v>770</v>
      </c>
      <c r="N121" s="1" t="s">
        <v>616</v>
      </c>
      <c r="O121" s="1" t="s">
        <v>771</v>
      </c>
      <c r="AL121">
        <v>823</v>
      </c>
      <c r="AM121">
        <v>6226</v>
      </c>
      <c r="AN121">
        <v>4507</v>
      </c>
      <c r="AO121">
        <v>3991</v>
      </c>
      <c r="AS121">
        <f t="shared" si="10"/>
        <v>823</v>
      </c>
      <c r="AT121">
        <f t="shared" si="12"/>
        <v>27</v>
      </c>
    </row>
    <row r="122" spans="1:46" x14ac:dyDescent="0.2">
      <c r="A122" s="1">
        <v>16</v>
      </c>
      <c r="B122" s="1" t="s">
        <v>26</v>
      </c>
      <c r="C122" s="1" t="s">
        <v>199</v>
      </c>
      <c r="D122" s="1" t="s">
        <v>199</v>
      </c>
      <c r="E122" s="1">
        <v>-4.5</v>
      </c>
      <c r="F122" s="1">
        <v>1.774</v>
      </c>
      <c r="G122" s="1">
        <v>1.2999999999999999E-2</v>
      </c>
      <c r="H122" s="1">
        <v>-14.05</v>
      </c>
      <c r="I122" s="1">
        <v>-2.98</v>
      </c>
      <c r="J122" s="1">
        <v>0.111</v>
      </c>
      <c r="K122" s="1" t="s">
        <v>12</v>
      </c>
      <c r="L122" s="1" t="s">
        <v>765</v>
      </c>
      <c r="M122" s="1" t="s">
        <v>772</v>
      </c>
      <c r="N122" s="1" t="s">
        <v>773</v>
      </c>
      <c r="O122" s="1" t="s">
        <v>774</v>
      </c>
      <c r="AL122">
        <v>728</v>
      </c>
      <c r="AM122">
        <v>4482</v>
      </c>
      <c r="AN122">
        <v>3321</v>
      </c>
      <c r="AO122">
        <v>2955</v>
      </c>
      <c r="AS122">
        <f t="shared" si="10"/>
        <v>728</v>
      </c>
      <c r="AT122">
        <f t="shared" si="12"/>
        <v>27</v>
      </c>
    </row>
    <row r="123" spans="1:46" x14ac:dyDescent="0.2">
      <c r="A123" s="1">
        <v>15</v>
      </c>
      <c r="B123" s="1" t="s">
        <v>24</v>
      </c>
      <c r="C123" s="1" t="s">
        <v>199</v>
      </c>
      <c r="D123" s="1" t="s">
        <v>199</v>
      </c>
      <c r="E123" s="1">
        <v>-4.5</v>
      </c>
      <c r="F123" s="1">
        <v>1.75</v>
      </c>
      <c r="G123" s="1">
        <v>1.0999999999999999E-2</v>
      </c>
      <c r="H123" s="1">
        <v>-14.05</v>
      </c>
      <c r="I123" s="1">
        <v>-2.8029999999999999</v>
      </c>
      <c r="J123" s="1">
        <v>7.0000000000000007E-2</v>
      </c>
      <c r="K123" s="1" t="s">
        <v>12</v>
      </c>
      <c r="L123" s="1" t="s">
        <v>765</v>
      </c>
      <c r="M123" s="1" t="s">
        <v>775</v>
      </c>
      <c r="N123" s="1" t="s">
        <v>619</v>
      </c>
      <c r="O123" s="1" t="s">
        <v>776</v>
      </c>
      <c r="AL123">
        <v>837</v>
      </c>
      <c r="AM123">
        <v>6107</v>
      </c>
      <c r="AN123">
        <v>4442</v>
      </c>
      <c r="AO123">
        <v>3939</v>
      </c>
      <c r="AS123">
        <f t="shared" si="10"/>
        <v>837</v>
      </c>
      <c r="AT123">
        <f t="shared" si="12"/>
        <v>27</v>
      </c>
    </row>
    <row r="124" spans="1:46" x14ac:dyDescent="0.2">
      <c r="A124" s="1">
        <v>14</v>
      </c>
      <c r="B124" s="1" t="s">
        <v>22</v>
      </c>
      <c r="C124" s="1" t="s">
        <v>157</v>
      </c>
      <c r="D124" s="1" t="s">
        <v>157</v>
      </c>
      <c r="E124" s="1">
        <v>-4.5</v>
      </c>
      <c r="F124" s="1">
        <v>2.726</v>
      </c>
      <c r="G124" s="1">
        <v>3.5000000000000003E-2</v>
      </c>
      <c r="H124" s="1">
        <v>-14.05</v>
      </c>
      <c r="I124" s="1">
        <v>-0.56799999999999995</v>
      </c>
      <c r="J124" s="1">
        <v>0.13700000000000001</v>
      </c>
      <c r="K124" s="1" t="s">
        <v>12</v>
      </c>
      <c r="L124" s="1" t="s">
        <v>765</v>
      </c>
      <c r="M124" s="1" t="s">
        <v>777</v>
      </c>
      <c r="N124" s="1" t="s">
        <v>622</v>
      </c>
      <c r="O124" s="1" t="s">
        <v>778</v>
      </c>
      <c r="AL124">
        <v>568</v>
      </c>
      <c r="AM124">
        <v>2576</v>
      </c>
      <c r="AN124">
        <v>2036</v>
      </c>
      <c r="AO124">
        <v>1829</v>
      </c>
      <c r="AS124">
        <f t="shared" si="10"/>
        <v>568</v>
      </c>
      <c r="AT124">
        <f>9*2</f>
        <v>18</v>
      </c>
    </row>
    <row r="125" spans="1:46" x14ac:dyDescent="0.2">
      <c r="A125" s="1">
        <v>13</v>
      </c>
      <c r="B125" s="1" t="s">
        <v>20</v>
      </c>
      <c r="C125" s="1" t="s">
        <v>157</v>
      </c>
      <c r="D125" s="1" t="s">
        <v>157</v>
      </c>
      <c r="E125" s="1">
        <v>-4.5</v>
      </c>
      <c r="F125" s="1">
        <v>1.202</v>
      </c>
      <c r="G125" s="1">
        <v>5.0000000000000001E-3</v>
      </c>
      <c r="H125" s="1">
        <v>-14.05</v>
      </c>
      <c r="I125" s="1">
        <v>-4.0129999999999999</v>
      </c>
      <c r="J125" s="1">
        <v>0.158</v>
      </c>
      <c r="K125" s="1" t="s">
        <v>12</v>
      </c>
      <c r="L125" s="1" t="s">
        <v>765</v>
      </c>
      <c r="M125" s="1" t="s">
        <v>779</v>
      </c>
      <c r="N125" s="1" t="s">
        <v>625</v>
      </c>
      <c r="O125" s="1" t="s">
        <v>780</v>
      </c>
      <c r="AL125">
        <v>579</v>
      </c>
      <c r="AM125">
        <v>2573</v>
      </c>
      <c r="AN125">
        <v>2008</v>
      </c>
      <c r="AO125">
        <v>1803</v>
      </c>
      <c r="AP125">
        <v>5.8</v>
      </c>
      <c r="AQ125">
        <v>25</v>
      </c>
      <c r="AS125">
        <f t="shared" si="10"/>
        <v>579</v>
      </c>
      <c r="AT125">
        <f t="shared" ref="AT125:AT130" si="13">9*2</f>
        <v>18</v>
      </c>
    </row>
    <row r="126" spans="1:46" x14ac:dyDescent="0.2">
      <c r="A126" s="1">
        <v>12</v>
      </c>
      <c r="B126" s="1" t="s">
        <v>18</v>
      </c>
      <c r="C126" s="1" t="s">
        <v>157</v>
      </c>
      <c r="D126" s="1" t="s">
        <v>157</v>
      </c>
      <c r="E126" s="1">
        <v>-4.5</v>
      </c>
      <c r="F126" s="1">
        <v>1.8069999999999999</v>
      </c>
      <c r="G126" s="1">
        <v>2.3E-2</v>
      </c>
      <c r="H126" s="1">
        <v>-14.05</v>
      </c>
      <c r="I126" s="1">
        <v>-2.8180000000000001</v>
      </c>
      <c r="J126" s="1">
        <v>0.14000000000000001</v>
      </c>
      <c r="K126" s="1" t="s">
        <v>12</v>
      </c>
      <c r="L126" s="1" t="s">
        <v>765</v>
      </c>
      <c r="M126" s="1" t="s">
        <v>781</v>
      </c>
      <c r="N126" s="1" t="s">
        <v>782</v>
      </c>
      <c r="O126" s="1" t="s">
        <v>783</v>
      </c>
      <c r="AL126">
        <v>689</v>
      </c>
      <c r="AM126">
        <v>3924</v>
      </c>
      <c r="AN126">
        <v>2963</v>
      </c>
      <c r="AO126">
        <v>2645</v>
      </c>
      <c r="AS126">
        <f t="shared" si="10"/>
        <v>689</v>
      </c>
      <c r="AT126">
        <f t="shared" si="13"/>
        <v>18</v>
      </c>
    </row>
    <row r="127" spans="1:46" x14ac:dyDescent="0.2">
      <c r="A127" s="1">
        <v>11</v>
      </c>
      <c r="B127" s="1" t="s">
        <v>16</v>
      </c>
      <c r="C127" s="1" t="s">
        <v>157</v>
      </c>
      <c r="D127" s="1" t="s">
        <v>157</v>
      </c>
      <c r="E127" s="1">
        <v>-4.5</v>
      </c>
      <c r="F127" s="1">
        <v>0.47699999999999998</v>
      </c>
      <c r="G127" s="1">
        <v>4.7E-2</v>
      </c>
      <c r="H127" s="1">
        <v>-14.05</v>
      </c>
      <c r="I127" s="1">
        <v>-4.6879999999999997</v>
      </c>
      <c r="J127" s="1">
        <v>0.17100000000000001</v>
      </c>
      <c r="K127" s="1" t="s">
        <v>12</v>
      </c>
      <c r="L127" s="1" t="s">
        <v>765</v>
      </c>
      <c r="M127" s="1" t="s">
        <v>784</v>
      </c>
      <c r="N127" s="1" t="s">
        <v>785</v>
      </c>
      <c r="O127" s="1" t="s">
        <v>786</v>
      </c>
      <c r="AN127">
        <v>781</v>
      </c>
      <c r="AO127">
        <v>840</v>
      </c>
      <c r="AT127">
        <v>18</v>
      </c>
    </row>
    <row r="128" spans="1:46" x14ac:dyDescent="0.2">
      <c r="A128" s="1">
        <v>10</v>
      </c>
      <c r="B128" s="1" t="s">
        <v>14</v>
      </c>
      <c r="C128" s="1" t="s">
        <v>157</v>
      </c>
      <c r="D128" s="1" t="s">
        <v>157</v>
      </c>
      <c r="E128" s="1">
        <v>-4.5</v>
      </c>
      <c r="F128" s="1">
        <v>1.748</v>
      </c>
      <c r="G128" s="1">
        <v>8.0000000000000002E-3</v>
      </c>
      <c r="H128" s="1">
        <v>-14.05</v>
      </c>
      <c r="I128" s="1">
        <v>-3.0819999999999999</v>
      </c>
      <c r="J128" s="1">
        <v>0.161</v>
      </c>
      <c r="K128" s="1" t="s">
        <v>12</v>
      </c>
      <c r="L128" s="1" t="s">
        <v>765</v>
      </c>
      <c r="M128" s="1" t="s">
        <v>787</v>
      </c>
      <c r="N128" s="1" t="s">
        <v>573</v>
      </c>
      <c r="O128" s="1" t="s">
        <v>788</v>
      </c>
      <c r="AL128">
        <v>650</v>
      </c>
      <c r="AM128">
        <v>3521</v>
      </c>
      <c r="AN128">
        <v>2608</v>
      </c>
      <c r="AO128">
        <v>2359</v>
      </c>
      <c r="AS128">
        <f t="shared" si="10"/>
        <v>650</v>
      </c>
      <c r="AT128">
        <f t="shared" si="13"/>
        <v>18</v>
      </c>
    </row>
    <row r="129" spans="1:46" x14ac:dyDescent="0.2">
      <c r="A129" s="1">
        <v>9</v>
      </c>
      <c r="B129" s="1" t="s">
        <v>268</v>
      </c>
      <c r="C129" s="1" t="s">
        <v>157</v>
      </c>
      <c r="D129" s="1" t="s">
        <v>157</v>
      </c>
      <c r="E129" s="1">
        <v>-4.5</v>
      </c>
      <c r="F129" s="1">
        <v>1.546</v>
      </c>
      <c r="G129" s="1">
        <v>2.4E-2</v>
      </c>
      <c r="H129" s="1">
        <v>-14.05</v>
      </c>
      <c r="I129" s="1">
        <v>-3.286</v>
      </c>
      <c r="J129" s="1">
        <v>0.104</v>
      </c>
      <c r="K129" s="1" t="s">
        <v>12</v>
      </c>
      <c r="L129" s="1" t="s">
        <v>765</v>
      </c>
      <c r="M129" s="1" t="s">
        <v>789</v>
      </c>
      <c r="N129" s="1" t="s">
        <v>576</v>
      </c>
      <c r="O129" s="1" t="s">
        <v>790</v>
      </c>
      <c r="AL129">
        <v>657</v>
      </c>
      <c r="AM129">
        <v>3972</v>
      </c>
      <c r="AN129">
        <v>2983</v>
      </c>
      <c r="AO129">
        <v>2656</v>
      </c>
      <c r="AS129">
        <f t="shared" si="10"/>
        <v>657</v>
      </c>
      <c r="AT129">
        <f t="shared" si="13"/>
        <v>18</v>
      </c>
    </row>
    <row r="130" spans="1:46" x14ac:dyDescent="0.2">
      <c r="A130" s="1">
        <v>8</v>
      </c>
      <c r="B130" s="1" t="s">
        <v>266</v>
      </c>
      <c r="C130" s="1" t="s">
        <v>157</v>
      </c>
      <c r="D130" s="1" t="s">
        <v>157</v>
      </c>
      <c r="E130" s="1">
        <v>-4.5</v>
      </c>
      <c r="F130" s="1">
        <v>1.6619999999999999</v>
      </c>
      <c r="G130" s="1">
        <v>1.7999999999999999E-2</v>
      </c>
      <c r="H130" s="1">
        <v>-14.05</v>
      </c>
      <c r="I130" s="1">
        <v>-3.2480000000000002</v>
      </c>
      <c r="J130" s="1">
        <v>0.156</v>
      </c>
      <c r="K130" s="1" t="s">
        <v>12</v>
      </c>
      <c r="L130" s="1" t="s">
        <v>765</v>
      </c>
      <c r="M130" s="1" t="s">
        <v>791</v>
      </c>
      <c r="N130" s="1" t="s">
        <v>792</v>
      </c>
      <c r="O130" s="1" t="s">
        <v>793</v>
      </c>
      <c r="AL130">
        <v>568</v>
      </c>
      <c r="AM130">
        <v>2890</v>
      </c>
      <c r="AN130">
        <v>2238</v>
      </c>
      <c r="AO130">
        <v>2006</v>
      </c>
      <c r="AS130">
        <f t="shared" si="10"/>
        <v>568</v>
      </c>
      <c r="AT130">
        <f t="shared" si="13"/>
        <v>18</v>
      </c>
    </row>
    <row r="131" spans="1:46" x14ac:dyDescent="0.2">
      <c r="A131" s="1">
        <v>7</v>
      </c>
      <c r="B131" s="1" t="s">
        <v>264</v>
      </c>
      <c r="C131" s="1" t="s">
        <v>178</v>
      </c>
      <c r="D131" s="1" t="s">
        <v>178</v>
      </c>
      <c r="E131" s="1">
        <v>-4.5</v>
      </c>
      <c r="F131" s="1">
        <v>1.28</v>
      </c>
      <c r="G131" s="1">
        <v>2.3E-2</v>
      </c>
      <c r="H131" s="1">
        <v>-14.05</v>
      </c>
      <c r="I131" s="1">
        <v>-3.907</v>
      </c>
      <c r="J131" s="1">
        <v>0.128</v>
      </c>
      <c r="K131" s="1" t="s">
        <v>12</v>
      </c>
      <c r="L131" s="1" t="s">
        <v>765</v>
      </c>
      <c r="M131" s="1" t="s">
        <v>794</v>
      </c>
      <c r="N131" s="1" t="s">
        <v>582</v>
      </c>
      <c r="O131" s="1" t="s">
        <v>795</v>
      </c>
      <c r="AL131">
        <v>441</v>
      </c>
      <c r="AM131">
        <v>1293</v>
      </c>
      <c r="AN131">
        <v>1130</v>
      </c>
      <c r="AO131">
        <v>1028</v>
      </c>
      <c r="AP131">
        <v>5.9</v>
      </c>
      <c r="AQ131">
        <v>25</v>
      </c>
      <c r="AS131">
        <f t="shared" si="10"/>
        <v>441</v>
      </c>
      <c r="AT131">
        <v>9</v>
      </c>
    </row>
    <row r="132" spans="1:46" x14ac:dyDescent="0.2">
      <c r="A132" s="1">
        <v>6</v>
      </c>
      <c r="B132" s="1" t="s">
        <v>262</v>
      </c>
      <c r="C132" s="1" t="s">
        <v>178</v>
      </c>
      <c r="D132" s="1" t="s">
        <v>178</v>
      </c>
      <c r="E132" s="1">
        <v>-4.5</v>
      </c>
      <c r="F132" s="1"/>
      <c r="G132" s="1">
        <v>0.58199999999999996</v>
      </c>
      <c r="H132" s="1">
        <v>-14.05</v>
      </c>
      <c r="I132" s="1"/>
      <c r="J132" s="1">
        <v>0.51500000000000001</v>
      </c>
      <c r="K132" s="1" t="s">
        <v>12</v>
      </c>
      <c r="L132" s="1" t="s">
        <v>765</v>
      </c>
      <c r="M132" s="1" t="s">
        <v>796</v>
      </c>
      <c r="N132" s="1" t="s">
        <v>585</v>
      </c>
      <c r="O132" s="1" t="s">
        <v>797</v>
      </c>
      <c r="AN132" s="32">
        <v>193</v>
      </c>
      <c r="AO132" s="32">
        <v>634</v>
      </c>
      <c r="AT132">
        <v>9</v>
      </c>
    </row>
    <row r="133" spans="1:46" x14ac:dyDescent="0.2">
      <c r="A133" s="1">
        <v>5</v>
      </c>
      <c r="B133" s="1" t="s">
        <v>260</v>
      </c>
      <c r="C133" s="1" t="s">
        <v>178</v>
      </c>
      <c r="D133" s="1" t="s">
        <v>178</v>
      </c>
      <c r="E133" s="1">
        <v>-4.5</v>
      </c>
      <c r="F133" s="1">
        <v>0.66800000000000004</v>
      </c>
      <c r="G133" s="1">
        <v>7.8E-2</v>
      </c>
      <c r="H133" s="1">
        <v>-14.05</v>
      </c>
      <c r="I133" s="1">
        <v>-5.1230000000000002</v>
      </c>
      <c r="J133" s="1">
        <v>0.105</v>
      </c>
      <c r="K133" s="1" t="s">
        <v>12</v>
      </c>
      <c r="L133" s="1" t="s">
        <v>765</v>
      </c>
      <c r="M133" s="1" t="s">
        <v>798</v>
      </c>
      <c r="N133" s="1" t="s">
        <v>588</v>
      </c>
      <c r="O133" s="1" t="s">
        <v>799</v>
      </c>
      <c r="AL133">
        <v>321</v>
      </c>
      <c r="AM133">
        <v>969</v>
      </c>
      <c r="AN133">
        <v>839</v>
      </c>
      <c r="AO133">
        <v>765</v>
      </c>
      <c r="AS133">
        <f t="shared" si="10"/>
        <v>321</v>
      </c>
      <c r="AT133">
        <v>9</v>
      </c>
    </row>
    <row r="134" spans="1:46" x14ac:dyDescent="0.2">
      <c r="A134" s="1">
        <v>4</v>
      </c>
      <c r="B134" s="1" t="s">
        <v>258</v>
      </c>
      <c r="C134" s="1" t="s">
        <v>178</v>
      </c>
      <c r="D134" s="1" t="s">
        <v>178</v>
      </c>
      <c r="E134" s="1">
        <v>-4.5</v>
      </c>
      <c r="F134" s="1">
        <v>1.4219999999999999</v>
      </c>
      <c r="G134" s="1">
        <v>0.03</v>
      </c>
      <c r="H134" s="1">
        <v>-14.05</v>
      </c>
      <c r="I134" s="1">
        <v>-3.7120000000000002</v>
      </c>
      <c r="J134" s="1">
        <v>0.16200000000000001</v>
      </c>
      <c r="K134" s="1" t="s">
        <v>12</v>
      </c>
      <c r="L134" s="1" t="s">
        <v>765</v>
      </c>
      <c r="M134" s="1" t="s">
        <v>800</v>
      </c>
      <c r="N134" s="1" t="s">
        <v>591</v>
      </c>
      <c r="O134" s="1" t="s">
        <v>801</v>
      </c>
      <c r="AL134">
        <v>388</v>
      </c>
      <c r="AM134">
        <v>1347</v>
      </c>
      <c r="AN134">
        <v>1095</v>
      </c>
      <c r="AO134">
        <v>992</v>
      </c>
      <c r="AS134">
        <f t="shared" si="10"/>
        <v>388</v>
      </c>
      <c r="AT134">
        <v>9</v>
      </c>
    </row>
    <row r="135" spans="1:46" x14ac:dyDescent="0.2">
      <c r="A135" s="1">
        <v>3</v>
      </c>
      <c r="B135" s="1" t="s">
        <v>256</v>
      </c>
      <c r="C135" s="1" t="s">
        <v>178</v>
      </c>
      <c r="D135" s="1" t="s">
        <v>178</v>
      </c>
      <c r="E135" s="1">
        <v>-4.5</v>
      </c>
      <c r="F135" s="1">
        <v>1.6180000000000001</v>
      </c>
      <c r="G135" s="1">
        <v>8.9999999999999993E-3</v>
      </c>
      <c r="H135" s="1">
        <v>-14.05</v>
      </c>
      <c r="I135" s="1">
        <v>-3.1219999999999999</v>
      </c>
      <c r="J135" s="1">
        <v>0.11600000000000001</v>
      </c>
      <c r="K135" s="1" t="s">
        <v>12</v>
      </c>
      <c r="L135" s="1" t="s">
        <v>765</v>
      </c>
      <c r="M135" s="1" t="s">
        <v>802</v>
      </c>
      <c r="N135" s="1" t="s">
        <v>594</v>
      </c>
      <c r="O135" s="1" t="s">
        <v>803</v>
      </c>
      <c r="AL135">
        <v>547</v>
      </c>
      <c r="AM135">
        <v>2816</v>
      </c>
      <c r="AN135">
        <v>2123</v>
      </c>
      <c r="AO135">
        <v>1902</v>
      </c>
      <c r="AS135">
        <f t="shared" si="10"/>
        <v>547</v>
      </c>
      <c r="AT135">
        <v>9</v>
      </c>
    </row>
    <row r="136" spans="1:46" x14ac:dyDescent="0.2">
      <c r="A136" s="1">
        <v>1</v>
      </c>
      <c r="B136" s="1" t="s">
        <v>252</v>
      </c>
      <c r="C136" s="1" t="s">
        <v>178</v>
      </c>
      <c r="D136" s="1" t="s">
        <v>178</v>
      </c>
      <c r="E136" s="1">
        <v>-4.5</v>
      </c>
      <c r="F136" s="1">
        <v>1.6559999999999999</v>
      </c>
      <c r="G136" s="1">
        <v>1.0999999999999999E-2</v>
      </c>
      <c r="H136" s="1">
        <v>-14.05</v>
      </c>
      <c r="I136" s="1">
        <v>-3.3039999999999998</v>
      </c>
      <c r="J136" s="1">
        <v>0.13600000000000001</v>
      </c>
      <c r="K136" s="1" t="s">
        <v>12</v>
      </c>
      <c r="L136" s="1" t="s">
        <v>765</v>
      </c>
      <c r="M136" s="1" t="s">
        <v>804</v>
      </c>
      <c r="N136" s="1" t="s">
        <v>805</v>
      </c>
      <c r="O136" s="1" t="s">
        <v>806</v>
      </c>
      <c r="AL136">
        <v>487</v>
      </c>
      <c r="AM136">
        <v>2138</v>
      </c>
      <c r="AN136">
        <v>1717</v>
      </c>
      <c r="AO136">
        <v>1550</v>
      </c>
      <c r="AP136">
        <v>4.7</v>
      </c>
      <c r="AQ136">
        <v>20</v>
      </c>
      <c r="AS136">
        <f t="shared" si="10"/>
        <v>487</v>
      </c>
      <c r="AT136">
        <v>9</v>
      </c>
    </row>
    <row r="137" spans="1:46" x14ac:dyDescent="0.2">
      <c r="A137" t="s">
        <v>569</v>
      </c>
      <c r="F137" s="31">
        <f>AVERAGE(F95:F136)</f>
        <v>1.7388780487804878</v>
      </c>
      <c r="G137" s="29"/>
      <c r="H137" s="29"/>
      <c r="I137" s="31">
        <f>AVERAGE(I95:I136)</f>
        <v>-3.0754634146341471</v>
      </c>
    </row>
    <row r="138" spans="1:46" x14ac:dyDescent="0.2">
      <c r="A138" t="s">
        <v>91</v>
      </c>
      <c r="F138" s="31">
        <f>STDEV(F95:F136)</f>
        <v>0.36961690945639747</v>
      </c>
      <c r="G138" s="29"/>
      <c r="H138" s="29"/>
      <c r="I138" s="31">
        <f>STDEV(I95:I136)</f>
        <v>0.79419915945438191</v>
      </c>
    </row>
    <row r="139" spans="1:46" x14ac:dyDescent="0.2">
      <c r="F139" s="31"/>
      <c r="G139" s="29"/>
      <c r="H139" s="29"/>
      <c r="I139" s="31"/>
    </row>
    <row r="140" spans="1:46" x14ac:dyDescent="0.2">
      <c r="E140" s="30" t="s">
        <v>815</v>
      </c>
      <c r="F140" s="31"/>
      <c r="G140" s="29"/>
      <c r="H140" s="29"/>
      <c r="I140" s="31"/>
      <c r="L140" s="30" t="s">
        <v>816</v>
      </c>
      <c r="M140" s="31"/>
      <c r="N140" s="29"/>
      <c r="O140" s="29"/>
      <c r="P140" s="31"/>
    </row>
    <row r="141" spans="1:46" x14ac:dyDescent="0.2">
      <c r="B141" s="30"/>
      <c r="C141" s="30"/>
      <c r="D141" s="30"/>
      <c r="E141" s="33" t="s">
        <v>809</v>
      </c>
      <c r="F141" s="34" t="s">
        <v>810</v>
      </c>
      <c r="G141" s="35" t="s">
        <v>811</v>
      </c>
      <c r="H141" s="35" t="s">
        <v>812</v>
      </c>
      <c r="I141" s="34" t="s">
        <v>813</v>
      </c>
      <c r="J141" s="33" t="s">
        <v>814</v>
      </c>
      <c r="L141" s="33" t="s">
        <v>809</v>
      </c>
      <c r="M141" s="34" t="s">
        <v>810</v>
      </c>
      <c r="N141" s="35" t="s">
        <v>811</v>
      </c>
      <c r="O141" s="35" t="s">
        <v>812</v>
      </c>
      <c r="P141" s="34" t="s">
        <v>813</v>
      </c>
      <c r="Q141" s="33" t="s">
        <v>814</v>
      </c>
    </row>
    <row r="142" spans="1:46" x14ac:dyDescent="0.2">
      <c r="A142" s="30" t="s">
        <v>807</v>
      </c>
      <c r="B142" s="30"/>
      <c r="C142" s="30"/>
      <c r="D142" s="30"/>
      <c r="E142" s="36">
        <f>AVERAGE(F51:F56,F95:F98,F131:F136)</f>
        <v>1.3774666666666662</v>
      </c>
      <c r="F142" s="34">
        <f>AVERAGE(F49:F50,F67:F68,F124:F130)</f>
        <v>1.583</v>
      </c>
      <c r="G142" s="34">
        <f>AVERAGE(F62:F66,F118:F123)</f>
        <v>1.829181818181818</v>
      </c>
      <c r="H142" s="34">
        <f>AVERAGE(F57:F58,F61,F71:F73,F84:F89,F113:F117)</f>
        <v>1.8917647058823528</v>
      </c>
      <c r="I142" s="34">
        <f>AVERAGE(F80:F83,F106:F112)</f>
        <v>1.9527272727272731</v>
      </c>
      <c r="J142" s="36">
        <f>AVERAGE(F74:F79,F99:F105)</f>
        <v>1.9363076923076927</v>
      </c>
      <c r="L142" s="36">
        <f>AVERAGE(I51:I56,I95:I98,I131:I136)</f>
        <v>-4.0432000000000006</v>
      </c>
      <c r="M142" s="34">
        <f>AVERAGE(I49:I50,I67:I68,I124:I130)</f>
        <v>-3.4006363636363632</v>
      </c>
      <c r="N142" s="34">
        <f>AVERAGE(I62:I66,I118:I123)</f>
        <v>-2.7586363636363638</v>
      </c>
      <c r="O142" s="34">
        <f>AVERAGE(I57:I58,I61,I71:I73,I84:I89,I113:I117)</f>
        <v>-2.5440000000000005</v>
      </c>
      <c r="P142" s="34">
        <f>AVERAGE(I80:I83,I106:I112)</f>
        <v>-2.5546363636363636</v>
      </c>
      <c r="Q142" s="36">
        <f>AVERAGE(I74:I79,I99:I105)</f>
        <v>-2.6513846153846155</v>
      </c>
    </row>
    <row r="143" spans="1:46" x14ac:dyDescent="0.2">
      <c r="A143" s="30" t="s">
        <v>808</v>
      </c>
      <c r="E143" s="36">
        <f>STDEV(F51:F56,F95:F98,F131:F136)</f>
        <v>0.22535967019940062</v>
      </c>
      <c r="F143" s="34">
        <f>STDEV(F49:F50,F67:F68,F124:F130)</f>
        <v>0.54873800670265205</v>
      </c>
      <c r="G143" s="34">
        <f>STDEV(F62:F66,F118:F123)</f>
        <v>7.8231474716789248E-2</v>
      </c>
      <c r="H143" s="34">
        <f>STDEV(F57:F58,F61,F71:F73,F84:F89,F113:F117)</f>
        <v>8.3993697242534721E-2</v>
      </c>
      <c r="I143" s="34">
        <f>STDEV(F80:F83,F106:F112)</f>
        <v>3.3259858415486135E-2</v>
      </c>
      <c r="J143" s="36">
        <f>STDEV(F74:F79,F99:F105)</f>
        <v>3.1151202800171904E-2</v>
      </c>
      <c r="L143" s="36">
        <f>STDEV(I51:I56,I95:I98,I131:I136)</f>
        <v>0.58040394800271555</v>
      </c>
      <c r="M143" s="34">
        <f>STDEV(I49:I50,I67:I68,I124:I130)</f>
        <v>1.3754716480340319</v>
      </c>
      <c r="N143" s="34">
        <f>STDEV(I62:I66,I118:I123)</f>
        <v>0.18242438034828171</v>
      </c>
      <c r="O143" s="34">
        <f>STDEV(I57:I58,I61,I71:I73,I84:I89,I113:I117)</f>
        <v>0.32999810605517088</v>
      </c>
      <c r="P143" s="34">
        <f>STDEV(I80:I83,I106:I112)</f>
        <v>0.18168559256433778</v>
      </c>
      <c r="Q143" s="36">
        <f>STDEV(I74:I79,I99:I105)</f>
        <v>0.25323096784738447</v>
      </c>
    </row>
    <row r="144" spans="1:46" x14ac:dyDescent="0.2">
      <c r="A144" s="30" t="s">
        <v>817</v>
      </c>
      <c r="B144" s="30"/>
      <c r="C144" s="30"/>
      <c r="D144" s="30"/>
      <c r="E144" s="33">
        <v>15</v>
      </c>
      <c r="F144" s="37">
        <v>11</v>
      </c>
      <c r="G144" s="35">
        <v>11</v>
      </c>
      <c r="H144" s="35">
        <v>17</v>
      </c>
      <c r="I144" s="37">
        <v>11</v>
      </c>
      <c r="J144" s="33">
        <v>13</v>
      </c>
      <c r="K144" s="30"/>
      <c r="L144" s="33">
        <v>15</v>
      </c>
      <c r="M144" s="37">
        <v>11</v>
      </c>
      <c r="N144" s="35">
        <v>11</v>
      </c>
      <c r="O144" s="35">
        <v>17</v>
      </c>
      <c r="P144" s="37">
        <v>11</v>
      </c>
      <c r="Q144" s="33">
        <v>13</v>
      </c>
    </row>
    <row r="145" spans="1:42" x14ac:dyDescent="0.2">
      <c r="A145" s="30"/>
      <c r="B145" s="30"/>
      <c r="C145" s="30"/>
      <c r="D145" s="30"/>
      <c r="E145" s="33"/>
      <c r="F145" s="37"/>
      <c r="G145" s="35"/>
      <c r="H145" s="35"/>
      <c r="I145" s="37"/>
      <c r="J145" s="33"/>
      <c r="K145" s="30"/>
      <c r="L145" s="33"/>
      <c r="M145" s="37"/>
      <c r="N145" s="35"/>
      <c r="O145" s="35"/>
      <c r="P145" s="37"/>
      <c r="Q145" s="33"/>
    </row>
    <row r="146" spans="1:42" x14ac:dyDescent="0.2">
      <c r="A146" s="39">
        <v>42162</v>
      </c>
      <c r="B146" s="30"/>
      <c r="C146" s="30"/>
      <c r="D146" s="30"/>
      <c r="E146" s="33"/>
      <c r="F146" s="37"/>
      <c r="G146" s="35"/>
      <c r="H146" s="35"/>
      <c r="I146" s="37"/>
      <c r="J146" s="33"/>
      <c r="K146" s="30"/>
      <c r="L146" s="33"/>
      <c r="M146" s="37"/>
      <c r="N146" s="35"/>
      <c r="O146" s="35"/>
      <c r="P146" s="37"/>
      <c r="Q146" s="33"/>
    </row>
    <row r="147" spans="1:42" x14ac:dyDescent="0.2">
      <c r="A147" s="1" t="s">
        <v>0</v>
      </c>
      <c r="B147" s="1" t="s">
        <v>1</v>
      </c>
      <c r="C147" s="1" t="s">
        <v>2</v>
      </c>
      <c r="D147" s="1" t="s">
        <v>132</v>
      </c>
      <c r="E147" s="1" t="s">
        <v>3</v>
      </c>
      <c r="F147" s="1" t="s">
        <v>4</v>
      </c>
      <c r="G147" s="1" t="s">
        <v>5</v>
      </c>
      <c r="H147" s="1" t="s">
        <v>6</v>
      </c>
      <c r="I147" s="1" t="s">
        <v>7</v>
      </c>
      <c r="J147" s="1" t="s">
        <v>8</v>
      </c>
      <c r="K147" s="1" t="s">
        <v>9</v>
      </c>
      <c r="L147" s="1" t="s">
        <v>129</v>
      </c>
      <c r="M147" s="1" t="s">
        <v>130</v>
      </c>
      <c r="N147" s="1" t="s">
        <v>131</v>
      </c>
      <c r="O147" s="1" t="s">
        <v>10</v>
      </c>
      <c r="Q147" s="38" t="s">
        <v>818</v>
      </c>
      <c r="AL147" s="11" t="s">
        <v>191</v>
      </c>
      <c r="AM147" s="11" t="s">
        <v>688</v>
      </c>
      <c r="AN147" s="11" t="s">
        <v>250</v>
      </c>
      <c r="AO147" s="11" t="s">
        <v>251</v>
      </c>
    </row>
    <row r="148" spans="1:42" x14ac:dyDescent="0.2">
      <c r="A148" s="1">
        <v>1</v>
      </c>
      <c r="B148" s="1" t="s">
        <v>252</v>
      </c>
      <c r="C148" s="1" t="s">
        <v>157</v>
      </c>
      <c r="D148" s="1" t="s">
        <v>157</v>
      </c>
      <c r="E148" s="1">
        <v>-4.5</v>
      </c>
      <c r="F148" s="1">
        <v>1.821</v>
      </c>
      <c r="G148" s="1">
        <v>1.0999999999999999E-2</v>
      </c>
      <c r="H148" s="1">
        <v>-14.05</v>
      </c>
      <c r="I148" s="1">
        <v>-2.8740000000000001</v>
      </c>
      <c r="J148" s="1">
        <v>8.7999999999999995E-2</v>
      </c>
      <c r="K148" s="1" t="s">
        <v>12</v>
      </c>
      <c r="L148" s="1" t="s">
        <v>819</v>
      </c>
      <c r="M148" s="1" t="s">
        <v>820</v>
      </c>
      <c r="N148" s="1" t="s">
        <v>821</v>
      </c>
      <c r="O148" s="1" t="s">
        <v>822</v>
      </c>
      <c r="AL148">
        <v>717</v>
      </c>
      <c r="AM148">
        <v>5337</v>
      </c>
      <c r="AN148">
        <v>3925</v>
      </c>
      <c r="AO148">
        <v>3468</v>
      </c>
      <c r="AP148">
        <v>18</v>
      </c>
    </row>
    <row r="149" spans="1:42" x14ac:dyDescent="0.2">
      <c r="A149" s="1">
        <v>2</v>
      </c>
      <c r="B149" s="1" t="s">
        <v>254</v>
      </c>
      <c r="C149" s="1" t="s">
        <v>157</v>
      </c>
      <c r="D149" s="1" t="s">
        <v>157</v>
      </c>
      <c r="E149" s="1">
        <v>-4.5</v>
      </c>
      <c r="F149" s="1">
        <v>1.8580000000000001</v>
      </c>
      <c r="G149" s="1">
        <v>2.1000000000000001E-2</v>
      </c>
      <c r="H149" s="1">
        <v>-14.05</v>
      </c>
      <c r="I149" s="1">
        <v>-3.028</v>
      </c>
      <c r="J149" s="1">
        <v>0.109</v>
      </c>
      <c r="K149" s="1" t="s">
        <v>12</v>
      </c>
      <c r="L149" s="1" t="s">
        <v>819</v>
      </c>
      <c r="M149" s="1" t="s">
        <v>823</v>
      </c>
      <c r="N149" s="1" t="s">
        <v>824</v>
      </c>
      <c r="O149" s="1" t="s">
        <v>825</v>
      </c>
      <c r="AL149">
        <v>671</v>
      </c>
      <c r="AM149">
        <v>4512</v>
      </c>
      <c r="AN149">
        <v>3248</v>
      </c>
      <c r="AO149">
        <v>2877</v>
      </c>
      <c r="AP149">
        <v>18</v>
      </c>
    </row>
    <row r="150" spans="1:42" x14ac:dyDescent="0.2">
      <c r="A150" s="1">
        <v>3</v>
      </c>
      <c r="B150" s="1" t="s">
        <v>256</v>
      </c>
      <c r="C150" s="1" t="s">
        <v>157</v>
      </c>
      <c r="D150" s="1" t="s">
        <v>157</v>
      </c>
      <c r="E150" s="1">
        <v>-4.5</v>
      </c>
      <c r="F150" s="1">
        <v>1.82</v>
      </c>
      <c r="G150" s="1">
        <v>0.01</v>
      </c>
      <c r="H150" s="1">
        <v>-14.05</v>
      </c>
      <c r="I150" s="1">
        <v>-2.86</v>
      </c>
      <c r="J150" s="1">
        <v>0.10100000000000001</v>
      </c>
      <c r="K150" s="1" t="s">
        <v>12</v>
      </c>
      <c r="L150" s="1" t="s">
        <v>819</v>
      </c>
      <c r="M150" s="1" t="s">
        <v>826</v>
      </c>
      <c r="N150" s="1" t="s">
        <v>827</v>
      </c>
      <c r="O150" s="1" t="s">
        <v>828</v>
      </c>
      <c r="AL150">
        <v>653</v>
      </c>
      <c r="AM150">
        <v>4257</v>
      </c>
      <c r="AN150">
        <v>3084</v>
      </c>
      <c r="AO150">
        <v>2738</v>
      </c>
      <c r="AP150">
        <v>18</v>
      </c>
    </row>
    <row r="151" spans="1:42" x14ac:dyDescent="0.2">
      <c r="A151" s="1">
        <v>4</v>
      </c>
      <c r="B151" s="1" t="s">
        <v>258</v>
      </c>
      <c r="C151" s="1" t="s">
        <v>157</v>
      </c>
      <c r="D151" s="1" t="s">
        <v>157</v>
      </c>
      <c r="E151" s="1">
        <v>-4.5</v>
      </c>
      <c r="F151" s="1">
        <v>1.7669999999999999</v>
      </c>
      <c r="G151" s="1">
        <v>0.01</v>
      </c>
      <c r="H151" s="1">
        <v>-14.05</v>
      </c>
      <c r="I151" s="1">
        <v>-3.08</v>
      </c>
      <c r="J151" s="1">
        <v>0.122</v>
      </c>
      <c r="K151" s="1" t="s">
        <v>12</v>
      </c>
      <c r="L151" s="1" t="s">
        <v>819</v>
      </c>
      <c r="M151" s="1" t="s">
        <v>829</v>
      </c>
      <c r="N151" s="1" t="s">
        <v>830</v>
      </c>
      <c r="O151" s="1" t="s">
        <v>831</v>
      </c>
      <c r="AL151">
        <v>660</v>
      </c>
      <c r="AM151">
        <v>4013</v>
      </c>
      <c r="AN151">
        <v>2924</v>
      </c>
      <c r="AO151">
        <v>2596</v>
      </c>
      <c r="AP151">
        <v>18</v>
      </c>
    </row>
    <row r="152" spans="1:42" x14ac:dyDescent="0.2">
      <c r="A152" s="1">
        <v>5</v>
      </c>
      <c r="B152" s="1" t="s">
        <v>260</v>
      </c>
      <c r="C152" s="1" t="s">
        <v>157</v>
      </c>
      <c r="D152" s="1" t="s">
        <v>157</v>
      </c>
      <c r="E152" s="1">
        <v>-4.5</v>
      </c>
      <c r="F152" s="1">
        <v>1.7869999999999999</v>
      </c>
      <c r="G152" s="1">
        <v>8.9999999999999993E-3</v>
      </c>
      <c r="H152" s="1">
        <v>-14.05</v>
      </c>
      <c r="I152" s="1">
        <v>-3.0910000000000002</v>
      </c>
      <c r="J152" s="1">
        <v>0.11799999999999999</v>
      </c>
      <c r="K152" s="1" t="s">
        <v>12</v>
      </c>
      <c r="L152" s="1" t="s">
        <v>819</v>
      </c>
      <c r="M152" s="1" t="s">
        <v>832</v>
      </c>
      <c r="N152" s="1" t="s">
        <v>833</v>
      </c>
      <c r="O152" s="1" t="s">
        <v>834</v>
      </c>
      <c r="AL152">
        <v>639</v>
      </c>
      <c r="AM152">
        <v>3610</v>
      </c>
      <c r="AN152">
        <v>2649</v>
      </c>
      <c r="AO152">
        <v>2358</v>
      </c>
      <c r="AP152">
        <v>18</v>
      </c>
    </row>
    <row r="153" spans="1:42" x14ac:dyDescent="0.2">
      <c r="A153" s="1">
        <v>6</v>
      </c>
      <c r="B153" s="1" t="s">
        <v>262</v>
      </c>
      <c r="C153" s="1" t="s">
        <v>157</v>
      </c>
      <c r="D153" s="1" t="s">
        <v>157</v>
      </c>
      <c r="E153" s="1">
        <v>-4.5</v>
      </c>
      <c r="F153" s="1">
        <v>1.7210000000000001</v>
      </c>
      <c r="G153" s="1">
        <v>1.2999999999999999E-2</v>
      </c>
      <c r="H153" s="1">
        <v>-14.05</v>
      </c>
      <c r="I153" s="1">
        <v>-3.0510000000000002</v>
      </c>
      <c r="J153" s="1">
        <v>9.0999999999999998E-2</v>
      </c>
      <c r="K153" s="1" t="s">
        <v>12</v>
      </c>
      <c r="L153" s="1" t="s">
        <v>819</v>
      </c>
      <c r="M153" s="1" t="s">
        <v>835</v>
      </c>
      <c r="N153" s="1" t="s">
        <v>836</v>
      </c>
      <c r="O153" s="1" t="s">
        <v>837</v>
      </c>
      <c r="AL153">
        <v>664</v>
      </c>
      <c r="AM153">
        <v>4211</v>
      </c>
      <c r="AN153">
        <v>3146</v>
      </c>
      <c r="AO153">
        <v>2798</v>
      </c>
      <c r="AP153">
        <v>18</v>
      </c>
    </row>
    <row r="154" spans="1:42" x14ac:dyDescent="0.2">
      <c r="A154" s="1">
        <v>7</v>
      </c>
      <c r="B154" s="1" t="s">
        <v>264</v>
      </c>
      <c r="C154" s="1" t="s">
        <v>157</v>
      </c>
      <c r="D154" s="1" t="s">
        <v>157</v>
      </c>
      <c r="E154" s="1">
        <v>-4.5</v>
      </c>
      <c r="F154" s="1">
        <v>1.8</v>
      </c>
      <c r="G154" s="1">
        <v>1.6E-2</v>
      </c>
      <c r="H154" s="1">
        <v>-14.05</v>
      </c>
      <c r="I154" s="1">
        <v>-3.073</v>
      </c>
      <c r="J154" s="1">
        <v>0.11799999999999999</v>
      </c>
      <c r="K154" s="1" t="s">
        <v>12</v>
      </c>
      <c r="L154" s="1" t="s">
        <v>819</v>
      </c>
      <c r="M154" s="1" t="s">
        <v>838</v>
      </c>
      <c r="N154" s="1" t="s">
        <v>839</v>
      </c>
      <c r="O154" s="1" t="s">
        <v>840</v>
      </c>
      <c r="AL154">
        <v>646</v>
      </c>
      <c r="AM154">
        <v>3844</v>
      </c>
      <c r="AN154">
        <v>2905</v>
      </c>
      <c r="AO154">
        <v>2594</v>
      </c>
      <c r="AP154">
        <v>18</v>
      </c>
    </row>
    <row r="155" spans="1:42" x14ac:dyDescent="0.2">
      <c r="F155" s="31"/>
      <c r="G155" s="29"/>
      <c r="H155" s="29"/>
      <c r="I155" s="31"/>
    </row>
    <row r="156" spans="1:42" x14ac:dyDescent="0.2">
      <c r="E156" s="30" t="s">
        <v>815</v>
      </c>
      <c r="F156" s="31"/>
      <c r="G156" s="29"/>
      <c r="H156" s="29"/>
      <c r="I156" s="31"/>
      <c r="L156" s="30" t="s">
        <v>816</v>
      </c>
      <c r="M156" s="31"/>
      <c r="N156" s="29"/>
      <c r="O156" s="29"/>
      <c r="P156" s="31"/>
    </row>
    <row r="157" spans="1:42" x14ac:dyDescent="0.2">
      <c r="B157" s="30"/>
      <c r="C157" s="30"/>
      <c r="D157" s="30"/>
      <c r="E157" s="33"/>
      <c r="F157" s="34" t="s">
        <v>810</v>
      </c>
      <c r="G157" s="35"/>
      <c r="H157" s="35"/>
      <c r="I157" s="34"/>
      <c r="J157" s="33"/>
      <c r="L157" s="33"/>
      <c r="M157" s="34" t="s">
        <v>810</v>
      </c>
      <c r="N157" s="35"/>
      <c r="O157" s="35"/>
      <c r="P157" s="34"/>
      <c r="Q157" s="33"/>
    </row>
    <row r="158" spans="1:42" x14ac:dyDescent="0.2">
      <c r="A158" s="30" t="s">
        <v>807</v>
      </c>
      <c r="B158" s="30"/>
      <c r="C158" s="30"/>
      <c r="D158" s="30"/>
      <c r="E158" s="36"/>
      <c r="F158" s="34">
        <f>AVERAGE(F49:F50,F67:F68,F124:F130,F148:F154)</f>
        <v>1.6659444444444444</v>
      </c>
      <c r="G158" s="34"/>
      <c r="H158" s="34"/>
      <c r="I158" s="34"/>
      <c r="J158" s="36"/>
      <c r="L158" s="36"/>
      <c r="M158" s="34">
        <f>AVERAGE(I49:I50,I67:I68,I124:I130,I148:I154)</f>
        <v>-3.2479999999999998</v>
      </c>
      <c r="N158" s="34"/>
      <c r="O158" s="34"/>
      <c r="P158" s="34"/>
      <c r="Q158" s="36"/>
    </row>
    <row r="159" spans="1:42" x14ac:dyDescent="0.2">
      <c r="A159" s="30" t="s">
        <v>808</v>
      </c>
      <c r="E159" s="36"/>
      <c r="F159" s="34">
        <f>STDEV(F49:F50,F67:F68,F124:F130,F148:F154)</f>
        <v>0.43503488328317147</v>
      </c>
      <c r="G159" s="34"/>
      <c r="H159" s="34"/>
      <c r="I159" s="34"/>
      <c r="J159" s="36"/>
      <c r="L159" s="36"/>
      <c r="M159" s="34">
        <f>STDEV(I49:I50,I67:I68,I124:I130,I148:I154)</f>
        <v>1.0747537611280187</v>
      </c>
      <c r="N159" s="34"/>
      <c r="O159" s="34"/>
      <c r="P159" s="34"/>
      <c r="Q159" s="36"/>
    </row>
    <row r="160" spans="1:42" x14ac:dyDescent="0.2">
      <c r="A160" s="30" t="s">
        <v>817</v>
      </c>
      <c r="B160" s="30"/>
      <c r="C160" s="30"/>
      <c r="D160" s="30"/>
      <c r="E160" s="33"/>
      <c r="F160" s="37">
        <v>18</v>
      </c>
      <c r="G160" s="35"/>
      <c r="H160" s="35"/>
      <c r="I160" s="37"/>
      <c r="J160" s="33"/>
      <c r="K160" s="30"/>
      <c r="L160" s="33"/>
      <c r="M160" s="37">
        <v>18</v>
      </c>
      <c r="N160" s="35"/>
      <c r="O160" s="35"/>
      <c r="P160" s="37"/>
      <c r="Q160" s="33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0"/>
  <sheetViews>
    <sheetView tabSelected="1" topLeftCell="Q169" zoomScale="80" zoomScaleNormal="80" workbookViewId="0">
      <selection activeCell="R199" sqref="R199"/>
    </sheetView>
  </sheetViews>
  <sheetFormatPr defaultRowHeight="12.75" x14ac:dyDescent="0.2"/>
  <cols>
    <col min="1" max="1" width="9.140625" style="44"/>
    <col min="2" max="2" width="8.42578125" style="44" bestFit="1" customWidth="1"/>
    <col min="3" max="3" width="9" style="44" bestFit="1" customWidth="1"/>
    <col min="4" max="4" width="5.28515625" style="44" bestFit="1" customWidth="1"/>
    <col min="5" max="5" width="12.42578125" style="44" bestFit="1" customWidth="1"/>
    <col min="6" max="6" width="14.7109375" style="44" bestFit="1" customWidth="1"/>
    <col min="7" max="7" width="5.85546875" style="44" bestFit="1" customWidth="1"/>
    <col min="8" max="8" width="8.42578125" style="44" bestFit="1" customWidth="1"/>
    <col min="9" max="9" width="8.28515625" style="44" bestFit="1" customWidth="1"/>
    <col min="10" max="10" width="6.5703125" style="44" bestFit="1" customWidth="1"/>
    <col min="11" max="11" width="8.85546875" style="44" bestFit="1" customWidth="1"/>
    <col min="12" max="12" width="8.5703125" style="44" bestFit="1" customWidth="1"/>
    <col min="13" max="17" width="8.7109375" style="44"/>
    <col min="18" max="18" width="9.28515625" style="44" bestFit="1" customWidth="1"/>
    <col min="19" max="19" width="10" style="44" bestFit="1" customWidth="1"/>
    <col min="20" max="25" width="9.140625" style="44"/>
    <col min="26" max="26" width="19.7109375" style="44" customWidth="1"/>
    <col min="27" max="27" width="9.140625" style="44"/>
  </cols>
  <sheetData>
    <row r="1" spans="2:26" ht="13.5" thickBot="1" x14ac:dyDescent="0.25"/>
    <row r="2" spans="2:26" x14ac:dyDescent="0.2">
      <c r="B2" s="84" t="s">
        <v>870</v>
      </c>
      <c r="V2" s="45" t="s">
        <v>843</v>
      </c>
      <c r="W2" s="45" t="s">
        <v>844</v>
      </c>
      <c r="X2" s="45" t="s">
        <v>845</v>
      </c>
      <c r="Y2" s="45" t="s">
        <v>846</v>
      </c>
      <c r="Z2" s="45" t="s">
        <v>847</v>
      </c>
    </row>
    <row r="3" spans="2:26" ht="39.75" thickBot="1" x14ac:dyDescent="0.25">
      <c r="V3" s="46" t="s">
        <v>848</v>
      </c>
      <c r="W3" s="47" t="s">
        <v>849</v>
      </c>
      <c r="X3" s="47" t="s">
        <v>850</v>
      </c>
      <c r="Y3" s="47"/>
      <c r="Z3" s="48" t="s">
        <v>851</v>
      </c>
    </row>
    <row r="4" spans="2:26" ht="21.75" thickBot="1" x14ac:dyDescent="0.3">
      <c r="B4" s="49" t="s">
        <v>852</v>
      </c>
      <c r="C4" s="50" t="s">
        <v>193</v>
      </c>
      <c r="D4" s="51" t="s">
        <v>853</v>
      </c>
      <c r="E4" s="51" t="s">
        <v>854</v>
      </c>
      <c r="F4" s="51" t="s">
        <v>855</v>
      </c>
      <c r="G4" s="51" t="s">
        <v>856</v>
      </c>
      <c r="H4" s="51" t="s">
        <v>857</v>
      </c>
      <c r="I4" s="51" t="s">
        <v>858</v>
      </c>
      <c r="J4" s="51" t="s">
        <v>859</v>
      </c>
      <c r="K4" s="51" t="s">
        <v>860</v>
      </c>
      <c r="L4" s="50" t="s">
        <v>861</v>
      </c>
      <c r="V4" s="52" t="s">
        <v>862</v>
      </c>
      <c r="W4" s="53" t="s">
        <v>863</v>
      </c>
      <c r="X4" s="53" t="s">
        <v>850</v>
      </c>
      <c r="Y4" s="53"/>
      <c r="Z4" s="54" t="s">
        <v>851</v>
      </c>
    </row>
    <row r="5" spans="2:26" x14ac:dyDescent="0.2">
      <c r="B5" s="55">
        <v>1</v>
      </c>
      <c r="C5" s="56">
        <v>9</v>
      </c>
      <c r="D5" s="57">
        <v>1</v>
      </c>
      <c r="E5" s="57">
        <v>1256.3979999999999</v>
      </c>
      <c r="F5" s="57">
        <v>1210.7270000000001</v>
      </c>
      <c r="G5" s="57">
        <v>1.6</v>
      </c>
      <c r="H5" s="57">
        <v>1.5229999999999999</v>
      </c>
      <c r="I5" s="57">
        <v>1.4E-2</v>
      </c>
      <c r="J5" s="57">
        <v>-3.0169999999999999</v>
      </c>
      <c r="K5" s="57">
        <v>-3.3050000000000002</v>
      </c>
      <c r="L5" s="105">
        <v>0.123</v>
      </c>
    </row>
    <row r="6" spans="2:26" x14ac:dyDescent="0.2">
      <c r="B6" s="55"/>
      <c r="C6" s="56"/>
      <c r="D6" s="57">
        <v>2</v>
      </c>
      <c r="E6" s="57">
        <v>1152.7249999999999</v>
      </c>
      <c r="F6" s="57">
        <v>1159.5940000000001</v>
      </c>
      <c r="G6" s="57">
        <v>1.5349999999999999</v>
      </c>
      <c r="H6" s="57"/>
      <c r="I6" s="57"/>
      <c r="J6" s="57">
        <v>-3.2</v>
      </c>
      <c r="K6" s="57"/>
      <c r="L6" s="56"/>
    </row>
    <row r="7" spans="2:26" ht="15" x14ac:dyDescent="0.25">
      <c r="B7" s="58" t="s">
        <v>864</v>
      </c>
      <c r="C7" s="56"/>
      <c r="D7" s="57">
        <v>3</v>
      </c>
      <c r="E7" s="57">
        <v>1059.4690000000001</v>
      </c>
      <c r="F7" s="57">
        <v>1111.046</v>
      </c>
      <c r="G7" s="57">
        <v>1.516</v>
      </c>
      <c r="H7" s="57"/>
      <c r="I7" s="57"/>
      <c r="J7" s="57">
        <v>-3.1760000000000002</v>
      </c>
      <c r="K7" s="57"/>
      <c r="L7" s="56"/>
    </row>
    <row r="8" spans="2:26" x14ac:dyDescent="0.2">
      <c r="B8" s="55">
        <v>444</v>
      </c>
      <c r="C8" s="56"/>
      <c r="D8" s="57">
        <v>4</v>
      </c>
      <c r="E8" s="57">
        <v>975.30499999999995</v>
      </c>
      <c r="F8" s="57">
        <v>1064.3340000000001</v>
      </c>
      <c r="G8" s="57">
        <v>1.538</v>
      </c>
      <c r="H8" s="57"/>
      <c r="I8" s="57"/>
      <c r="J8" s="57">
        <v>-3.2829999999999999</v>
      </c>
      <c r="K8" s="57"/>
      <c r="L8" s="56"/>
    </row>
    <row r="9" spans="2:26" x14ac:dyDescent="0.2">
      <c r="B9" s="55"/>
      <c r="C9" s="56"/>
      <c r="D9" s="57">
        <v>5</v>
      </c>
      <c r="E9" s="57">
        <v>898.97199999999998</v>
      </c>
      <c r="F9" s="57">
        <v>1019.981</v>
      </c>
      <c r="G9" s="57">
        <v>1.474</v>
      </c>
      <c r="H9" s="57"/>
      <c r="I9" s="57"/>
      <c r="J9" s="57">
        <v>-3.4129999999999998</v>
      </c>
      <c r="K9" s="57"/>
      <c r="L9" s="56"/>
    </row>
    <row r="10" spans="2:26" ht="15" x14ac:dyDescent="0.25">
      <c r="B10" s="58" t="s">
        <v>865</v>
      </c>
      <c r="C10" s="56"/>
      <c r="D10" s="57">
        <v>6</v>
      </c>
      <c r="E10" s="57">
        <v>830.08199999999999</v>
      </c>
      <c r="F10" s="57">
        <v>977.52300000000002</v>
      </c>
      <c r="G10" s="57">
        <v>1.5249999999999999</v>
      </c>
      <c r="H10" s="57"/>
      <c r="I10" s="57"/>
      <c r="J10" s="57">
        <v>-3.45</v>
      </c>
      <c r="K10" s="57"/>
      <c r="L10" s="56"/>
    </row>
    <row r="11" spans="2:26" x14ac:dyDescent="0.2">
      <c r="B11" s="55">
        <v>1828.71</v>
      </c>
      <c r="C11" s="56"/>
      <c r="D11" s="57">
        <v>7</v>
      </c>
      <c r="E11" s="57">
        <v>768.31299999999999</v>
      </c>
      <c r="F11" s="57">
        <v>937.072</v>
      </c>
      <c r="G11" s="57">
        <v>1.504</v>
      </c>
      <c r="H11" s="57"/>
      <c r="I11" s="57"/>
      <c r="J11" s="57">
        <v>-3.6219999999999999</v>
      </c>
      <c r="K11" s="57"/>
      <c r="L11" s="56"/>
    </row>
    <row r="12" spans="2:26" x14ac:dyDescent="0.2">
      <c r="B12" s="55"/>
      <c r="C12" s="56"/>
      <c r="D12" s="57">
        <v>8</v>
      </c>
      <c r="E12" s="57">
        <v>712.03399999999999</v>
      </c>
      <c r="F12" s="57">
        <v>898.50699999999995</v>
      </c>
      <c r="G12" s="57">
        <v>1.482</v>
      </c>
      <c r="H12" s="57"/>
      <c r="I12" s="57"/>
      <c r="J12" s="57">
        <v>-3.605</v>
      </c>
      <c r="K12" s="57"/>
      <c r="L12" s="56"/>
    </row>
    <row r="13" spans="2:26" ht="13.5" thickBot="1" x14ac:dyDescent="0.25">
      <c r="B13" s="59"/>
      <c r="C13" s="60"/>
      <c r="D13" s="61"/>
      <c r="E13" s="61"/>
      <c r="F13" s="61"/>
      <c r="G13" s="61"/>
      <c r="H13" s="61"/>
      <c r="I13" s="61"/>
      <c r="J13" s="61"/>
      <c r="K13" s="61"/>
      <c r="L13" s="60"/>
    </row>
    <row r="14" spans="2:26" x14ac:dyDescent="0.2"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</row>
    <row r="15" spans="2:26" ht="13.5" thickBot="1" x14ac:dyDescent="0.25"/>
    <row r="16" spans="2:26" ht="15" x14ac:dyDescent="0.25">
      <c r="B16" s="49" t="s">
        <v>852</v>
      </c>
      <c r="C16" s="50" t="s">
        <v>193</v>
      </c>
      <c r="D16" s="51" t="s">
        <v>853</v>
      </c>
      <c r="E16" s="51" t="s">
        <v>854</v>
      </c>
      <c r="F16" s="51" t="s">
        <v>855</v>
      </c>
      <c r="G16" s="51" t="s">
        <v>856</v>
      </c>
      <c r="H16" s="51" t="s">
        <v>857</v>
      </c>
      <c r="I16" s="51" t="s">
        <v>858</v>
      </c>
      <c r="J16" s="51" t="s">
        <v>859</v>
      </c>
      <c r="K16" s="51" t="s">
        <v>860</v>
      </c>
      <c r="L16" s="50" t="s">
        <v>861</v>
      </c>
    </row>
    <row r="17" spans="2:12" x14ac:dyDescent="0.2">
      <c r="B17" s="55">
        <v>2</v>
      </c>
      <c r="C17" s="56">
        <v>9</v>
      </c>
      <c r="D17" s="57">
        <v>1</v>
      </c>
      <c r="E17" s="57">
        <v>1437.3689999999999</v>
      </c>
      <c r="F17" s="57">
        <v>1396.0239999999999</v>
      </c>
      <c r="G17" s="57">
        <v>1.657</v>
      </c>
      <c r="H17" s="57">
        <v>1.597</v>
      </c>
      <c r="I17" s="57">
        <v>2.3E-2</v>
      </c>
      <c r="J17" s="57">
        <v>-3.157</v>
      </c>
      <c r="K17" s="57">
        <v>-3.427</v>
      </c>
      <c r="L17" s="105">
        <v>0.16300000000000001</v>
      </c>
    </row>
    <row r="18" spans="2:12" x14ac:dyDescent="0.2">
      <c r="B18" s="55"/>
      <c r="C18" s="56"/>
      <c r="D18" s="57">
        <v>2</v>
      </c>
      <c r="E18" s="57">
        <v>1314.3530000000001</v>
      </c>
      <c r="F18" s="57">
        <v>1336.5450000000001</v>
      </c>
      <c r="G18" s="57">
        <v>1.603</v>
      </c>
      <c r="H18" s="57"/>
      <c r="I18" s="57"/>
      <c r="J18" s="57">
        <v>-3.23</v>
      </c>
      <c r="K18" s="57"/>
      <c r="L18" s="56"/>
    </row>
    <row r="19" spans="2:12" ht="15" x14ac:dyDescent="0.25">
      <c r="B19" s="58" t="s">
        <v>864</v>
      </c>
      <c r="C19" s="56"/>
      <c r="D19" s="57">
        <v>3</v>
      </c>
      <c r="E19" s="57">
        <v>1204.5409999999999</v>
      </c>
      <c r="F19" s="57">
        <v>1279.7059999999999</v>
      </c>
      <c r="G19" s="57">
        <v>1.6220000000000001</v>
      </c>
      <c r="H19" s="57"/>
      <c r="I19" s="57"/>
      <c r="J19" s="57">
        <v>-3.1859999999999999</v>
      </c>
      <c r="K19" s="57"/>
      <c r="L19" s="56"/>
    </row>
    <row r="20" spans="2:12" x14ac:dyDescent="0.2">
      <c r="B20" s="55">
        <v>494</v>
      </c>
      <c r="C20" s="56"/>
      <c r="D20" s="57">
        <v>4</v>
      </c>
      <c r="E20" s="57">
        <v>1105.5150000000001</v>
      </c>
      <c r="F20" s="57">
        <v>1225.7090000000001</v>
      </c>
      <c r="G20" s="57">
        <v>1.581</v>
      </c>
      <c r="H20" s="57"/>
      <c r="I20" s="57"/>
      <c r="J20" s="57">
        <v>-3.3719999999999999</v>
      </c>
      <c r="K20" s="57"/>
      <c r="L20" s="56"/>
    </row>
    <row r="21" spans="2:12" x14ac:dyDescent="0.2">
      <c r="B21" s="55"/>
      <c r="C21" s="56"/>
      <c r="D21" s="57">
        <v>5</v>
      </c>
      <c r="E21" s="57">
        <v>1013.307</v>
      </c>
      <c r="F21" s="57">
        <v>1173.9580000000001</v>
      </c>
      <c r="G21" s="57">
        <v>1.552</v>
      </c>
      <c r="H21" s="57"/>
      <c r="I21" s="57"/>
      <c r="J21" s="57">
        <v>-3.5009999999999999</v>
      </c>
      <c r="K21" s="57"/>
      <c r="L21" s="56"/>
    </row>
    <row r="22" spans="2:12" ht="15" x14ac:dyDescent="0.25">
      <c r="B22" s="58" t="s">
        <v>865</v>
      </c>
      <c r="C22" s="56"/>
      <c r="D22" s="57">
        <v>6</v>
      </c>
      <c r="E22" s="57">
        <v>930.27</v>
      </c>
      <c r="F22" s="57">
        <v>1124.6669999999999</v>
      </c>
      <c r="G22" s="57">
        <v>1.6140000000000001</v>
      </c>
      <c r="H22" s="57"/>
      <c r="I22" s="57"/>
      <c r="J22" s="57">
        <v>-3.6070000000000002</v>
      </c>
      <c r="K22" s="57"/>
      <c r="L22" s="56"/>
    </row>
    <row r="23" spans="2:12" x14ac:dyDescent="0.2">
      <c r="B23" s="55">
        <v>2377.2600000000002</v>
      </c>
      <c r="C23" s="56"/>
      <c r="D23" s="57">
        <v>7</v>
      </c>
      <c r="E23" s="57">
        <v>857.16399999999999</v>
      </c>
      <c r="F23" s="57">
        <v>1077.5150000000001</v>
      </c>
      <c r="G23" s="57">
        <v>1.5569999999999999</v>
      </c>
      <c r="H23" s="57"/>
      <c r="I23" s="57"/>
      <c r="J23" s="57">
        <v>-3.7559999999999998</v>
      </c>
      <c r="K23" s="57"/>
      <c r="L23" s="56"/>
    </row>
    <row r="24" spans="2:12" x14ac:dyDescent="0.2">
      <c r="B24" s="55"/>
      <c r="C24" s="56"/>
      <c r="D24" s="57">
        <v>8</v>
      </c>
      <c r="E24" s="57">
        <v>791.95299999999997</v>
      </c>
      <c r="F24" s="57">
        <v>1032.79</v>
      </c>
      <c r="G24" s="57">
        <v>1.5669999999999999</v>
      </c>
      <c r="H24" s="57"/>
      <c r="I24" s="57"/>
      <c r="J24" s="57">
        <v>-3.8260000000000001</v>
      </c>
      <c r="K24" s="57"/>
      <c r="L24" s="56"/>
    </row>
    <row r="25" spans="2:12" ht="13.5" thickBot="1" x14ac:dyDescent="0.25">
      <c r="B25" s="59"/>
      <c r="C25" s="60"/>
      <c r="D25" s="61"/>
      <c r="E25" s="61"/>
      <c r="F25" s="61"/>
      <c r="G25" s="61"/>
      <c r="H25" s="61"/>
      <c r="I25" s="61"/>
      <c r="J25" s="61"/>
      <c r="K25" s="61"/>
      <c r="L25" s="60"/>
    </row>
    <row r="26" spans="2:12" x14ac:dyDescent="0.2"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</row>
    <row r="27" spans="2:12" ht="13.5" thickBot="1" x14ac:dyDescent="0.25"/>
    <row r="28" spans="2:12" ht="15" x14ac:dyDescent="0.25">
      <c r="B28" s="49" t="s">
        <v>852</v>
      </c>
      <c r="C28" s="50" t="s">
        <v>193</v>
      </c>
      <c r="D28" s="51" t="s">
        <v>853</v>
      </c>
      <c r="E28" s="51" t="s">
        <v>854</v>
      </c>
      <c r="F28" s="51" t="s">
        <v>855</v>
      </c>
      <c r="G28" s="51" t="s">
        <v>856</v>
      </c>
      <c r="H28" s="51" t="s">
        <v>857</v>
      </c>
      <c r="I28" s="51" t="s">
        <v>858</v>
      </c>
      <c r="J28" s="51" t="s">
        <v>859</v>
      </c>
      <c r="K28" s="51" t="s">
        <v>860</v>
      </c>
      <c r="L28" s="50" t="s">
        <v>861</v>
      </c>
    </row>
    <row r="29" spans="2:12" x14ac:dyDescent="0.2">
      <c r="B29" s="55">
        <v>4</v>
      </c>
      <c r="C29" s="56">
        <v>9</v>
      </c>
      <c r="D29" s="57">
        <v>1</v>
      </c>
      <c r="E29" s="57">
        <v>1389.7739999999999</v>
      </c>
      <c r="F29" s="57">
        <v>1342.318</v>
      </c>
      <c r="G29" s="57">
        <v>1.7430000000000001</v>
      </c>
      <c r="H29" s="57">
        <v>1.7310000000000001</v>
      </c>
      <c r="I29" s="57">
        <v>2.1000000000000001E-2</v>
      </c>
      <c r="J29" s="57">
        <v>-2.762</v>
      </c>
      <c r="K29" s="57">
        <v>-3.1850000000000001</v>
      </c>
      <c r="L29" s="105">
        <v>0.19</v>
      </c>
    </row>
    <row r="30" spans="2:12" x14ac:dyDescent="0.2">
      <c r="B30" s="55"/>
      <c r="C30" s="56"/>
      <c r="D30" s="57">
        <v>2</v>
      </c>
      <c r="E30" s="57">
        <v>1274.6389999999999</v>
      </c>
      <c r="F30" s="57">
        <v>1285.306</v>
      </c>
      <c r="G30" s="57">
        <v>1.7430000000000001</v>
      </c>
      <c r="H30" s="57"/>
      <c r="I30" s="57"/>
      <c r="J30" s="57">
        <v>-2.9289999999999998</v>
      </c>
      <c r="K30" s="57"/>
      <c r="L30" s="56"/>
    </row>
    <row r="31" spans="2:12" ht="15" x14ac:dyDescent="0.25">
      <c r="B31" s="58" t="s">
        <v>864</v>
      </c>
      <c r="C31" s="56"/>
      <c r="D31" s="57">
        <v>3</v>
      </c>
      <c r="E31" s="57">
        <v>1170.6279999999999</v>
      </c>
      <c r="F31" s="57">
        <v>1230.83</v>
      </c>
      <c r="G31" s="57">
        <v>1.732</v>
      </c>
      <c r="H31" s="57"/>
      <c r="I31" s="57"/>
      <c r="J31" s="57">
        <v>-3.0539999999999998</v>
      </c>
      <c r="K31" s="57"/>
      <c r="L31" s="56"/>
    </row>
    <row r="32" spans="2:12" x14ac:dyDescent="0.2">
      <c r="B32" s="55">
        <v>466</v>
      </c>
      <c r="C32" s="56"/>
      <c r="D32" s="57">
        <v>4</v>
      </c>
      <c r="E32" s="57">
        <v>1077.115</v>
      </c>
      <c r="F32" s="57">
        <v>1178.8579999999999</v>
      </c>
      <c r="G32" s="57">
        <v>1.7430000000000001</v>
      </c>
      <c r="H32" s="57"/>
      <c r="I32" s="57"/>
      <c r="J32" s="57">
        <v>-3.0960000000000001</v>
      </c>
      <c r="K32" s="57"/>
      <c r="L32" s="56"/>
    </row>
    <row r="33" spans="2:12" x14ac:dyDescent="0.2">
      <c r="B33" s="55"/>
      <c r="C33" s="56"/>
      <c r="D33" s="57">
        <v>5</v>
      </c>
      <c r="E33" s="57">
        <v>992.99400000000003</v>
      </c>
      <c r="F33" s="57">
        <v>1129.3610000000001</v>
      </c>
      <c r="G33" s="57">
        <v>1.734</v>
      </c>
      <c r="H33" s="57"/>
      <c r="I33" s="57"/>
      <c r="J33" s="57">
        <v>-3.26</v>
      </c>
      <c r="K33" s="57"/>
      <c r="L33" s="56"/>
    </row>
    <row r="34" spans="2:12" ht="15" x14ac:dyDescent="0.25">
      <c r="B34" s="58" t="s">
        <v>865</v>
      </c>
      <c r="C34" s="56"/>
      <c r="D34" s="57">
        <v>6</v>
      </c>
      <c r="E34" s="57">
        <v>916.42899999999997</v>
      </c>
      <c r="F34" s="57">
        <v>1082.0350000000001</v>
      </c>
      <c r="G34" s="57">
        <v>1.655</v>
      </c>
      <c r="H34" s="57"/>
      <c r="I34" s="57"/>
      <c r="J34" s="57">
        <v>-3.3439999999999999</v>
      </c>
      <c r="K34" s="57"/>
      <c r="L34" s="56"/>
    </row>
    <row r="35" spans="2:12" x14ac:dyDescent="0.2">
      <c r="B35" s="55">
        <v>2008.04</v>
      </c>
      <c r="C35" s="56"/>
      <c r="D35" s="57">
        <v>7</v>
      </c>
      <c r="E35" s="57">
        <v>846.72900000000004</v>
      </c>
      <c r="F35" s="57">
        <v>1036.9259999999999</v>
      </c>
      <c r="G35" s="57">
        <v>1.629</v>
      </c>
      <c r="H35" s="57"/>
      <c r="I35" s="57"/>
      <c r="J35" s="57">
        <v>-3.4289999999999998</v>
      </c>
      <c r="K35" s="57"/>
      <c r="L35" s="56"/>
    </row>
    <row r="36" spans="2:12" x14ac:dyDescent="0.2">
      <c r="B36" s="55"/>
      <c r="C36" s="56"/>
      <c r="D36" s="57">
        <v>8</v>
      </c>
      <c r="E36" s="57">
        <v>783.74900000000002</v>
      </c>
      <c r="F36" s="57">
        <v>993.77700000000004</v>
      </c>
      <c r="G36" s="57">
        <v>1.69</v>
      </c>
      <c r="H36" s="57"/>
      <c r="I36" s="57"/>
      <c r="J36" s="57">
        <v>-3.5590000000000002</v>
      </c>
      <c r="K36" s="57"/>
      <c r="L36" s="56"/>
    </row>
    <row r="37" spans="2:12" ht="13.5" thickBot="1" x14ac:dyDescent="0.25"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0"/>
    </row>
    <row r="38" spans="2:12" x14ac:dyDescent="0.2"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</row>
    <row r="39" spans="2:12" ht="13.5" thickBot="1" x14ac:dyDescent="0.25"/>
    <row r="40" spans="2:12" ht="15" x14ac:dyDescent="0.25">
      <c r="B40" s="49" t="s">
        <v>852</v>
      </c>
      <c r="C40" s="50" t="s">
        <v>193</v>
      </c>
      <c r="D40" s="51" t="s">
        <v>853</v>
      </c>
      <c r="E40" s="51" t="s">
        <v>854</v>
      </c>
      <c r="F40" s="51" t="s">
        <v>855</v>
      </c>
      <c r="G40" s="51" t="s">
        <v>856</v>
      </c>
      <c r="H40" s="51" t="s">
        <v>857</v>
      </c>
      <c r="I40" s="51" t="s">
        <v>858</v>
      </c>
      <c r="J40" s="51" t="s">
        <v>859</v>
      </c>
      <c r="K40" s="51" t="s">
        <v>860</v>
      </c>
      <c r="L40" s="50" t="s">
        <v>861</v>
      </c>
    </row>
    <row r="41" spans="2:12" x14ac:dyDescent="0.2">
      <c r="B41" s="55">
        <v>5</v>
      </c>
      <c r="C41" s="56">
        <v>18</v>
      </c>
      <c r="D41" s="57">
        <v>1</v>
      </c>
      <c r="E41" s="57">
        <v>2548.7289999999998</v>
      </c>
      <c r="F41" s="57">
        <v>2586.9540000000002</v>
      </c>
      <c r="G41" s="57">
        <v>1.8440000000000001</v>
      </c>
      <c r="H41" s="57">
        <v>1.855</v>
      </c>
      <c r="I41" s="57">
        <v>1.0999999999999999E-2</v>
      </c>
      <c r="J41" s="57">
        <v>-2.6579999999999999</v>
      </c>
      <c r="K41" s="57">
        <v>-2.8490000000000002</v>
      </c>
      <c r="L41" s="105">
        <v>0.10199999999999999</v>
      </c>
    </row>
    <row r="42" spans="2:12" x14ac:dyDescent="0.2">
      <c r="B42" s="55"/>
      <c r="C42" s="56"/>
      <c r="D42" s="57">
        <v>2</v>
      </c>
      <c r="E42" s="57">
        <v>2309.5630000000001</v>
      </c>
      <c r="F42" s="57">
        <v>2471.2930000000001</v>
      </c>
      <c r="G42" s="57">
        <v>1.85</v>
      </c>
      <c r="H42" s="57"/>
      <c r="I42" s="57"/>
      <c r="J42" s="57">
        <v>-2.6560000000000001</v>
      </c>
      <c r="K42" s="57"/>
      <c r="L42" s="56"/>
    </row>
    <row r="43" spans="2:12" ht="15" x14ac:dyDescent="0.25">
      <c r="B43" s="58" t="s">
        <v>864</v>
      </c>
      <c r="C43" s="56"/>
      <c r="D43" s="57">
        <v>3</v>
      </c>
      <c r="E43" s="57">
        <v>2096.681</v>
      </c>
      <c r="F43" s="57">
        <v>2360.9209999999998</v>
      </c>
      <c r="G43" s="57">
        <v>1.8859999999999999</v>
      </c>
      <c r="H43" s="57"/>
      <c r="I43" s="57"/>
      <c r="J43" s="57">
        <v>-2.73</v>
      </c>
      <c r="K43" s="57"/>
      <c r="L43" s="56"/>
    </row>
    <row r="44" spans="2:12" x14ac:dyDescent="0.2">
      <c r="B44" s="55">
        <v>632</v>
      </c>
      <c r="C44" s="56"/>
      <c r="D44" s="57">
        <v>4</v>
      </c>
      <c r="E44" s="57">
        <v>1906.502</v>
      </c>
      <c r="F44" s="57">
        <v>2256.08</v>
      </c>
      <c r="G44" s="57">
        <v>1.857</v>
      </c>
      <c r="H44" s="57"/>
      <c r="I44" s="57"/>
      <c r="J44" s="57">
        <v>-2.806</v>
      </c>
      <c r="K44" s="57"/>
      <c r="L44" s="56"/>
    </row>
    <row r="45" spans="2:12" x14ac:dyDescent="0.2">
      <c r="B45" s="55"/>
      <c r="C45" s="56"/>
      <c r="D45" s="57">
        <v>5</v>
      </c>
      <c r="E45" s="57">
        <v>1736.636</v>
      </c>
      <c r="F45" s="57">
        <v>2156.4340000000002</v>
      </c>
      <c r="G45" s="57">
        <v>1.839</v>
      </c>
      <c r="H45" s="57"/>
      <c r="I45" s="57"/>
      <c r="J45" s="57">
        <v>-2.899</v>
      </c>
      <c r="K45" s="57"/>
      <c r="L45" s="56"/>
    </row>
    <row r="46" spans="2:12" ht="15" x14ac:dyDescent="0.25">
      <c r="B46" s="58" t="s">
        <v>865</v>
      </c>
      <c r="C46" s="56"/>
      <c r="D46" s="57">
        <v>6</v>
      </c>
      <c r="E46" s="57">
        <v>1584.9059999999999</v>
      </c>
      <c r="F46" s="57">
        <v>2061.1239999999998</v>
      </c>
      <c r="G46" s="57">
        <v>1.873</v>
      </c>
      <c r="H46" s="57"/>
      <c r="I46" s="57"/>
      <c r="J46" s="57">
        <v>-2.9609999999999999</v>
      </c>
      <c r="K46" s="57"/>
      <c r="L46" s="56"/>
    </row>
    <row r="47" spans="2:12" x14ac:dyDescent="0.2">
      <c r="B47" s="55">
        <v>3889.05</v>
      </c>
      <c r="C47" s="56"/>
      <c r="D47" s="57">
        <v>7</v>
      </c>
      <c r="E47" s="57">
        <v>1448.6</v>
      </c>
      <c r="F47" s="57">
        <v>1970.9359999999999</v>
      </c>
      <c r="G47" s="57">
        <v>1.8859999999999999</v>
      </c>
      <c r="H47" s="57"/>
      <c r="I47" s="57"/>
      <c r="J47" s="57">
        <v>-3.06</v>
      </c>
      <c r="K47" s="57"/>
      <c r="L47" s="56"/>
    </row>
    <row r="48" spans="2:12" x14ac:dyDescent="0.2">
      <c r="B48" s="55"/>
      <c r="C48" s="56"/>
      <c r="D48" s="57">
        <v>8</v>
      </c>
      <c r="E48" s="57">
        <v>1326.5630000000001</v>
      </c>
      <c r="F48" s="57">
        <v>1884.5920000000001</v>
      </c>
      <c r="G48" s="57">
        <v>1.853</v>
      </c>
      <c r="H48" s="57"/>
      <c r="I48" s="57"/>
      <c r="J48" s="57">
        <v>-3.109</v>
      </c>
      <c r="K48" s="57"/>
      <c r="L48" s="56"/>
    </row>
    <row r="49" spans="2:12" ht="13.5" thickBot="1" x14ac:dyDescent="0.25">
      <c r="B49" s="59"/>
      <c r="C49" s="60"/>
      <c r="D49" s="61"/>
      <c r="E49" s="61"/>
      <c r="F49" s="61"/>
      <c r="G49" s="61"/>
      <c r="H49" s="61"/>
      <c r="I49" s="61"/>
      <c r="J49" s="61"/>
      <c r="K49" s="61"/>
      <c r="L49" s="60"/>
    </row>
    <row r="50" spans="2:12" x14ac:dyDescent="0.2"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</row>
    <row r="51" spans="2:12" ht="13.5" thickBot="1" x14ac:dyDescent="0.25"/>
    <row r="52" spans="2:12" ht="15" x14ac:dyDescent="0.25">
      <c r="B52" s="49" t="s">
        <v>852</v>
      </c>
      <c r="C52" s="50" t="s">
        <v>193</v>
      </c>
      <c r="D52" s="51" t="s">
        <v>853</v>
      </c>
      <c r="E52" s="51" t="s">
        <v>854</v>
      </c>
      <c r="F52" s="51" t="s">
        <v>855</v>
      </c>
      <c r="G52" s="51" t="s">
        <v>856</v>
      </c>
      <c r="H52" s="51" t="s">
        <v>857</v>
      </c>
      <c r="I52" s="51" t="s">
        <v>858</v>
      </c>
      <c r="J52" s="51" t="s">
        <v>859</v>
      </c>
      <c r="K52" s="51" t="s">
        <v>860</v>
      </c>
      <c r="L52" s="50" t="s">
        <v>861</v>
      </c>
    </row>
    <row r="53" spans="2:12" x14ac:dyDescent="0.2">
      <c r="B53" s="55">
        <v>6</v>
      </c>
      <c r="C53" s="56">
        <v>18</v>
      </c>
      <c r="D53" s="57">
        <v>1</v>
      </c>
      <c r="E53" s="57">
        <v>2340.6550000000002</v>
      </c>
      <c r="F53" s="57">
        <v>2338.627</v>
      </c>
      <c r="G53" s="57">
        <v>1.6120000000000001</v>
      </c>
      <c r="H53" s="57">
        <v>1.6279999999999999</v>
      </c>
      <c r="I53" s="57">
        <v>0.02</v>
      </c>
      <c r="J53" s="57">
        <v>-2.86</v>
      </c>
      <c r="K53" s="57">
        <v>-3.1059999999999999</v>
      </c>
      <c r="L53" s="105">
        <v>0.13400000000000001</v>
      </c>
    </row>
    <row r="54" spans="2:12" x14ac:dyDescent="0.2">
      <c r="B54" s="55"/>
      <c r="C54" s="56"/>
      <c r="D54" s="57">
        <v>2</v>
      </c>
      <c r="E54" s="57">
        <v>2123.1170000000002</v>
      </c>
      <c r="F54" s="57">
        <v>2234.7800000000002</v>
      </c>
      <c r="G54" s="57">
        <v>1.661</v>
      </c>
      <c r="H54" s="57"/>
      <c r="I54" s="57"/>
      <c r="J54" s="57">
        <v>-2.8919999999999999</v>
      </c>
      <c r="K54" s="57"/>
      <c r="L54" s="56"/>
    </row>
    <row r="55" spans="2:12" ht="15" x14ac:dyDescent="0.25">
      <c r="B55" s="58" t="s">
        <v>864</v>
      </c>
      <c r="C55" s="56"/>
      <c r="D55" s="57">
        <v>3</v>
      </c>
      <c r="E55" s="57">
        <v>1929.2809999999999</v>
      </c>
      <c r="F55" s="57">
        <v>2136.0770000000002</v>
      </c>
      <c r="G55" s="57">
        <v>1.647</v>
      </c>
      <c r="H55" s="57"/>
      <c r="I55" s="57"/>
      <c r="J55" s="57">
        <v>-2.9750000000000001</v>
      </c>
      <c r="K55" s="57"/>
      <c r="L55" s="56"/>
    </row>
    <row r="56" spans="2:12" x14ac:dyDescent="0.2">
      <c r="B56" s="55">
        <v>600</v>
      </c>
      <c r="C56" s="56"/>
      <c r="D56" s="57">
        <v>4</v>
      </c>
      <c r="E56" s="57">
        <v>1755.6120000000001</v>
      </c>
      <c r="F56" s="57">
        <v>2041.5930000000001</v>
      </c>
      <c r="G56" s="57">
        <v>1.5580000000000001</v>
      </c>
      <c r="H56" s="57"/>
      <c r="I56" s="57"/>
      <c r="J56" s="57">
        <v>-3.0259999999999998</v>
      </c>
      <c r="K56" s="57"/>
      <c r="L56" s="56"/>
    </row>
    <row r="57" spans="2:12" x14ac:dyDescent="0.2">
      <c r="B57" s="55"/>
      <c r="C57" s="56"/>
      <c r="D57" s="57">
        <v>5</v>
      </c>
      <c r="E57" s="57">
        <v>1601.0360000000001</v>
      </c>
      <c r="F57" s="57">
        <v>1952.249</v>
      </c>
      <c r="G57" s="57">
        <v>1.613</v>
      </c>
      <c r="H57" s="57"/>
      <c r="I57" s="57"/>
      <c r="J57" s="57">
        <v>-3.1440000000000001</v>
      </c>
      <c r="K57" s="57"/>
      <c r="L57" s="56"/>
    </row>
    <row r="58" spans="2:12" ht="15" x14ac:dyDescent="0.25">
      <c r="B58" s="58" t="s">
        <v>865</v>
      </c>
      <c r="C58" s="56"/>
      <c r="D58" s="57">
        <v>6</v>
      </c>
      <c r="E58" s="57">
        <v>1463.509</v>
      </c>
      <c r="F58" s="57">
        <v>1866.8050000000001</v>
      </c>
      <c r="G58" s="57">
        <v>1.63</v>
      </c>
      <c r="H58" s="57"/>
      <c r="I58" s="57"/>
      <c r="J58" s="57">
        <v>-3.2770000000000001</v>
      </c>
      <c r="K58" s="57"/>
      <c r="L58" s="56"/>
    </row>
    <row r="59" spans="2:12" x14ac:dyDescent="0.2">
      <c r="B59" s="55">
        <v>3440.24</v>
      </c>
      <c r="C59" s="56"/>
      <c r="D59" s="57">
        <v>7</v>
      </c>
      <c r="E59" s="57">
        <v>1339.5150000000001</v>
      </c>
      <c r="F59" s="57">
        <v>1785.6780000000001</v>
      </c>
      <c r="G59" s="57">
        <v>1.61</v>
      </c>
      <c r="H59" s="57"/>
      <c r="I59" s="57"/>
      <c r="J59" s="57">
        <v>-3.375</v>
      </c>
      <c r="K59" s="57"/>
      <c r="L59" s="56"/>
    </row>
    <row r="60" spans="2:12" x14ac:dyDescent="0.2">
      <c r="B60" s="55"/>
      <c r="C60" s="56"/>
      <c r="D60" s="57">
        <v>8</v>
      </c>
      <c r="E60" s="57">
        <v>1218.249</v>
      </c>
      <c r="F60" s="57">
        <v>1707.8530000000001</v>
      </c>
      <c r="G60" s="57">
        <v>1.6559999999999999</v>
      </c>
      <c r="H60" s="57"/>
      <c r="I60" s="57"/>
      <c r="J60" s="57">
        <v>-3.4969999999999999</v>
      </c>
      <c r="K60" s="57"/>
      <c r="L60" s="56"/>
    </row>
    <row r="61" spans="2:12" ht="13.5" thickBot="1" x14ac:dyDescent="0.25">
      <c r="B61" s="59"/>
      <c r="C61" s="60"/>
      <c r="D61" s="61"/>
      <c r="E61" s="61"/>
      <c r="F61" s="61"/>
      <c r="G61" s="61"/>
      <c r="H61" s="61"/>
      <c r="I61" s="61"/>
      <c r="J61" s="61"/>
      <c r="K61" s="61"/>
      <c r="L61" s="60"/>
    </row>
    <row r="62" spans="2:12" x14ac:dyDescent="0.2"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</row>
    <row r="63" spans="2:12" ht="13.5" thickBot="1" x14ac:dyDescent="0.25"/>
    <row r="64" spans="2:12" ht="15" x14ac:dyDescent="0.25">
      <c r="B64" s="49" t="s">
        <v>852</v>
      </c>
      <c r="C64" s="50" t="s">
        <v>193</v>
      </c>
      <c r="D64" s="51" t="s">
        <v>853</v>
      </c>
      <c r="E64" s="51" t="s">
        <v>854</v>
      </c>
      <c r="F64" s="51" t="s">
        <v>855</v>
      </c>
      <c r="G64" s="51" t="s">
        <v>856</v>
      </c>
      <c r="H64" s="51" t="s">
        <v>857</v>
      </c>
      <c r="I64" s="51" t="s">
        <v>858</v>
      </c>
      <c r="J64" s="51" t="s">
        <v>859</v>
      </c>
      <c r="K64" s="51" t="s">
        <v>860</v>
      </c>
      <c r="L64" s="50" t="s">
        <v>861</v>
      </c>
    </row>
    <row r="65" spans="2:12" x14ac:dyDescent="0.2">
      <c r="B65" s="55">
        <v>7</v>
      </c>
      <c r="C65" s="56">
        <v>18</v>
      </c>
      <c r="D65" s="57">
        <v>1</v>
      </c>
      <c r="E65" s="57">
        <v>2473.7820000000002</v>
      </c>
      <c r="F65" s="57">
        <v>2507.931</v>
      </c>
      <c r="G65" s="57">
        <v>1.764</v>
      </c>
      <c r="H65" s="57">
        <v>1.7569999999999999</v>
      </c>
      <c r="I65" s="57">
        <v>1.2999999999999999E-2</v>
      </c>
      <c r="J65" s="57">
        <v>-2.8220000000000001</v>
      </c>
      <c r="K65" s="57">
        <v>-3.0129999999999999</v>
      </c>
      <c r="L65" s="105">
        <v>0.11700000000000001</v>
      </c>
    </row>
    <row r="66" spans="2:12" x14ac:dyDescent="0.2">
      <c r="B66" s="55"/>
      <c r="C66" s="56"/>
      <c r="D66" s="57">
        <v>2</v>
      </c>
      <c r="E66" s="57">
        <v>2239.241</v>
      </c>
      <c r="F66" s="57">
        <v>2395.42</v>
      </c>
      <c r="G66" s="57">
        <v>1.754</v>
      </c>
      <c r="H66" s="57"/>
      <c r="I66" s="57"/>
      <c r="J66" s="57">
        <v>-2.899</v>
      </c>
      <c r="K66" s="57"/>
      <c r="L66" s="56"/>
    </row>
    <row r="67" spans="2:12" ht="15" x14ac:dyDescent="0.25">
      <c r="B67" s="58" t="s">
        <v>864</v>
      </c>
      <c r="C67" s="56"/>
      <c r="D67" s="57">
        <v>3</v>
      </c>
      <c r="E67" s="57">
        <v>2029.807</v>
      </c>
      <c r="F67" s="57">
        <v>2288.375</v>
      </c>
      <c r="G67" s="57">
        <v>1.7350000000000001</v>
      </c>
      <c r="H67" s="57"/>
      <c r="I67" s="57"/>
      <c r="J67" s="57">
        <v>-2.9140000000000001</v>
      </c>
      <c r="K67" s="57"/>
      <c r="L67" s="56"/>
    </row>
    <row r="68" spans="2:12" x14ac:dyDescent="0.2">
      <c r="B68" s="55">
        <v>639</v>
      </c>
      <c r="C68" s="56"/>
      <c r="D68" s="57">
        <v>4</v>
      </c>
      <c r="E68" s="57">
        <v>1844.019</v>
      </c>
      <c r="F68" s="57">
        <v>2186.864</v>
      </c>
      <c r="G68" s="57">
        <v>1.7729999999999999</v>
      </c>
      <c r="H68" s="57"/>
      <c r="I68" s="57"/>
      <c r="J68" s="57">
        <v>-2.996</v>
      </c>
      <c r="K68" s="57"/>
      <c r="L68" s="56"/>
    </row>
    <row r="69" spans="2:12" x14ac:dyDescent="0.2">
      <c r="B69" s="55"/>
      <c r="C69" s="56"/>
      <c r="D69" s="57">
        <v>5</v>
      </c>
      <c r="E69" s="57">
        <v>1678.992</v>
      </c>
      <c r="F69" s="57">
        <v>2090.5610000000001</v>
      </c>
      <c r="G69" s="57">
        <v>1.7969999999999999</v>
      </c>
      <c r="H69" s="57"/>
      <c r="I69" s="57"/>
      <c r="J69" s="57">
        <v>-3.0819999999999999</v>
      </c>
      <c r="K69" s="57"/>
      <c r="L69" s="56"/>
    </row>
    <row r="70" spans="2:12" ht="15" x14ac:dyDescent="0.25">
      <c r="B70" s="58" t="s">
        <v>865</v>
      </c>
      <c r="C70" s="56"/>
      <c r="D70" s="57">
        <v>6</v>
      </c>
      <c r="E70" s="57">
        <v>1531.683</v>
      </c>
      <c r="F70" s="57">
        <v>1998.7190000000001</v>
      </c>
      <c r="G70" s="57">
        <v>1.76</v>
      </c>
      <c r="H70" s="57"/>
      <c r="I70" s="57"/>
      <c r="J70" s="57">
        <v>-3.177</v>
      </c>
      <c r="K70" s="57"/>
      <c r="L70" s="56"/>
    </row>
    <row r="71" spans="2:12" x14ac:dyDescent="0.2">
      <c r="B71" s="55">
        <v>3809.05</v>
      </c>
      <c r="C71" s="56"/>
      <c r="D71" s="57">
        <v>7</v>
      </c>
      <c r="E71" s="57">
        <v>1399.451</v>
      </c>
      <c r="F71" s="57">
        <v>1911.107</v>
      </c>
      <c r="G71" s="57">
        <v>1.758</v>
      </c>
      <c r="H71" s="57"/>
      <c r="I71" s="57"/>
      <c r="J71" s="57">
        <v>-3.2730000000000001</v>
      </c>
      <c r="K71" s="57"/>
      <c r="L71" s="56"/>
    </row>
    <row r="72" spans="2:12" x14ac:dyDescent="0.2">
      <c r="B72" s="55"/>
      <c r="C72" s="56"/>
      <c r="D72" s="57">
        <v>8</v>
      </c>
      <c r="E72" s="57">
        <v>1279.7280000000001</v>
      </c>
      <c r="F72" s="57">
        <v>1827.836</v>
      </c>
      <c r="G72" s="57">
        <v>1.718</v>
      </c>
      <c r="H72" s="57"/>
      <c r="I72" s="57"/>
      <c r="J72" s="57">
        <v>-3.3610000000000002</v>
      </c>
      <c r="K72" s="57"/>
      <c r="L72" s="56"/>
    </row>
    <row r="73" spans="2:12" ht="13.5" thickBot="1" x14ac:dyDescent="0.25">
      <c r="B73" s="59"/>
      <c r="C73" s="60"/>
      <c r="D73" s="61"/>
      <c r="E73" s="61"/>
      <c r="F73" s="61"/>
      <c r="G73" s="61"/>
      <c r="H73" s="61"/>
      <c r="I73" s="61"/>
      <c r="J73" s="61"/>
      <c r="K73" s="61"/>
      <c r="L73" s="60"/>
    </row>
    <row r="74" spans="2:12" x14ac:dyDescent="0.2"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</row>
    <row r="75" spans="2:12" ht="13.5" thickBot="1" x14ac:dyDescent="0.25"/>
    <row r="76" spans="2:12" ht="15" x14ac:dyDescent="0.25">
      <c r="B76" s="49" t="s">
        <v>852</v>
      </c>
      <c r="C76" s="50" t="s">
        <v>193</v>
      </c>
      <c r="D76" s="51" t="s">
        <v>853</v>
      </c>
      <c r="E76" s="51" t="s">
        <v>854</v>
      </c>
      <c r="F76" s="51" t="s">
        <v>855</v>
      </c>
      <c r="G76" s="51" t="s">
        <v>856</v>
      </c>
      <c r="H76" s="51" t="s">
        <v>857</v>
      </c>
      <c r="I76" s="51" t="s">
        <v>858</v>
      </c>
      <c r="J76" s="51" t="s">
        <v>859</v>
      </c>
      <c r="K76" s="51" t="s">
        <v>860</v>
      </c>
      <c r="L76" s="50" t="s">
        <v>861</v>
      </c>
    </row>
    <row r="77" spans="2:12" x14ac:dyDescent="0.2">
      <c r="B77" s="55">
        <v>8</v>
      </c>
      <c r="C77" s="56">
        <v>18</v>
      </c>
      <c r="D77" s="57">
        <v>1</v>
      </c>
      <c r="E77" s="57">
        <v>1690.508</v>
      </c>
      <c r="F77" s="57">
        <v>1686.9549999999999</v>
      </c>
      <c r="G77" s="57">
        <v>1.633</v>
      </c>
      <c r="H77" s="57">
        <v>1.621</v>
      </c>
      <c r="I77" s="57">
        <v>1.0999999999999999E-2</v>
      </c>
      <c r="J77" s="57">
        <v>-3.1349999999999998</v>
      </c>
      <c r="K77" s="57">
        <v>-3.3940000000000001</v>
      </c>
      <c r="L77" s="105">
        <v>0.189</v>
      </c>
    </row>
    <row r="78" spans="2:12" x14ac:dyDescent="0.2">
      <c r="B78" s="55"/>
      <c r="C78" s="56"/>
      <c r="D78" s="57">
        <v>2</v>
      </c>
      <c r="E78" s="57">
        <v>1540.069</v>
      </c>
      <c r="F78" s="57">
        <v>1613.8150000000001</v>
      </c>
      <c r="G78" s="57">
        <v>1.635</v>
      </c>
      <c r="H78" s="57"/>
      <c r="I78" s="57"/>
      <c r="J78" s="57">
        <v>-3.2069999999999999</v>
      </c>
      <c r="K78" s="57"/>
      <c r="L78" s="56"/>
    </row>
    <row r="79" spans="2:12" ht="15" x14ac:dyDescent="0.25">
      <c r="B79" s="58" t="s">
        <v>864</v>
      </c>
      <c r="C79" s="56"/>
      <c r="D79" s="57">
        <v>3</v>
      </c>
      <c r="E79" s="57">
        <v>1405.9770000000001</v>
      </c>
      <c r="F79" s="57">
        <v>1544.211</v>
      </c>
      <c r="G79" s="57">
        <v>1.669</v>
      </c>
      <c r="H79" s="57"/>
      <c r="I79" s="57"/>
      <c r="J79" s="57">
        <v>-3.2050000000000001</v>
      </c>
      <c r="K79" s="57"/>
      <c r="L79" s="56"/>
    </row>
    <row r="80" spans="2:12" x14ac:dyDescent="0.2">
      <c r="B80" s="55">
        <v>494</v>
      </c>
      <c r="C80" s="56"/>
      <c r="D80" s="57">
        <v>4</v>
      </c>
      <c r="E80" s="57">
        <v>1285.8399999999999</v>
      </c>
      <c r="F80" s="57">
        <v>1477.924</v>
      </c>
      <c r="G80" s="57">
        <v>1.6759999999999999</v>
      </c>
      <c r="H80" s="57"/>
      <c r="I80" s="57"/>
      <c r="J80" s="57">
        <v>-3.4009999999999998</v>
      </c>
      <c r="K80" s="57"/>
      <c r="L80" s="56"/>
    </row>
    <row r="81" spans="2:12" x14ac:dyDescent="0.2">
      <c r="B81" s="55"/>
      <c r="C81" s="56"/>
      <c r="D81" s="57">
        <v>5</v>
      </c>
      <c r="E81" s="57">
        <v>1178.1489999999999</v>
      </c>
      <c r="F81" s="57">
        <v>1414.6289999999999</v>
      </c>
      <c r="G81" s="57">
        <v>1.611</v>
      </c>
      <c r="H81" s="57"/>
      <c r="I81" s="57"/>
      <c r="J81" s="57">
        <v>-3.5350000000000001</v>
      </c>
      <c r="K81" s="57"/>
      <c r="L81" s="56"/>
    </row>
    <row r="82" spans="2:12" ht="15" x14ac:dyDescent="0.25">
      <c r="B82" s="58" t="s">
        <v>865</v>
      </c>
      <c r="C82" s="56"/>
      <c r="D82" s="57">
        <v>6</v>
      </c>
      <c r="E82" s="57">
        <v>1077.383</v>
      </c>
      <c r="F82" s="57">
        <v>1354.2280000000001</v>
      </c>
      <c r="G82" s="57">
        <v>1.62</v>
      </c>
      <c r="H82" s="57"/>
      <c r="I82" s="57"/>
      <c r="J82" s="57">
        <v>-3.621</v>
      </c>
      <c r="K82" s="57"/>
      <c r="L82" s="56"/>
    </row>
    <row r="83" spans="2:12" x14ac:dyDescent="0.2">
      <c r="B83" s="55">
        <v>2435.92</v>
      </c>
      <c r="C83" s="56"/>
      <c r="D83" s="57">
        <v>7</v>
      </c>
      <c r="E83" s="57">
        <v>984.298</v>
      </c>
      <c r="F83" s="57">
        <v>1296.845</v>
      </c>
      <c r="G83" s="57">
        <v>1.6140000000000001</v>
      </c>
      <c r="H83" s="57"/>
      <c r="I83" s="57"/>
      <c r="J83" s="57">
        <v>-3.81</v>
      </c>
      <c r="K83" s="57"/>
      <c r="L83" s="56"/>
    </row>
    <row r="84" spans="2:12" x14ac:dyDescent="0.2">
      <c r="B84" s="55"/>
      <c r="C84" s="56"/>
      <c r="D84" s="57">
        <v>8</v>
      </c>
      <c r="E84" s="57">
        <v>906.14300000000003</v>
      </c>
      <c r="F84" s="57">
        <v>1241.9849999999999</v>
      </c>
      <c r="G84" s="57">
        <v>1.611</v>
      </c>
      <c r="H84" s="57"/>
      <c r="I84" s="57"/>
      <c r="J84" s="57">
        <v>-3.8919999999999999</v>
      </c>
      <c r="K84" s="57"/>
      <c r="L84" s="56"/>
    </row>
    <row r="85" spans="2:12" ht="13.5" thickBot="1" x14ac:dyDescent="0.25">
      <c r="B85" s="59"/>
      <c r="C85" s="60"/>
      <c r="D85" s="61"/>
      <c r="E85" s="61"/>
      <c r="F85" s="61"/>
      <c r="G85" s="61"/>
      <c r="H85" s="61"/>
      <c r="I85" s="61"/>
      <c r="J85" s="61"/>
      <c r="K85" s="61"/>
      <c r="L85" s="60"/>
    </row>
    <row r="86" spans="2:12" x14ac:dyDescent="0.2"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</row>
    <row r="87" spans="2:12" ht="13.5" thickBot="1" x14ac:dyDescent="0.25"/>
    <row r="88" spans="2:12" ht="15" x14ac:dyDescent="0.25">
      <c r="B88" s="49" t="s">
        <v>852</v>
      </c>
      <c r="C88" s="50" t="s">
        <v>193</v>
      </c>
      <c r="D88" s="51" t="s">
        <v>853</v>
      </c>
      <c r="E88" s="51" t="s">
        <v>854</v>
      </c>
      <c r="F88" s="51" t="s">
        <v>855</v>
      </c>
      <c r="G88" s="51" t="s">
        <v>856</v>
      </c>
      <c r="H88" s="51" t="s">
        <v>857</v>
      </c>
      <c r="I88" s="51" t="s">
        <v>858</v>
      </c>
      <c r="J88" s="51" t="s">
        <v>859</v>
      </c>
      <c r="K88" s="51" t="s">
        <v>860</v>
      </c>
      <c r="L88" s="50" t="s">
        <v>861</v>
      </c>
    </row>
    <row r="89" spans="2:12" x14ac:dyDescent="0.2">
      <c r="B89" s="55">
        <v>9</v>
      </c>
      <c r="C89" s="56">
        <v>27</v>
      </c>
      <c r="D89" s="57">
        <v>1</v>
      </c>
      <c r="E89" s="57">
        <v>4235.2539999999999</v>
      </c>
      <c r="F89" s="57">
        <v>4169.7520000000004</v>
      </c>
      <c r="G89" s="57">
        <v>1.8440000000000001</v>
      </c>
      <c r="H89" s="57">
        <v>1.895</v>
      </c>
      <c r="I89" s="57">
        <v>1.7000000000000001E-2</v>
      </c>
      <c r="J89" s="57">
        <v>-2.64</v>
      </c>
      <c r="K89" s="57">
        <v>-2.75</v>
      </c>
      <c r="L89" s="56">
        <v>8.8999999999999996E-2</v>
      </c>
    </row>
    <row r="90" spans="2:12" x14ac:dyDescent="0.2">
      <c r="B90" s="55"/>
      <c r="C90" s="56"/>
      <c r="D90" s="57">
        <v>2</v>
      </c>
      <c r="E90" s="57">
        <v>3801.203</v>
      </c>
      <c r="F90" s="57">
        <v>3973.45</v>
      </c>
      <c r="G90" s="57">
        <v>1.8939999999999999</v>
      </c>
      <c r="H90" s="57"/>
      <c r="I90" s="57"/>
      <c r="J90" s="57">
        <v>-2.6760000000000002</v>
      </c>
      <c r="K90" s="57"/>
      <c r="L90" s="56"/>
    </row>
    <row r="91" spans="2:12" ht="15" x14ac:dyDescent="0.25">
      <c r="B91" s="58" t="s">
        <v>864</v>
      </c>
      <c r="C91" s="56"/>
      <c r="D91" s="57">
        <v>3</v>
      </c>
      <c r="E91" s="57">
        <v>3417.53</v>
      </c>
      <c r="F91" s="57">
        <v>3787.6550000000002</v>
      </c>
      <c r="G91" s="57">
        <v>1.881</v>
      </c>
      <c r="H91" s="57"/>
      <c r="I91" s="57"/>
      <c r="J91" s="57">
        <v>-2.6970000000000001</v>
      </c>
      <c r="K91" s="57"/>
      <c r="L91" s="56"/>
    </row>
    <row r="92" spans="2:12" x14ac:dyDescent="0.2">
      <c r="B92" s="55">
        <v>770</v>
      </c>
      <c r="C92" s="56"/>
      <c r="D92" s="57">
        <v>4</v>
      </c>
      <c r="E92" s="57">
        <v>3077.4859999999999</v>
      </c>
      <c r="F92" s="57">
        <v>3611.866</v>
      </c>
      <c r="G92" s="57">
        <v>1.899</v>
      </c>
      <c r="H92" s="57"/>
      <c r="I92" s="57"/>
      <c r="J92" s="57">
        <v>-2.7010000000000001</v>
      </c>
      <c r="K92" s="57"/>
      <c r="L92" s="56"/>
    </row>
    <row r="93" spans="2:12" x14ac:dyDescent="0.2">
      <c r="B93" s="55"/>
      <c r="C93" s="56"/>
      <c r="D93" s="57">
        <v>5</v>
      </c>
      <c r="E93" s="57">
        <v>2776.498</v>
      </c>
      <c r="F93" s="57">
        <v>3445.0569999999998</v>
      </c>
      <c r="G93" s="57">
        <v>1.881</v>
      </c>
      <c r="H93" s="57"/>
      <c r="I93" s="57"/>
      <c r="J93" s="57">
        <v>-2.7850000000000001</v>
      </c>
      <c r="K93" s="57"/>
      <c r="L93" s="56"/>
    </row>
    <row r="94" spans="2:12" ht="15" x14ac:dyDescent="0.25">
      <c r="B94" s="58" t="s">
        <v>865</v>
      </c>
      <c r="C94" s="56"/>
      <c r="D94" s="57">
        <v>6</v>
      </c>
      <c r="E94" s="57">
        <v>2509.259</v>
      </c>
      <c r="F94" s="57">
        <v>3286.76</v>
      </c>
      <c r="G94" s="57">
        <v>1.927</v>
      </c>
      <c r="H94" s="57"/>
      <c r="I94" s="57"/>
      <c r="J94" s="57">
        <v>-2.8889999999999998</v>
      </c>
      <c r="K94" s="57"/>
      <c r="L94" s="56"/>
    </row>
    <row r="95" spans="2:12" x14ac:dyDescent="0.2">
      <c r="B95" s="55">
        <v>6700.88</v>
      </c>
      <c r="C95" s="56"/>
      <c r="D95" s="57">
        <v>7</v>
      </c>
      <c r="E95" s="57">
        <v>2271.7190000000001</v>
      </c>
      <c r="F95" s="57">
        <v>3136.9079999999999</v>
      </c>
      <c r="G95" s="57">
        <v>1.927</v>
      </c>
      <c r="H95" s="57"/>
      <c r="I95" s="57"/>
      <c r="J95" s="57">
        <v>-2.9289999999999998</v>
      </c>
      <c r="K95" s="57"/>
      <c r="L95" s="56"/>
    </row>
    <row r="96" spans="2:12" x14ac:dyDescent="0.2">
      <c r="B96" s="55"/>
      <c r="C96" s="56"/>
      <c r="D96" s="57">
        <v>8</v>
      </c>
      <c r="E96" s="57">
        <v>2060.9319999999998</v>
      </c>
      <c r="F96" s="57">
        <v>2994.4369999999999</v>
      </c>
      <c r="G96" s="57">
        <v>1.921</v>
      </c>
      <c r="H96" s="57"/>
      <c r="I96" s="57"/>
      <c r="J96" s="57">
        <v>-2.9609999999999999</v>
      </c>
      <c r="K96" s="57"/>
      <c r="L96" s="56"/>
    </row>
    <row r="97" spans="2:12" ht="13.5" thickBot="1" x14ac:dyDescent="0.25">
      <c r="B97" s="59"/>
      <c r="C97" s="60"/>
      <c r="D97" s="61"/>
      <c r="E97" s="61"/>
      <c r="F97" s="61"/>
      <c r="G97" s="61"/>
      <c r="H97" s="61"/>
      <c r="I97" s="61"/>
      <c r="J97" s="61"/>
      <c r="K97" s="61"/>
      <c r="L97" s="60"/>
    </row>
    <row r="98" spans="2:12" x14ac:dyDescent="0.2"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</row>
    <row r="99" spans="2:12" ht="13.5" thickBot="1" x14ac:dyDescent="0.25"/>
    <row r="100" spans="2:12" ht="15" x14ac:dyDescent="0.25">
      <c r="B100" s="49" t="s">
        <v>852</v>
      </c>
      <c r="C100" s="50" t="s">
        <v>193</v>
      </c>
      <c r="D100" s="51" t="s">
        <v>853</v>
      </c>
      <c r="E100" s="51" t="s">
        <v>854</v>
      </c>
      <c r="F100" s="51" t="s">
        <v>855</v>
      </c>
      <c r="G100" s="51" t="s">
        <v>856</v>
      </c>
      <c r="H100" s="51" t="s">
        <v>857</v>
      </c>
      <c r="I100" s="51" t="s">
        <v>858</v>
      </c>
      <c r="J100" s="51" t="s">
        <v>859</v>
      </c>
      <c r="K100" s="51" t="s">
        <v>860</v>
      </c>
      <c r="L100" s="50" t="s">
        <v>861</v>
      </c>
    </row>
    <row r="101" spans="2:12" x14ac:dyDescent="0.2">
      <c r="B101" s="55">
        <v>10</v>
      </c>
      <c r="C101" s="56">
        <v>27</v>
      </c>
      <c r="D101" s="57">
        <v>1</v>
      </c>
      <c r="E101" s="57">
        <v>3706.9659999999999</v>
      </c>
      <c r="F101" s="57">
        <v>3693.8069999999998</v>
      </c>
      <c r="G101" s="57">
        <v>1.8580000000000001</v>
      </c>
      <c r="H101" s="57">
        <v>1.895</v>
      </c>
      <c r="I101" s="57">
        <v>4.0000000000000001E-3</v>
      </c>
      <c r="J101" s="57">
        <v>-2.5739999999999998</v>
      </c>
      <c r="K101" s="57">
        <v>-2.6949999999999998</v>
      </c>
      <c r="L101" s="56">
        <v>5.3999999999999999E-2</v>
      </c>
    </row>
    <row r="102" spans="2:12" x14ac:dyDescent="0.2">
      <c r="B102" s="55"/>
      <c r="C102" s="56"/>
      <c r="D102" s="57">
        <v>2</v>
      </c>
      <c r="E102" s="57">
        <v>3335.1550000000002</v>
      </c>
      <c r="F102" s="57">
        <v>3522.652</v>
      </c>
      <c r="G102" s="57">
        <v>1.891</v>
      </c>
      <c r="H102" s="57"/>
      <c r="I102" s="57"/>
      <c r="J102" s="57">
        <v>-2.5630000000000002</v>
      </c>
      <c r="K102" s="57"/>
      <c r="L102" s="56"/>
    </row>
    <row r="103" spans="2:12" ht="15" x14ac:dyDescent="0.25">
      <c r="B103" s="58" t="s">
        <v>864</v>
      </c>
      <c r="C103" s="56"/>
      <c r="D103" s="57">
        <v>3</v>
      </c>
      <c r="E103" s="57">
        <v>3005.51</v>
      </c>
      <c r="F103" s="57">
        <v>3360.163</v>
      </c>
      <c r="G103" s="57">
        <v>1.859</v>
      </c>
      <c r="H103" s="57"/>
      <c r="I103" s="57"/>
      <c r="J103" s="57">
        <v>-2.6469999999999998</v>
      </c>
      <c r="K103" s="57"/>
      <c r="L103" s="56"/>
    </row>
    <row r="104" spans="2:12" x14ac:dyDescent="0.2">
      <c r="B104" s="55">
        <v>752</v>
      </c>
      <c r="C104" s="56"/>
      <c r="D104" s="57">
        <v>4</v>
      </c>
      <c r="E104" s="57">
        <v>2713.915</v>
      </c>
      <c r="F104" s="57">
        <v>3206.509</v>
      </c>
      <c r="G104" s="57">
        <v>1.899</v>
      </c>
      <c r="H104" s="57"/>
      <c r="I104" s="57"/>
      <c r="J104" s="57">
        <v>-2.6509999999999998</v>
      </c>
      <c r="K104" s="57"/>
      <c r="L104" s="56"/>
    </row>
    <row r="105" spans="2:12" x14ac:dyDescent="0.2">
      <c r="B105" s="55"/>
      <c r="C105" s="56"/>
      <c r="D105" s="57">
        <v>5</v>
      </c>
      <c r="E105" s="57">
        <v>2454.683</v>
      </c>
      <c r="F105" s="57">
        <v>3060.3119999999999</v>
      </c>
      <c r="G105" s="57">
        <v>1.9530000000000001</v>
      </c>
      <c r="H105" s="57"/>
      <c r="I105" s="57"/>
      <c r="J105" s="57">
        <v>-2.7450000000000001</v>
      </c>
      <c r="K105" s="57"/>
      <c r="L105" s="56"/>
    </row>
    <row r="106" spans="2:12" ht="15" x14ac:dyDescent="0.25">
      <c r="B106" s="58" t="s">
        <v>865</v>
      </c>
      <c r="C106" s="56"/>
      <c r="D106" s="57">
        <v>6</v>
      </c>
      <c r="E106" s="57">
        <v>2212.0610000000001</v>
      </c>
      <c r="F106" s="57">
        <v>2921.558</v>
      </c>
      <c r="G106" s="57">
        <v>1.9470000000000001</v>
      </c>
      <c r="H106" s="57"/>
      <c r="I106" s="57"/>
      <c r="J106" s="57">
        <v>-2.7370000000000001</v>
      </c>
      <c r="K106" s="57"/>
      <c r="L106" s="56"/>
    </row>
    <row r="107" spans="2:12" x14ac:dyDescent="0.2">
      <c r="B107" s="55">
        <v>5856.5</v>
      </c>
      <c r="C107" s="56"/>
      <c r="D107" s="57">
        <v>7</v>
      </c>
      <c r="E107" s="57">
        <v>1993.269</v>
      </c>
      <c r="F107" s="57">
        <v>2789.5940000000001</v>
      </c>
      <c r="G107" s="57">
        <v>1.9450000000000001</v>
      </c>
      <c r="H107" s="57"/>
      <c r="I107" s="57"/>
      <c r="J107" s="57">
        <v>-2.8370000000000002</v>
      </c>
      <c r="K107" s="57"/>
      <c r="L107" s="56"/>
    </row>
    <row r="108" spans="2:12" x14ac:dyDescent="0.2">
      <c r="B108" s="55"/>
      <c r="C108" s="56"/>
      <c r="D108" s="57">
        <v>8</v>
      </c>
      <c r="E108" s="57">
        <v>1809.34</v>
      </c>
      <c r="F108" s="57">
        <v>2663.8780000000002</v>
      </c>
      <c r="G108" s="57">
        <v>1.895</v>
      </c>
      <c r="H108" s="57"/>
      <c r="I108" s="57"/>
      <c r="J108" s="57">
        <v>-2.8980000000000001</v>
      </c>
      <c r="K108" s="57"/>
      <c r="L108" s="56"/>
    </row>
    <row r="109" spans="2:12" ht="13.5" thickBot="1" x14ac:dyDescent="0.25">
      <c r="B109" s="59"/>
      <c r="C109" s="60"/>
      <c r="D109" s="61"/>
      <c r="E109" s="61"/>
      <c r="F109" s="61"/>
      <c r="G109" s="61"/>
      <c r="H109" s="61"/>
      <c r="I109" s="61"/>
      <c r="J109" s="61"/>
      <c r="K109" s="61"/>
      <c r="L109" s="60"/>
    </row>
    <row r="110" spans="2:12" x14ac:dyDescent="0.2"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</row>
    <row r="111" spans="2:12" ht="13.5" thickBot="1" x14ac:dyDescent="0.25"/>
    <row r="112" spans="2:12" ht="15" x14ac:dyDescent="0.25">
      <c r="B112" s="62" t="s">
        <v>852</v>
      </c>
      <c r="C112" s="63" t="s">
        <v>193</v>
      </c>
      <c r="D112" s="64" t="s">
        <v>853</v>
      </c>
      <c r="E112" s="64" t="s">
        <v>854</v>
      </c>
      <c r="F112" s="64" t="s">
        <v>855</v>
      </c>
      <c r="G112" s="64" t="s">
        <v>856</v>
      </c>
      <c r="H112" s="64" t="s">
        <v>857</v>
      </c>
      <c r="I112" s="64" t="s">
        <v>858</v>
      </c>
      <c r="J112" s="64" t="s">
        <v>859</v>
      </c>
      <c r="K112" s="64" t="s">
        <v>860</v>
      </c>
      <c r="L112" s="63" t="s">
        <v>861</v>
      </c>
    </row>
    <row r="113" spans="2:12" ht="15" x14ac:dyDescent="0.25">
      <c r="B113" s="65">
        <v>11</v>
      </c>
      <c r="C113" s="66">
        <v>27</v>
      </c>
      <c r="D113" s="67">
        <v>1</v>
      </c>
      <c r="E113" s="67">
        <v>2362.5010000000002</v>
      </c>
      <c r="F113" s="67">
        <v>2395.5929999999998</v>
      </c>
      <c r="G113" s="67">
        <v>1.4450000000000001</v>
      </c>
      <c r="I113" s="67">
        <v>1.0999999999999999E-2</v>
      </c>
      <c r="J113" s="67">
        <v>-2.6579999999999999</v>
      </c>
      <c r="L113" s="66">
        <v>0.13400000000000001</v>
      </c>
    </row>
    <row r="114" spans="2:12" ht="15" x14ac:dyDescent="0.25">
      <c r="B114" s="65"/>
      <c r="C114" s="66"/>
      <c r="D114" s="67">
        <v>2</v>
      </c>
      <c r="E114" s="67">
        <v>2140.2199999999998</v>
      </c>
      <c r="F114" s="67">
        <v>2289.1109999999999</v>
      </c>
      <c r="G114" s="67">
        <v>1.454</v>
      </c>
      <c r="H114" s="67"/>
      <c r="I114" s="67"/>
      <c r="J114" s="67">
        <v>-2.7440000000000002</v>
      </c>
      <c r="K114" s="67"/>
      <c r="L114" s="66"/>
    </row>
    <row r="115" spans="2:12" ht="15" x14ac:dyDescent="0.25">
      <c r="B115" s="68" t="s">
        <v>864</v>
      </c>
      <c r="C115" s="66"/>
      <c r="D115" s="67">
        <v>3</v>
      </c>
      <c r="E115" s="67">
        <v>1942.4290000000001</v>
      </c>
      <c r="F115" s="67">
        <v>2187.4670000000001</v>
      </c>
      <c r="G115" s="67">
        <v>1.4630000000000001</v>
      </c>
      <c r="H115" s="67"/>
      <c r="I115" s="67"/>
      <c r="J115" s="67">
        <v>-2.786</v>
      </c>
      <c r="K115" s="67"/>
      <c r="L115" s="66"/>
    </row>
    <row r="116" spans="2:12" ht="15" x14ac:dyDescent="0.25">
      <c r="B116" s="65">
        <v>653</v>
      </c>
      <c r="C116" s="66"/>
      <c r="D116" s="67">
        <v>4</v>
      </c>
      <c r="E116" s="67">
        <v>1766.1379999999999</v>
      </c>
      <c r="F116" s="67">
        <v>2090.7570000000001</v>
      </c>
      <c r="G116" s="67">
        <v>1.472</v>
      </c>
      <c r="H116" s="67"/>
      <c r="I116" s="67"/>
      <c r="J116" s="67">
        <v>-2.9169999999999998</v>
      </c>
      <c r="K116" s="67"/>
      <c r="L116" s="66"/>
    </row>
    <row r="117" spans="2:12" ht="15" x14ac:dyDescent="0.25">
      <c r="B117" s="65"/>
      <c r="C117" s="66"/>
      <c r="D117" s="67">
        <v>5</v>
      </c>
      <c r="E117" s="67">
        <v>1609.0709999999999</v>
      </c>
      <c r="F117" s="67">
        <v>1998.481</v>
      </c>
      <c r="G117" s="67">
        <v>1.4370000000000001</v>
      </c>
      <c r="H117" s="67"/>
      <c r="I117" s="67"/>
      <c r="J117" s="67">
        <v>-2.9769999999999999</v>
      </c>
      <c r="K117" s="67"/>
      <c r="L117" s="66"/>
    </row>
    <row r="118" spans="2:12" ht="15" x14ac:dyDescent="0.25">
      <c r="B118" s="68" t="s">
        <v>865</v>
      </c>
      <c r="C118" s="66"/>
      <c r="D118" s="67">
        <v>6</v>
      </c>
      <c r="E118" s="67">
        <v>1468.048</v>
      </c>
      <c r="F118" s="67">
        <v>1910.3040000000001</v>
      </c>
      <c r="G118" s="67">
        <v>1.4410000000000001</v>
      </c>
      <c r="H118" s="67"/>
      <c r="I118" s="67"/>
      <c r="J118" s="67">
        <v>-3.07</v>
      </c>
      <c r="K118" s="67"/>
      <c r="L118" s="66"/>
    </row>
    <row r="119" spans="2:12" ht="15" x14ac:dyDescent="0.25">
      <c r="B119" s="65">
        <v>3646.66</v>
      </c>
      <c r="C119" s="66"/>
      <c r="D119" s="67">
        <v>7</v>
      </c>
      <c r="E119" s="67">
        <v>1337.377</v>
      </c>
      <c r="F119" s="67">
        <v>1826.41</v>
      </c>
      <c r="G119" s="67">
        <v>1.4319999999999999</v>
      </c>
      <c r="H119" s="67"/>
      <c r="I119" s="67"/>
      <c r="J119" s="67">
        <v>-3.165</v>
      </c>
      <c r="K119" s="67"/>
      <c r="L119" s="66"/>
    </row>
    <row r="120" spans="2:12" ht="15" x14ac:dyDescent="0.25">
      <c r="B120" s="65"/>
      <c r="C120" s="66"/>
      <c r="D120" s="67">
        <v>8</v>
      </c>
      <c r="E120" s="67">
        <v>1215.7539999999999</v>
      </c>
      <c r="F120" s="67">
        <v>1746.72</v>
      </c>
      <c r="G120" s="67">
        <v>1.415</v>
      </c>
      <c r="H120" s="67"/>
      <c r="I120" s="67"/>
      <c r="J120" s="67">
        <v>-3.1930000000000001</v>
      </c>
      <c r="K120" s="67"/>
      <c r="L120" s="66"/>
    </row>
    <row r="121" spans="2:12" ht="15.75" thickBot="1" x14ac:dyDescent="0.3">
      <c r="B121" s="69"/>
      <c r="C121" s="70"/>
      <c r="D121" s="71"/>
      <c r="E121" s="71"/>
      <c r="F121" s="71"/>
      <c r="G121" s="71"/>
      <c r="H121" s="71"/>
      <c r="I121" s="71"/>
      <c r="J121" s="71"/>
      <c r="K121" s="71"/>
      <c r="L121" s="70"/>
    </row>
    <row r="122" spans="2:12" x14ac:dyDescent="0.2"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</row>
    <row r="123" spans="2:12" ht="13.5" thickBot="1" x14ac:dyDescent="0.25"/>
    <row r="124" spans="2:12" ht="15" x14ac:dyDescent="0.25">
      <c r="B124" s="49" t="s">
        <v>852</v>
      </c>
      <c r="C124" s="50" t="s">
        <v>193</v>
      </c>
      <c r="D124" s="51" t="s">
        <v>853</v>
      </c>
      <c r="E124" s="51" t="s">
        <v>854</v>
      </c>
      <c r="F124" s="51" t="s">
        <v>855</v>
      </c>
      <c r="G124" s="51" t="s">
        <v>856</v>
      </c>
      <c r="H124" s="51" t="s">
        <v>857</v>
      </c>
      <c r="I124" s="51" t="s">
        <v>858</v>
      </c>
      <c r="J124" s="51" t="s">
        <v>859</v>
      </c>
      <c r="K124" s="51" t="s">
        <v>860</v>
      </c>
      <c r="L124" s="50" t="s">
        <v>861</v>
      </c>
    </row>
    <row r="125" spans="2:12" x14ac:dyDescent="0.2">
      <c r="B125" s="55">
        <v>12</v>
      </c>
      <c r="C125" s="56">
        <v>27</v>
      </c>
      <c r="D125" s="57">
        <v>1</v>
      </c>
      <c r="E125" s="57">
        <v>3714.6779999999999</v>
      </c>
      <c r="F125" s="57">
        <v>3638.547</v>
      </c>
      <c r="G125" s="57">
        <v>1.899</v>
      </c>
      <c r="H125" s="57">
        <v>1.9159999999999999</v>
      </c>
      <c r="I125" s="57">
        <v>1.6E-2</v>
      </c>
      <c r="J125" s="57">
        <v>-2.61</v>
      </c>
      <c r="K125" s="57">
        <v>-2.7989999999999999</v>
      </c>
      <c r="L125" s="56">
        <v>8.2000000000000003E-2</v>
      </c>
    </row>
    <row r="126" spans="2:12" x14ac:dyDescent="0.2">
      <c r="B126" s="55"/>
      <c r="C126" s="56"/>
      <c r="D126" s="57">
        <v>2</v>
      </c>
      <c r="E126" s="57">
        <v>3345.748</v>
      </c>
      <c r="F126" s="57">
        <v>3470.277</v>
      </c>
      <c r="G126" s="57">
        <v>1.9239999999999999</v>
      </c>
      <c r="H126" s="57"/>
      <c r="I126" s="57"/>
      <c r="J126" s="57">
        <v>-2.633</v>
      </c>
      <c r="K126" s="57"/>
      <c r="L126" s="56"/>
    </row>
    <row r="127" spans="2:12" ht="15" x14ac:dyDescent="0.25">
      <c r="B127" s="58" t="s">
        <v>864</v>
      </c>
      <c r="C127" s="56"/>
      <c r="D127" s="57">
        <v>3</v>
      </c>
      <c r="E127" s="57">
        <v>3018.55</v>
      </c>
      <c r="F127" s="57">
        <v>3310.614</v>
      </c>
      <c r="G127" s="57">
        <v>1.94</v>
      </c>
      <c r="H127" s="57"/>
      <c r="I127" s="57"/>
      <c r="J127" s="57">
        <v>-2.677</v>
      </c>
      <c r="K127" s="57"/>
      <c r="L127" s="56"/>
    </row>
    <row r="128" spans="2:12" x14ac:dyDescent="0.2">
      <c r="B128" s="55">
        <v>767</v>
      </c>
      <c r="C128" s="56"/>
      <c r="D128" s="57">
        <v>4</v>
      </c>
      <c r="E128" s="57">
        <v>2727.585</v>
      </c>
      <c r="F128" s="57">
        <v>3158.9749999999999</v>
      </c>
      <c r="G128" s="57">
        <v>1.9079999999999999</v>
      </c>
      <c r="H128" s="57"/>
      <c r="I128" s="57"/>
      <c r="J128" s="57">
        <v>-2.7730000000000001</v>
      </c>
      <c r="K128" s="57"/>
      <c r="L128" s="56"/>
    </row>
    <row r="129" spans="2:12" x14ac:dyDescent="0.2">
      <c r="B129" s="55"/>
      <c r="C129" s="56"/>
      <c r="D129" s="57">
        <v>5</v>
      </c>
      <c r="E129" s="57">
        <v>2468.1109999999999</v>
      </c>
      <c r="F129" s="57">
        <v>3014.866</v>
      </c>
      <c r="G129" s="57">
        <v>1.897</v>
      </c>
      <c r="H129" s="57"/>
      <c r="I129" s="57"/>
      <c r="J129" s="57">
        <v>-2.7970000000000002</v>
      </c>
      <c r="K129" s="57"/>
      <c r="L129" s="56"/>
    </row>
    <row r="130" spans="2:12" ht="15" x14ac:dyDescent="0.25">
      <c r="B130" s="58" t="s">
        <v>865</v>
      </c>
      <c r="C130" s="56"/>
      <c r="D130" s="57">
        <v>6</v>
      </c>
      <c r="E130" s="57">
        <v>2230.98</v>
      </c>
      <c r="F130" s="57">
        <v>2877.77</v>
      </c>
      <c r="G130" s="57">
        <v>1.91</v>
      </c>
      <c r="H130" s="57"/>
      <c r="I130" s="57"/>
      <c r="J130" s="57">
        <v>-2.8540000000000001</v>
      </c>
      <c r="K130" s="57"/>
      <c r="L130" s="56"/>
    </row>
    <row r="131" spans="2:12" x14ac:dyDescent="0.2">
      <c r="B131" s="55">
        <v>5735.82</v>
      </c>
      <c r="C131" s="56"/>
      <c r="D131" s="57">
        <v>7</v>
      </c>
      <c r="E131" s="57">
        <v>2012.885</v>
      </c>
      <c r="F131" s="57">
        <v>2747.7530000000002</v>
      </c>
      <c r="G131" s="57">
        <v>1.9630000000000001</v>
      </c>
      <c r="H131" s="57"/>
      <c r="I131" s="57"/>
      <c r="J131" s="57">
        <v>-2.891</v>
      </c>
      <c r="K131" s="57"/>
      <c r="L131" s="56"/>
    </row>
    <row r="132" spans="2:12" x14ac:dyDescent="0.2">
      <c r="B132" s="55"/>
      <c r="C132" s="56"/>
      <c r="D132" s="57">
        <v>8</v>
      </c>
      <c r="E132" s="57">
        <v>1825.779</v>
      </c>
      <c r="F132" s="57">
        <v>2623.873</v>
      </c>
      <c r="G132" s="57">
        <v>1.968</v>
      </c>
      <c r="H132" s="57"/>
      <c r="I132" s="57"/>
      <c r="J132" s="57">
        <v>-2.9870000000000001</v>
      </c>
      <c r="K132" s="57"/>
      <c r="L132" s="56"/>
    </row>
    <row r="133" spans="2:12" ht="13.5" thickBot="1" x14ac:dyDescent="0.25">
      <c r="B133" s="59"/>
      <c r="C133" s="60"/>
      <c r="D133" s="61"/>
      <c r="E133" s="61"/>
      <c r="F133" s="61"/>
      <c r="G133" s="61"/>
      <c r="H133" s="61"/>
      <c r="I133" s="61"/>
      <c r="J133" s="61"/>
      <c r="K133" s="61"/>
      <c r="L133" s="60"/>
    </row>
    <row r="134" spans="2:12" x14ac:dyDescent="0.2"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</row>
    <row r="135" spans="2:12" ht="13.5" thickBot="1" x14ac:dyDescent="0.25"/>
    <row r="136" spans="2:12" ht="15" x14ac:dyDescent="0.25">
      <c r="B136" s="49" t="s">
        <v>852</v>
      </c>
      <c r="C136" s="50" t="s">
        <v>193</v>
      </c>
      <c r="D136" s="51" t="s">
        <v>853</v>
      </c>
      <c r="E136" s="51" t="s">
        <v>854</v>
      </c>
      <c r="F136" s="51" t="s">
        <v>855</v>
      </c>
      <c r="G136" s="51" t="s">
        <v>856</v>
      </c>
      <c r="H136" s="51" t="s">
        <v>857</v>
      </c>
      <c r="I136" s="51" t="s">
        <v>858</v>
      </c>
      <c r="J136" s="51" t="s">
        <v>859</v>
      </c>
      <c r="K136" s="51" t="s">
        <v>860</v>
      </c>
      <c r="L136" s="50" t="s">
        <v>861</v>
      </c>
    </row>
    <row r="137" spans="2:12" x14ac:dyDescent="0.2">
      <c r="B137" s="55">
        <v>13</v>
      </c>
      <c r="C137" s="56">
        <v>36</v>
      </c>
      <c r="D137" s="57">
        <v>1</v>
      </c>
      <c r="E137" s="57">
        <v>4775.6019999999999</v>
      </c>
      <c r="F137" s="57">
        <v>4680.6989999999996</v>
      </c>
      <c r="G137" s="57">
        <v>1.8560000000000001</v>
      </c>
      <c r="H137" s="57">
        <v>1.9079999999999999</v>
      </c>
      <c r="I137" s="57">
        <v>1.4E-2</v>
      </c>
      <c r="J137" s="57">
        <v>-2.5649999999999999</v>
      </c>
      <c r="K137" s="57">
        <v>-2.7050000000000001</v>
      </c>
      <c r="L137" s="56">
        <v>6.8000000000000005E-2</v>
      </c>
    </row>
    <row r="138" spans="2:12" x14ac:dyDescent="0.2">
      <c r="B138" s="55"/>
      <c r="C138" s="56"/>
      <c r="D138" s="57">
        <v>2</v>
      </c>
      <c r="E138" s="57">
        <v>4280.5820000000003</v>
      </c>
      <c r="F138" s="57">
        <v>4457.6639999999998</v>
      </c>
      <c r="G138" s="57">
        <v>1.8959999999999999</v>
      </c>
      <c r="H138" s="57"/>
      <c r="I138" s="57"/>
      <c r="J138" s="57">
        <v>-2.6469999999999998</v>
      </c>
      <c r="K138" s="57"/>
      <c r="L138" s="56"/>
    </row>
    <row r="139" spans="2:12" ht="15" x14ac:dyDescent="0.25">
      <c r="B139" s="58" t="s">
        <v>864</v>
      </c>
      <c r="C139" s="56"/>
      <c r="D139" s="57">
        <v>3</v>
      </c>
      <c r="E139" s="57">
        <v>3844.2310000000002</v>
      </c>
      <c r="F139" s="57">
        <v>4246.4759999999997</v>
      </c>
      <c r="G139" s="57">
        <v>1.895</v>
      </c>
      <c r="H139" s="57"/>
      <c r="I139" s="57"/>
      <c r="J139" s="57">
        <v>-2.641</v>
      </c>
      <c r="K139" s="57"/>
      <c r="L139" s="56"/>
    </row>
    <row r="140" spans="2:12" x14ac:dyDescent="0.2">
      <c r="B140" s="55">
        <v>837</v>
      </c>
      <c r="C140" s="56"/>
      <c r="D140" s="57">
        <v>4</v>
      </c>
      <c r="E140" s="57">
        <v>3459.4160000000002</v>
      </c>
      <c r="F140" s="57">
        <v>4046.97</v>
      </c>
      <c r="G140" s="57">
        <v>1.9139999999999999</v>
      </c>
      <c r="H140" s="57"/>
      <c r="I140" s="57"/>
      <c r="J140" s="57">
        <v>-2.6629999999999998</v>
      </c>
      <c r="K140" s="57"/>
      <c r="L140" s="56"/>
    </row>
    <row r="141" spans="2:12" x14ac:dyDescent="0.2">
      <c r="B141" s="55"/>
      <c r="C141" s="56"/>
      <c r="D141" s="57">
        <v>5</v>
      </c>
      <c r="E141" s="57">
        <v>3118.2339999999999</v>
      </c>
      <c r="F141" s="57">
        <v>3858.1089999999999</v>
      </c>
      <c r="G141" s="57">
        <v>1.8959999999999999</v>
      </c>
      <c r="H141" s="57"/>
      <c r="I141" s="57"/>
      <c r="J141" s="57">
        <v>-2.7069999999999999</v>
      </c>
      <c r="K141" s="57"/>
      <c r="L141" s="56"/>
    </row>
    <row r="142" spans="2:12" ht="15" x14ac:dyDescent="0.25">
      <c r="B142" s="58" t="s">
        <v>865</v>
      </c>
      <c r="C142" s="56"/>
      <c r="D142" s="57">
        <v>6</v>
      </c>
      <c r="E142" s="57">
        <v>2800.9079999999999</v>
      </c>
      <c r="F142" s="57">
        <v>3678.7049999999999</v>
      </c>
      <c r="G142" s="57">
        <v>1.931</v>
      </c>
      <c r="H142" s="57"/>
      <c r="I142" s="57"/>
      <c r="J142" s="57">
        <v>-2.7749999999999999</v>
      </c>
      <c r="K142" s="57"/>
      <c r="L142" s="56"/>
    </row>
    <row r="143" spans="2:12" x14ac:dyDescent="0.2">
      <c r="B143" s="55">
        <v>7555.78</v>
      </c>
      <c r="C143" s="56"/>
      <c r="D143" s="57">
        <v>7</v>
      </c>
      <c r="E143" s="57">
        <v>2522.9690000000001</v>
      </c>
      <c r="F143" s="57">
        <v>3508.7640000000001</v>
      </c>
      <c r="G143" s="57">
        <v>1.9139999999999999</v>
      </c>
      <c r="H143" s="57"/>
      <c r="I143" s="57"/>
      <c r="J143" s="57">
        <v>-2.7989999999999999</v>
      </c>
      <c r="K143" s="57"/>
      <c r="L143" s="56"/>
    </row>
    <row r="144" spans="2:12" x14ac:dyDescent="0.2">
      <c r="B144" s="55"/>
      <c r="C144" s="56"/>
      <c r="D144" s="57">
        <v>8</v>
      </c>
      <c r="E144" s="57">
        <v>2284.895</v>
      </c>
      <c r="F144" s="57">
        <v>3347.4929999999999</v>
      </c>
      <c r="G144" s="57">
        <v>1.952</v>
      </c>
      <c r="H144" s="57"/>
      <c r="I144" s="57"/>
      <c r="J144" s="57">
        <v>-2.8479999999999999</v>
      </c>
      <c r="K144" s="57"/>
      <c r="L144" s="56"/>
    </row>
    <row r="145" spans="2:12" ht="13.5" thickBot="1" x14ac:dyDescent="0.25">
      <c r="B145" s="59"/>
      <c r="C145" s="60"/>
      <c r="D145" s="61"/>
      <c r="E145" s="61"/>
      <c r="F145" s="61"/>
      <c r="G145" s="61"/>
      <c r="H145" s="61"/>
      <c r="I145" s="61"/>
      <c r="J145" s="61"/>
      <c r="K145" s="61"/>
      <c r="L145" s="60"/>
    </row>
    <row r="146" spans="2:12" x14ac:dyDescent="0.2"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</row>
    <row r="147" spans="2:12" ht="13.5" thickBot="1" x14ac:dyDescent="0.25"/>
    <row r="148" spans="2:12" ht="15" x14ac:dyDescent="0.25">
      <c r="B148" s="62" t="s">
        <v>852</v>
      </c>
      <c r="C148" s="63" t="s">
        <v>193</v>
      </c>
      <c r="D148" s="64" t="s">
        <v>853</v>
      </c>
      <c r="E148" s="64" t="s">
        <v>854</v>
      </c>
      <c r="F148" s="64" t="s">
        <v>855</v>
      </c>
      <c r="G148" s="64" t="s">
        <v>856</v>
      </c>
      <c r="H148" s="64" t="s">
        <v>857</v>
      </c>
      <c r="I148" s="64" t="s">
        <v>858</v>
      </c>
      <c r="J148" s="64" t="s">
        <v>859</v>
      </c>
      <c r="K148" s="64" t="s">
        <v>860</v>
      </c>
      <c r="L148" s="63" t="s">
        <v>861</v>
      </c>
    </row>
    <row r="149" spans="2:12" ht="15" x14ac:dyDescent="0.25">
      <c r="B149" s="65">
        <v>14</v>
      </c>
      <c r="C149" s="66">
        <v>36</v>
      </c>
      <c r="D149" s="67">
        <v>1</v>
      </c>
      <c r="E149" s="67">
        <v>4585.9870000000001</v>
      </c>
      <c r="F149" s="67">
        <v>4513.9970000000003</v>
      </c>
      <c r="G149" s="67">
        <v>2.5819999999999999</v>
      </c>
      <c r="I149" s="67">
        <v>8.0000000000000002E-3</v>
      </c>
      <c r="J149" s="67">
        <v>-0.56999999999999995</v>
      </c>
      <c r="L149" s="66">
        <v>6.2E-2</v>
      </c>
    </row>
    <row r="150" spans="2:12" ht="15" x14ac:dyDescent="0.25">
      <c r="B150" s="65"/>
      <c r="C150" s="66"/>
      <c r="D150" s="67">
        <v>2</v>
      </c>
      <c r="E150" s="67">
        <v>4115.701</v>
      </c>
      <c r="F150" s="67">
        <v>4299.8770000000004</v>
      </c>
      <c r="G150" s="67">
        <v>2.5739999999999998</v>
      </c>
      <c r="H150" s="67"/>
      <c r="I150" s="67"/>
      <c r="J150" s="67">
        <v>-0.53800000000000003</v>
      </c>
      <c r="K150" s="67"/>
      <c r="L150" s="66"/>
    </row>
    <row r="151" spans="2:12" ht="15" x14ac:dyDescent="0.25">
      <c r="B151" s="68" t="s">
        <v>864</v>
      </c>
      <c r="C151" s="66"/>
      <c r="D151" s="67">
        <v>3</v>
      </c>
      <c r="E151" s="67">
        <v>3701.9360000000001</v>
      </c>
      <c r="F151" s="67">
        <v>4097.2340000000004</v>
      </c>
      <c r="G151" s="67">
        <v>2.6030000000000002</v>
      </c>
      <c r="H151" s="67"/>
      <c r="I151" s="67"/>
      <c r="J151" s="67">
        <v>-0.60599999999999998</v>
      </c>
      <c r="K151" s="67"/>
      <c r="L151" s="66"/>
    </row>
    <row r="152" spans="2:12" ht="15" x14ac:dyDescent="0.25">
      <c r="B152" s="65">
        <v>837</v>
      </c>
      <c r="C152" s="66"/>
      <c r="D152" s="67">
        <v>4</v>
      </c>
      <c r="E152" s="67">
        <v>3336.5619999999999</v>
      </c>
      <c r="F152" s="67">
        <v>3905.3110000000001</v>
      </c>
      <c r="G152" s="67">
        <v>2.5960000000000001</v>
      </c>
      <c r="H152" s="67"/>
      <c r="I152" s="67"/>
      <c r="J152" s="67">
        <v>-0.69899999999999995</v>
      </c>
      <c r="K152" s="67"/>
      <c r="L152" s="66"/>
    </row>
    <row r="153" spans="2:12" ht="15" x14ac:dyDescent="0.25">
      <c r="B153" s="65"/>
      <c r="C153" s="66"/>
      <c r="D153" s="67">
        <v>5</v>
      </c>
      <c r="E153" s="67">
        <v>3010.7159999999999</v>
      </c>
      <c r="F153" s="67">
        <v>3723.49</v>
      </c>
      <c r="G153" s="67">
        <v>2.601</v>
      </c>
      <c r="H153" s="67"/>
      <c r="I153" s="67"/>
      <c r="J153" s="67">
        <v>-0.69399999999999995</v>
      </c>
      <c r="K153" s="67"/>
      <c r="L153" s="66"/>
    </row>
    <row r="154" spans="2:12" ht="15" x14ac:dyDescent="0.25">
      <c r="B154" s="68" t="s">
        <v>865</v>
      </c>
      <c r="C154" s="66"/>
      <c r="D154" s="67">
        <v>6</v>
      </c>
      <c r="E154" s="67">
        <v>2722.13</v>
      </c>
      <c r="F154" s="67">
        <v>3551.0259999999998</v>
      </c>
      <c r="G154" s="67">
        <v>2.589</v>
      </c>
      <c r="H154" s="67"/>
      <c r="I154" s="67"/>
      <c r="J154" s="67">
        <v>-0.755</v>
      </c>
      <c r="K154" s="67"/>
      <c r="L154" s="66"/>
    </row>
    <row r="155" spans="2:12" ht="15" x14ac:dyDescent="0.25">
      <c r="B155" s="65">
        <v>7197.33</v>
      </c>
      <c r="C155" s="66"/>
      <c r="D155" s="67">
        <v>7</v>
      </c>
      <c r="E155" s="67">
        <v>2463.9949999999999</v>
      </c>
      <c r="F155" s="67">
        <v>3387.4670000000001</v>
      </c>
      <c r="G155" s="67">
        <v>2.637</v>
      </c>
      <c r="H155" s="67"/>
      <c r="I155" s="67"/>
      <c r="J155" s="67">
        <v>-0.81100000000000005</v>
      </c>
      <c r="K155" s="67"/>
      <c r="L155" s="66"/>
    </row>
    <row r="156" spans="2:12" ht="15" x14ac:dyDescent="0.25">
      <c r="B156" s="65"/>
      <c r="C156" s="66"/>
      <c r="D156" s="67">
        <v>8</v>
      </c>
      <c r="E156" s="67">
        <v>2234.2379999999998</v>
      </c>
      <c r="F156" s="67">
        <v>3231.88</v>
      </c>
      <c r="G156" s="67">
        <v>2.6480000000000001</v>
      </c>
      <c r="H156" s="67"/>
      <c r="I156" s="67"/>
      <c r="J156" s="67">
        <v>-0.83299999999999996</v>
      </c>
      <c r="K156" s="67"/>
      <c r="L156" s="66"/>
    </row>
    <row r="157" spans="2:12" ht="15.75" thickBot="1" x14ac:dyDescent="0.3">
      <c r="B157" s="69"/>
      <c r="C157" s="70"/>
      <c r="D157" s="71"/>
      <c r="E157" s="71"/>
      <c r="F157" s="71"/>
      <c r="G157" s="71"/>
      <c r="H157" s="71"/>
      <c r="I157" s="71"/>
      <c r="J157" s="71"/>
      <c r="K157" s="71"/>
      <c r="L157" s="70"/>
    </row>
    <row r="158" spans="2:12" x14ac:dyDescent="0.2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</row>
    <row r="159" spans="2:12" ht="13.5" thickBot="1" x14ac:dyDescent="0.25"/>
    <row r="160" spans="2:12" ht="15" x14ac:dyDescent="0.25">
      <c r="B160" s="49" t="s">
        <v>852</v>
      </c>
      <c r="C160" s="50" t="s">
        <v>193</v>
      </c>
      <c r="D160" s="51" t="s">
        <v>853</v>
      </c>
      <c r="E160" s="51" t="s">
        <v>854</v>
      </c>
      <c r="F160" s="51" t="s">
        <v>855</v>
      </c>
      <c r="G160" s="51" t="s">
        <v>856</v>
      </c>
      <c r="H160" s="51" t="s">
        <v>857</v>
      </c>
      <c r="I160" s="51" t="s">
        <v>858</v>
      </c>
      <c r="J160" s="51" t="s">
        <v>859</v>
      </c>
      <c r="K160" s="51" t="s">
        <v>860</v>
      </c>
      <c r="L160" s="50" t="s">
        <v>861</v>
      </c>
    </row>
    <row r="161" spans="2:12" x14ac:dyDescent="0.2">
      <c r="B161" s="55">
        <v>15</v>
      </c>
      <c r="C161" s="56">
        <v>36</v>
      </c>
      <c r="D161" s="57">
        <v>1</v>
      </c>
      <c r="E161" s="57">
        <v>5580.01</v>
      </c>
      <c r="F161" s="57">
        <v>5473.6130000000003</v>
      </c>
      <c r="G161" s="57">
        <v>1.9059999999999999</v>
      </c>
      <c r="H161" s="57">
        <v>1.919</v>
      </c>
      <c r="I161" s="57">
        <v>2.3E-2</v>
      </c>
      <c r="J161" s="57">
        <v>-2.516</v>
      </c>
      <c r="K161" s="57">
        <v>-2.6549999999999998</v>
      </c>
      <c r="L161" s="56">
        <v>5.6000000000000001E-2</v>
      </c>
    </row>
    <row r="162" spans="2:12" x14ac:dyDescent="0.2">
      <c r="B162" s="55"/>
      <c r="C162" s="56"/>
      <c r="D162" s="57">
        <v>2</v>
      </c>
      <c r="E162" s="57">
        <v>4978.7240000000002</v>
      </c>
      <c r="F162" s="57">
        <v>5206.8530000000001</v>
      </c>
      <c r="G162" s="57">
        <v>1.901</v>
      </c>
      <c r="H162" s="57"/>
      <c r="I162" s="57"/>
      <c r="J162" s="57">
        <v>-2.577</v>
      </c>
      <c r="K162" s="57"/>
      <c r="L162" s="56"/>
    </row>
    <row r="163" spans="2:12" ht="15" x14ac:dyDescent="0.25">
      <c r="B163" s="58" t="s">
        <v>864</v>
      </c>
      <c r="C163" s="56"/>
      <c r="D163" s="57">
        <v>3</v>
      </c>
      <c r="E163" s="57">
        <v>4450.8609999999999</v>
      </c>
      <c r="F163" s="57">
        <v>4955.116</v>
      </c>
      <c r="G163" s="57">
        <v>1.9019999999999999</v>
      </c>
      <c r="H163" s="57"/>
      <c r="I163" s="57"/>
      <c r="J163" s="57">
        <v>-2.6219999999999999</v>
      </c>
      <c r="K163" s="57"/>
      <c r="L163" s="56"/>
    </row>
    <row r="164" spans="2:12" x14ac:dyDescent="0.2">
      <c r="B164" s="55">
        <v>891</v>
      </c>
      <c r="C164" s="56"/>
      <c r="D164" s="57">
        <v>4</v>
      </c>
      <c r="E164" s="57">
        <v>3987.1</v>
      </c>
      <c r="F164" s="57">
        <v>4717.5249999999996</v>
      </c>
      <c r="G164" s="57">
        <v>1.909</v>
      </c>
      <c r="H164" s="57"/>
      <c r="I164" s="57"/>
      <c r="J164" s="57">
        <v>-2.6480000000000001</v>
      </c>
      <c r="K164" s="57"/>
      <c r="L164" s="56"/>
    </row>
    <row r="165" spans="2:12" x14ac:dyDescent="0.2">
      <c r="B165" s="55"/>
      <c r="C165" s="56"/>
      <c r="D165" s="57">
        <v>5</v>
      </c>
      <c r="E165" s="57">
        <v>3576.799</v>
      </c>
      <c r="F165" s="57">
        <v>4492.7719999999999</v>
      </c>
      <c r="G165" s="57">
        <v>1.9390000000000001</v>
      </c>
      <c r="H165" s="57"/>
      <c r="I165" s="57"/>
      <c r="J165" s="57">
        <v>-2.6629999999999998</v>
      </c>
      <c r="K165" s="57"/>
      <c r="L165" s="56"/>
    </row>
    <row r="166" spans="2:12" ht="15" x14ac:dyDescent="0.25">
      <c r="B166" s="58" t="s">
        <v>865</v>
      </c>
      <c r="C166" s="56"/>
      <c r="D166" s="57">
        <v>6</v>
      </c>
      <c r="E166" s="57">
        <v>3199.973</v>
      </c>
      <c r="F166" s="57">
        <v>4280.308</v>
      </c>
      <c r="G166" s="57">
        <v>1.9570000000000001</v>
      </c>
      <c r="H166" s="57"/>
      <c r="I166" s="57"/>
      <c r="J166" s="57">
        <v>-2.6720000000000002</v>
      </c>
      <c r="K166" s="57"/>
      <c r="L166" s="56"/>
    </row>
    <row r="167" spans="2:12" x14ac:dyDescent="0.2">
      <c r="B167" s="55">
        <v>9164.5400000000009</v>
      </c>
      <c r="C167" s="56"/>
      <c r="D167" s="57">
        <v>7</v>
      </c>
      <c r="E167" s="57">
        <v>2857.232</v>
      </c>
      <c r="F167" s="57">
        <v>4079.6390000000001</v>
      </c>
      <c r="G167" s="57">
        <v>1.9630000000000001</v>
      </c>
      <c r="H167" s="57"/>
      <c r="I167" s="57"/>
      <c r="J167" s="57">
        <v>-2.7450000000000001</v>
      </c>
      <c r="K167" s="57"/>
      <c r="L167" s="56"/>
    </row>
    <row r="168" spans="2:12" x14ac:dyDescent="0.2">
      <c r="B168" s="55"/>
      <c r="C168" s="56"/>
      <c r="D168" s="57">
        <v>8</v>
      </c>
      <c r="E168" s="57">
        <v>2574.779</v>
      </c>
      <c r="F168" s="57">
        <v>3888.7710000000002</v>
      </c>
      <c r="G168" s="57">
        <v>1.9730000000000001</v>
      </c>
      <c r="H168" s="57"/>
      <c r="I168" s="57"/>
      <c r="J168" s="57">
        <v>-2.8039999999999998</v>
      </c>
      <c r="K168" s="57"/>
      <c r="L168" s="56"/>
    </row>
    <row r="169" spans="2:12" ht="13.5" thickBot="1" x14ac:dyDescent="0.25">
      <c r="B169" s="59"/>
      <c r="C169" s="60"/>
      <c r="D169" s="61"/>
      <c r="E169" s="61"/>
      <c r="F169" s="61"/>
      <c r="G169" s="61"/>
      <c r="H169" s="61"/>
      <c r="I169" s="61"/>
      <c r="J169" s="61"/>
      <c r="K169" s="61"/>
      <c r="L169" s="60"/>
    </row>
    <row r="170" spans="2:12" x14ac:dyDescent="0.2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</row>
    <row r="171" spans="2:12" ht="13.5" thickBot="1" x14ac:dyDescent="0.25"/>
    <row r="172" spans="2:12" ht="15" x14ac:dyDescent="0.25">
      <c r="B172" s="49" t="s">
        <v>852</v>
      </c>
      <c r="C172" s="50" t="s">
        <v>193</v>
      </c>
      <c r="D172" s="51" t="s">
        <v>853</v>
      </c>
      <c r="E172" s="51" t="s">
        <v>854</v>
      </c>
      <c r="F172" s="51" t="s">
        <v>855</v>
      </c>
      <c r="G172" s="51" t="s">
        <v>856</v>
      </c>
      <c r="H172" s="51" t="s">
        <v>857</v>
      </c>
      <c r="I172" s="51" t="s">
        <v>858</v>
      </c>
      <c r="J172" s="51" t="s">
        <v>859</v>
      </c>
      <c r="K172" s="51" t="s">
        <v>860</v>
      </c>
      <c r="L172" s="50" t="s">
        <v>861</v>
      </c>
    </row>
    <row r="173" spans="2:12" x14ac:dyDescent="0.2">
      <c r="B173" s="55">
        <v>16</v>
      </c>
      <c r="C173" s="56">
        <v>36</v>
      </c>
      <c r="D173" s="57">
        <v>1</v>
      </c>
      <c r="E173" s="57">
        <v>4697.7740000000003</v>
      </c>
      <c r="F173" s="57">
        <v>4618.0619999999999</v>
      </c>
      <c r="G173" s="57">
        <v>1.867</v>
      </c>
      <c r="H173" s="57">
        <v>1.92</v>
      </c>
      <c r="I173" s="57">
        <v>1.4E-2</v>
      </c>
      <c r="J173" s="57">
        <v>-2.59</v>
      </c>
      <c r="K173" s="57">
        <v>-2.7269999999999999</v>
      </c>
      <c r="L173" s="56">
        <v>7.0000000000000007E-2</v>
      </c>
    </row>
    <row r="174" spans="2:12" x14ac:dyDescent="0.2">
      <c r="B174" s="55"/>
      <c r="C174" s="56"/>
      <c r="D174" s="57">
        <v>2</v>
      </c>
      <c r="E174" s="57">
        <v>4212.8559999999998</v>
      </c>
      <c r="F174" s="57">
        <v>4398.9269999999997</v>
      </c>
      <c r="G174" s="57">
        <v>1.9019999999999999</v>
      </c>
      <c r="H174" s="57"/>
      <c r="I174" s="57"/>
      <c r="J174" s="57">
        <v>-2.5979999999999999</v>
      </c>
      <c r="K174" s="57"/>
      <c r="L174" s="56"/>
    </row>
    <row r="175" spans="2:12" ht="15" x14ac:dyDescent="0.25">
      <c r="B175" s="58" t="s">
        <v>864</v>
      </c>
      <c r="C175" s="56"/>
      <c r="D175" s="57">
        <v>3</v>
      </c>
      <c r="E175" s="57">
        <v>3783.6190000000001</v>
      </c>
      <c r="F175" s="57">
        <v>4191.3530000000001</v>
      </c>
      <c r="G175" s="57">
        <v>1.9139999999999999</v>
      </c>
      <c r="H175" s="57"/>
      <c r="I175" s="57"/>
      <c r="J175" s="57">
        <v>-2.6320000000000001</v>
      </c>
      <c r="K175" s="57"/>
      <c r="L175" s="56"/>
    </row>
    <row r="176" spans="2:12" x14ac:dyDescent="0.2">
      <c r="B176" s="55">
        <v>841</v>
      </c>
      <c r="C176" s="56"/>
      <c r="D176" s="106">
        <v>4</v>
      </c>
      <c r="E176" s="107">
        <v>3404.3879999999999</v>
      </c>
      <c r="F176" s="107">
        <v>3995.36</v>
      </c>
      <c r="G176" s="107">
        <v>1.927</v>
      </c>
      <c r="H176" s="107"/>
      <c r="I176" s="107"/>
      <c r="J176" s="107">
        <v>-2.68</v>
      </c>
      <c r="K176" s="107"/>
      <c r="L176" s="108">
        <f>_xlfn.STDEV.S(J173:J176)</f>
        <v>4.0938978980917591E-2</v>
      </c>
    </row>
    <row r="177" spans="2:21" x14ac:dyDescent="0.2">
      <c r="B177" s="55"/>
      <c r="C177" s="56"/>
      <c r="D177" s="57">
        <v>5</v>
      </c>
      <c r="E177" s="57">
        <v>3068.0650000000001</v>
      </c>
      <c r="F177" s="57">
        <v>3809.2179999999998</v>
      </c>
      <c r="G177" s="57">
        <v>1.919</v>
      </c>
      <c r="H177" s="57"/>
      <c r="I177" s="57"/>
      <c r="J177" s="57">
        <v>-2.7490000000000001</v>
      </c>
      <c r="K177" s="57"/>
      <c r="L177" s="56"/>
    </row>
    <row r="178" spans="2:21" ht="15" x14ac:dyDescent="0.25">
      <c r="B178" s="58" t="s">
        <v>865</v>
      </c>
      <c r="C178" s="56"/>
      <c r="D178" s="57">
        <v>6</v>
      </c>
      <c r="E178" s="57">
        <v>2769.3209999999999</v>
      </c>
      <c r="F178" s="57">
        <v>3632.1570000000002</v>
      </c>
      <c r="G178" s="57">
        <v>1.9379999999999999</v>
      </c>
      <c r="H178" s="57"/>
      <c r="I178" s="57"/>
      <c r="J178" s="57">
        <v>-2.798</v>
      </c>
      <c r="K178" s="57"/>
      <c r="L178" s="56"/>
    </row>
    <row r="179" spans="2:21" x14ac:dyDescent="0.2">
      <c r="B179" s="55">
        <v>7557.75</v>
      </c>
      <c r="C179" s="56"/>
      <c r="D179" s="57">
        <v>7</v>
      </c>
      <c r="E179" s="57">
        <v>2504.3380000000002</v>
      </c>
      <c r="F179" s="57">
        <v>3464.6779999999999</v>
      </c>
      <c r="G179" s="57">
        <v>1.964</v>
      </c>
      <c r="H179" s="57"/>
      <c r="I179" s="57"/>
      <c r="J179" s="57">
        <v>-2.7759999999999998</v>
      </c>
      <c r="K179" s="57"/>
      <c r="L179" s="56"/>
    </row>
    <row r="180" spans="2:21" x14ac:dyDescent="0.2">
      <c r="B180" s="55"/>
      <c r="C180" s="56"/>
      <c r="D180" s="57">
        <v>8</v>
      </c>
      <c r="E180" s="57">
        <v>2267.3290000000002</v>
      </c>
      <c r="F180" s="57">
        <v>3305.8429999999998</v>
      </c>
      <c r="G180" s="57">
        <v>1.9690000000000001</v>
      </c>
      <c r="H180" s="57"/>
      <c r="I180" s="57"/>
      <c r="J180" s="57">
        <v>-2.8719999999999999</v>
      </c>
      <c r="K180" s="57"/>
      <c r="L180" s="56">
        <f>_xlfn.STDEV.S(J177:J180)</f>
        <v>5.2784941034351773E-2</v>
      </c>
    </row>
    <row r="181" spans="2:21" ht="13.5" thickBot="1" x14ac:dyDescent="0.25">
      <c r="B181" s="59"/>
      <c r="C181" s="60"/>
      <c r="D181" s="61"/>
      <c r="E181" s="61"/>
      <c r="F181" s="61"/>
      <c r="G181" s="61"/>
      <c r="H181" s="61"/>
      <c r="I181" s="61"/>
      <c r="J181" s="61"/>
      <c r="K181" s="61"/>
      <c r="L181" s="60"/>
    </row>
    <row r="182" spans="2:21" x14ac:dyDescent="0.2"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</row>
    <row r="183" spans="2:21" ht="13.5" thickBot="1" x14ac:dyDescent="0.25"/>
    <row r="184" spans="2:21" ht="18.75" x14ac:dyDescent="0.3">
      <c r="R184" s="72" t="s">
        <v>866</v>
      </c>
      <c r="S184" s="73" t="s">
        <v>867</v>
      </c>
      <c r="T184" s="74"/>
    </row>
    <row r="185" spans="2:21" ht="18.75" x14ac:dyDescent="0.3">
      <c r="R185" s="75"/>
      <c r="S185" s="76"/>
      <c r="T185" s="77"/>
    </row>
    <row r="186" spans="2:21" ht="18.75" x14ac:dyDescent="0.3">
      <c r="R186" s="78">
        <f>AVERAGE(H173,H161,H137,H125,H101,H89)</f>
        <v>1.9088333333333332</v>
      </c>
      <c r="S186" s="79">
        <f>AVERAGE(K173,K161,K137,K125,K101,K89)</f>
        <v>-2.7218333333333331</v>
      </c>
      <c r="T186" s="77" t="s">
        <v>868</v>
      </c>
    </row>
    <row r="187" spans="2:21" ht="19.5" thickBot="1" x14ac:dyDescent="0.35">
      <c r="R187" s="80">
        <f>STDEV(H173,H161,H137,H125,H101,H89)</f>
        <v>1.1513759884011224E-2</v>
      </c>
      <c r="S187" s="81">
        <f>STDEV(K173,K161,K137,K125,K101,K89)</f>
        <v>4.9487035339234771E-2</v>
      </c>
      <c r="T187" s="82" t="s">
        <v>869</v>
      </c>
    </row>
    <row r="189" spans="2:21" x14ac:dyDescent="0.2">
      <c r="R189" s="92" t="s">
        <v>886</v>
      </c>
      <c r="S189" s="93" t="s">
        <v>569</v>
      </c>
      <c r="T189" s="93" t="s">
        <v>91</v>
      </c>
      <c r="U189" s="95" t="s">
        <v>817</v>
      </c>
    </row>
    <row r="190" spans="2:21" x14ac:dyDescent="0.2">
      <c r="R190" s="93" t="s">
        <v>809</v>
      </c>
      <c r="S190" s="94">
        <f>AVERAGE(K5,K17,K29)</f>
        <v>-3.3056666666666668</v>
      </c>
      <c r="T190" s="94">
        <f>_xlfn.STDEV.S(K5,K17,K29)</f>
        <v>0.12100137740262849</v>
      </c>
      <c r="U190" s="95">
        <v>3</v>
      </c>
    </row>
    <row r="191" spans="2:21" x14ac:dyDescent="0.2">
      <c r="R191" s="93" t="s">
        <v>810</v>
      </c>
      <c r="S191" s="94">
        <f>AVERAGE(K41,K53,K65,K77)</f>
        <v>-3.0905</v>
      </c>
      <c r="T191" s="94">
        <f>_xlfn.STDEV.S(K41,K53,K65,K77)</f>
        <v>0.22853227343200347</v>
      </c>
      <c r="U191" s="95">
        <v>4</v>
      </c>
    </row>
    <row r="192" spans="2:21" x14ac:dyDescent="0.2">
      <c r="R192" s="93" t="s">
        <v>811</v>
      </c>
      <c r="S192" s="94">
        <f>AVERAGE(K89,K101,K125)</f>
        <v>-2.7479999999999998</v>
      </c>
      <c r="T192" s="94">
        <f>_xlfn.STDEV.S(K89,K101,K125)</f>
        <v>5.2028838157314308E-2</v>
      </c>
      <c r="U192" s="95">
        <v>3</v>
      </c>
    </row>
    <row r="193" spans="18:41" x14ac:dyDescent="0.2">
      <c r="R193" s="93" t="s">
        <v>812</v>
      </c>
      <c r="S193" s="94">
        <f>AVERAGE(K137,K161,K173)</f>
        <v>-2.6956666666666664</v>
      </c>
      <c r="T193" s="94">
        <f>_xlfn.STDEV.S(K137,K161,K173)</f>
        <v>3.6896250938724624E-2</v>
      </c>
      <c r="U193" s="95">
        <v>3</v>
      </c>
    </row>
    <row r="195" spans="18:41" x14ac:dyDescent="0.2">
      <c r="R195" s="92" t="s">
        <v>887</v>
      </c>
      <c r="S195" s="93" t="s">
        <v>569</v>
      </c>
      <c r="T195" s="93" t="s">
        <v>91</v>
      </c>
      <c r="U195" s="95" t="s">
        <v>817</v>
      </c>
    </row>
    <row r="196" spans="18:41" x14ac:dyDescent="0.2">
      <c r="R196" s="93" t="s">
        <v>809</v>
      </c>
      <c r="S196" s="94">
        <f>AVERAGE(H5,H17,H29)</f>
        <v>1.617</v>
      </c>
      <c r="T196" s="94">
        <f>_xlfn.STDEV.S(H5,H17,H29)</f>
        <v>0.10543244282477771</v>
      </c>
      <c r="U196" s="95">
        <v>3</v>
      </c>
    </row>
    <row r="197" spans="18:41" x14ac:dyDescent="0.2">
      <c r="R197" s="93" t="s">
        <v>810</v>
      </c>
      <c r="S197" s="94">
        <f>AVERAGE(H41,H53,H65,H77)</f>
        <v>1.7152499999999997</v>
      </c>
      <c r="T197" s="94">
        <f>_xlfn.STDEV.S(H41,H53,H65,H77)</f>
        <v>0.11220331248823866</v>
      </c>
      <c r="U197" s="95">
        <v>4</v>
      </c>
    </row>
    <row r="198" spans="18:41" x14ac:dyDescent="0.2">
      <c r="R198" s="93" t="s">
        <v>811</v>
      </c>
      <c r="S198" s="94">
        <f>AVERAGE(H89,H101,H125)</f>
        <v>1.9019999999999999</v>
      </c>
      <c r="T198" s="94">
        <f>_xlfn.STDEV.S(H89,H101,H125)</f>
        <v>1.2124355652982087E-2</v>
      </c>
      <c r="U198" s="95">
        <v>3</v>
      </c>
    </row>
    <row r="199" spans="18:41" x14ac:dyDescent="0.2">
      <c r="R199" s="93" t="s">
        <v>812</v>
      </c>
      <c r="S199" s="94">
        <f>AVERAGE(H137,H161,H173)</f>
        <v>1.9156666666666666</v>
      </c>
      <c r="T199" s="94">
        <f>_xlfn.STDEV.S(H137,H161,H1739)</f>
        <v>7.778174593052108E-3</v>
      </c>
      <c r="U199" s="95">
        <v>3</v>
      </c>
    </row>
    <row r="200" spans="18:41" x14ac:dyDescent="0.2">
      <c r="AA200" s="86"/>
    </row>
    <row r="201" spans="18:41" x14ac:dyDescent="0.2">
      <c r="V201" s="83" t="s">
        <v>871</v>
      </c>
      <c r="W201" s="84" t="s">
        <v>873</v>
      </c>
      <c r="AA201" s="84" t="s">
        <v>874</v>
      </c>
    </row>
    <row r="202" spans="18:41" x14ac:dyDescent="0.2">
      <c r="V202" s="83" t="s">
        <v>872</v>
      </c>
      <c r="W202" s="84" t="s">
        <v>875</v>
      </c>
      <c r="AA202" s="84" t="s">
        <v>876</v>
      </c>
    </row>
    <row r="203" spans="18:41" x14ac:dyDescent="0.2">
      <c r="V203" s="85">
        <v>42174</v>
      </c>
      <c r="W203" s="84" t="s">
        <v>877</v>
      </c>
      <c r="AA203" s="84" t="s">
        <v>879</v>
      </c>
    </row>
    <row r="204" spans="18:41" x14ac:dyDescent="0.2">
      <c r="V204" s="85">
        <v>42200</v>
      </c>
      <c r="W204" s="84" t="s">
        <v>878</v>
      </c>
      <c r="AA204" s="83"/>
    </row>
    <row r="206" spans="18:41" ht="13.5" thickBot="1" x14ac:dyDescent="0.25"/>
    <row r="207" spans="18:41" x14ac:dyDescent="0.2">
      <c r="AK207" s="45" t="s">
        <v>843</v>
      </c>
      <c r="AL207" s="45" t="s">
        <v>844</v>
      </c>
      <c r="AM207" s="45" t="s">
        <v>845</v>
      </c>
      <c r="AN207" s="45" t="s">
        <v>846</v>
      </c>
      <c r="AO207" s="45" t="s">
        <v>847</v>
      </c>
    </row>
    <row r="208" spans="18:41" ht="39.75" thickBot="1" x14ac:dyDescent="0.25">
      <c r="AK208" s="46" t="s">
        <v>848</v>
      </c>
      <c r="AL208" s="47" t="s">
        <v>849</v>
      </c>
      <c r="AM208" s="47" t="s">
        <v>850</v>
      </c>
      <c r="AN208" s="47"/>
      <c r="AO208" s="48" t="s">
        <v>851</v>
      </c>
    </row>
    <row r="209" spans="18:42" ht="21.75" thickBot="1" x14ac:dyDescent="0.25">
      <c r="AK209" s="52" t="s">
        <v>862</v>
      </c>
      <c r="AL209" s="53" t="s">
        <v>863</v>
      </c>
      <c r="AM209" s="53" t="s">
        <v>850</v>
      </c>
      <c r="AN209" s="53"/>
      <c r="AO209" s="54" t="s">
        <v>851</v>
      </c>
    </row>
    <row r="212" spans="18:42" x14ac:dyDescent="0.2">
      <c r="AK212" s="96" t="s">
        <v>888</v>
      </c>
      <c r="AL212" s="96"/>
      <c r="AM212" s="96"/>
      <c r="AN212" s="96"/>
      <c r="AO212" s="96"/>
      <c r="AP212" s="96"/>
    </row>
    <row r="213" spans="18:42" x14ac:dyDescent="0.2">
      <c r="AK213" s="97" t="s">
        <v>889</v>
      </c>
      <c r="AL213" s="96"/>
      <c r="AM213" s="96"/>
      <c r="AN213" s="96"/>
      <c r="AO213" s="96"/>
      <c r="AP213" s="96"/>
    </row>
    <row r="214" spans="18:42" x14ac:dyDescent="0.2">
      <c r="AK214" s="96" t="s">
        <v>890</v>
      </c>
      <c r="AL214" s="96"/>
      <c r="AM214" s="96"/>
      <c r="AN214" s="96"/>
      <c r="AO214" s="96"/>
      <c r="AP214" s="96"/>
    </row>
    <row r="215" spans="18:42" x14ac:dyDescent="0.2">
      <c r="AK215" s="96" t="s">
        <v>891</v>
      </c>
      <c r="AL215" s="96"/>
      <c r="AM215" s="96"/>
      <c r="AN215" s="96"/>
      <c r="AO215" s="96"/>
      <c r="AP215" s="96"/>
    </row>
    <row r="216" spans="18:42" x14ac:dyDescent="0.2">
      <c r="AK216" s="96" t="s">
        <v>892</v>
      </c>
      <c r="AL216" s="96"/>
      <c r="AM216" s="96"/>
      <c r="AN216" s="96"/>
      <c r="AO216" s="96"/>
      <c r="AP216" s="96"/>
    </row>
    <row r="217" spans="18:42" x14ac:dyDescent="0.2">
      <c r="AK217" s="96" t="s">
        <v>893</v>
      </c>
      <c r="AL217" s="96"/>
      <c r="AM217" s="96"/>
      <c r="AN217" s="96"/>
      <c r="AO217" s="96"/>
      <c r="AP217" s="96"/>
    </row>
    <row r="218" spans="18:42" x14ac:dyDescent="0.2">
      <c r="AK218" s="96" t="s">
        <v>894</v>
      </c>
      <c r="AL218" s="96"/>
      <c r="AM218" s="96"/>
      <c r="AN218" s="96"/>
      <c r="AO218" s="96"/>
      <c r="AP218" s="96"/>
    </row>
    <row r="219" spans="18:42" x14ac:dyDescent="0.2">
      <c r="AK219" s="96" t="s">
        <v>895</v>
      </c>
      <c r="AL219" s="96"/>
      <c r="AM219" s="96"/>
      <c r="AN219" s="96"/>
      <c r="AO219" s="96"/>
      <c r="AP219" s="96"/>
    </row>
    <row r="220" spans="18:42" x14ac:dyDescent="0.2">
      <c r="AK220" s="96" t="s">
        <v>896</v>
      </c>
      <c r="AL220" s="96"/>
      <c r="AM220" s="96"/>
      <c r="AN220" s="96"/>
      <c r="AO220" s="96"/>
      <c r="AP220" s="96"/>
    </row>
    <row r="221" spans="18:42" x14ac:dyDescent="0.2">
      <c r="S221" s="87" t="s">
        <v>880</v>
      </c>
      <c r="AB221" s="44"/>
      <c r="AK221" s="96" t="s">
        <v>897</v>
      </c>
      <c r="AL221" s="96"/>
      <c r="AM221" s="96"/>
      <c r="AN221" s="96"/>
      <c r="AO221" s="96"/>
      <c r="AP221" s="96"/>
    </row>
    <row r="222" spans="18:42" x14ac:dyDescent="0.2">
      <c r="S222" s="44" t="s">
        <v>815</v>
      </c>
      <c r="Z222" s="44" t="s">
        <v>816</v>
      </c>
      <c r="AB222" s="44"/>
      <c r="AK222" s="96" t="s">
        <v>898</v>
      </c>
      <c r="AL222" s="96"/>
      <c r="AM222" s="96"/>
      <c r="AN222" s="96"/>
      <c r="AO222" s="96"/>
      <c r="AP222" s="96"/>
    </row>
    <row r="223" spans="18:42" x14ac:dyDescent="0.2">
      <c r="S223" s="44" t="s">
        <v>809</v>
      </c>
      <c r="T223" s="44" t="s">
        <v>810</v>
      </c>
      <c r="U223" s="44" t="s">
        <v>811</v>
      </c>
      <c r="V223" s="44" t="s">
        <v>812</v>
      </c>
      <c r="W223" s="44" t="s">
        <v>813</v>
      </c>
      <c r="X223" s="44" t="s">
        <v>814</v>
      </c>
      <c r="Z223" s="44" t="s">
        <v>809</v>
      </c>
      <c r="AA223" s="44" t="s">
        <v>810</v>
      </c>
      <c r="AB223" s="44" t="s">
        <v>811</v>
      </c>
      <c r="AC223" t="s">
        <v>812</v>
      </c>
      <c r="AD223" t="s">
        <v>813</v>
      </c>
      <c r="AE223" t="s">
        <v>814</v>
      </c>
    </row>
    <row r="224" spans="18:42" x14ac:dyDescent="0.2">
      <c r="R224" s="83" t="s">
        <v>569</v>
      </c>
      <c r="S224" s="88">
        <v>1.3774666666666662</v>
      </c>
      <c r="T224" s="88">
        <v>1.6659444444444444</v>
      </c>
      <c r="U224" s="88">
        <v>1.829181818181818</v>
      </c>
      <c r="V224" s="88">
        <v>1.8917647058823528</v>
      </c>
      <c r="W224" s="88">
        <v>1.9527272727272731</v>
      </c>
      <c r="X224" s="88">
        <v>1.9363076923076927</v>
      </c>
      <c r="Z224" s="88">
        <v>-4.0432000000000006</v>
      </c>
      <c r="AA224" s="88">
        <v>-3.2479999999999998</v>
      </c>
      <c r="AB224" s="88">
        <v>-2.7586363636363638</v>
      </c>
      <c r="AC224" s="89">
        <v>-2.5440000000000005</v>
      </c>
      <c r="AD224" s="89">
        <v>-2.5546363636363636</v>
      </c>
      <c r="AE224" s="89">
        <v>-2.6513846153846155</v>
      </c>
    </row>
    <row r="225" spans="18:31" x14ac:dyDescent="0.2">
      <c r="R225" s="83" t="s">
        <v>91</v>
      </c>
      <c r="S225" s="88">
        <v>0.22535967019940062</v>
      </c>
      <c r="T225" s="88">
        <v>0.43503488328317147</v>
      </c>
      <c r="U225" s="88">
        <v>7.8231474716789248E-2</v>
      </c>
      <c r="V225" s="88">
        <v>8.3993697242534721E-2</v>
      </c>
      <c r="W225" s="88">
        <v>3.3259858415486135E-2</v>
      </c>
      <c r="X225" s="88">
        <v>3.1151202800171904E-2</v>
      </c>
      <c r="Z225" s="88">
        <v>0.58040394800271555</v>
      </c>
      <c r="AA225" s="88">
        <v>1.0747537611280187</v>
      </c>
      <c r="AB225" s="88">
        <v>0.18242438034828171</v>
      </c>
      <c r="AC225" s="89">
        <v>0.32999810605517088</v>
      </c>
      <c r="AD225" s="89">
        <v>0.18168559256433778</v>
      </c>
      <c r="AE225" s="89">
        <v>0.25323096784738447</v>
      </c>
    </row>
    <row r="226" spans="18:31" x14ac:dyDescent="0.2">
      <c r="R226" s="83" t="s">
        <v>817</v>
      </c>
      <c r="S226" s="44">
        <v>15</v>
      </c>
      <c r="T226" s="44">
        <v>18</v>
      </c>
      <c r="U226" s="44">
        <v>11</v>
      </c>
      <c r="V226" s="44">
        <v>17</v>
      </c>
      <c r="W226" s="44">
        <v>11</v>
      </c>
      <c r="X226" s="44">
        <v>13</v>
      </c>
      <c r="Z226" s="44">
        <v>15</v>
      </c>
      <c r="AA226" s="44">
        <v>18</v>
      </c>
      <c r="AB226" s="44">
        <v>11</v>
      </c>
      <c r="AC226">
        <v>17</v>
      </c>
      <c r="AD226">
        <v>11</v>
      </c>
      <c r="AE226">
        <v>13</v>
      </c>
    </row>
    <row r="228" spans="18:31" ht="15.75" x14ac:dyDescent="0.25">
      <c r="S228" s="98" t="s">
        <v>881</v>
      </c>
      <c r="T228" s="98"/>
      <c r="U228" s="90"/>
      <c r="V228" s="90"/>
      <c r="W228" s="90"/>
      <c r="X228" s="90"/>
      <c r="Y228" s="90"/>
      <c r="Z228" s="90"/>
      <c r="AA228" s="90"/>
      <c r="AB228" s="91"/>
    </row>
    <row r="229" spans="18:31" ht="15.75" x14ac:dyDescent="0.25">
      <c r="S229" s="98" t="s">
        <v>882</v>
      </c>
      <c r="T229" s="99" t="s">
        <v>885</v>
      </c>
      <c r="U229" s="90"/>
      <c r="V229" s="90"/>
      <c r="W229" s="90"/>
      <c r="X229" s="90"/>
      <c r="Y229" s="90"/>
      <c r="Z229" s="90"/>
      <c r="AA229" s="90"/>
      <c r="AB229" s="91"/>
    </row>
    <row r="230" spans="18:31" ht="15.75" x14ac:dyDescent="0.25">
      <c r="S230" s="98" t="s">
        <v>883</v>
      </c>
      <c r="T230" s="99" t="s">
        <v>884</v>
      </c>
      <c r="U230" s="90"/>
      <c r="V230" s="90"/>
      <c r="W230" s="90"/>
      <c r="X230" s="90"/>
      <c r="Y230" s="90"/>
      <c r="Z230" s="90"/>
      <c r="AA230" s="90"/>
      <c r="AB230" s="91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workbookViewId="0">
      <selection activeCell="F32" sqref="F32"/>
    </sheetView>
  </sheetViews>
  <sheetFormatPr defaultColWidth="8.7109375" defaultRowHeight="12.75" x14ac:dyDescent="0.2"/>
  <sheetData>
    <row r="2" spans="1:17" x14ac:dyDescent="0.2">
      <c r="A2" s="1" t="s">
        <v>0</v>
      </c>
      <c r="B2" s="1" t="s">
        <v>1</v>
      </c>
      <c r="C2" s="1" t="s">
        <v>2</v>
      </c>
      <c r="D2" s="1" t="s">
        <v>127</v>
      </c>
      <c r="E2" s="1" t="s">
        <v>132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128</v>
      </c>
      <c r="N2" s="1" t="s">
        <v>129</v>
      </c>
      <c r="O2" s="1" t="s">
        <v>130</v>
      </c>
      <c r="P2" s="1" t="s">
        <v>131</v>
      </c>
      <c r="Q2" s="1" t="s">
        <v>10</v>
      </c>
    </row>
    <row r="3" spans="1:17" x14ac:dyDescent="0.2">
      <c r="A3" s="13" t="s">
        <v>116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">
      <c r="A4" s="1">
        <v>10</v>
      </c>
      <c r="B4" s="1" t="s">
        <v>156</v>
      </c>
      <c r="E4" s="1" t="s">
        <v>157</v>
      </c>
      <c r="F4" s="1">
        <v>-4.5</v>
      </c>
      <c r="G4" s="1">
        <v>-4.5110000000000001</v>
      </c>
      <c r="H4" s="1">
        <v>0.01</v>
      </c>
      <c r="I4" s="1">
        <v>-14.05</v>
      </c>
      <c r="J4" s="1">
        <v>-21.952000000000002</v>
      </c>
      <c r="K4" s="1">
        <v>0.03</v>
      </c>
      <c r="L4" s="1" t="s">
        <v>158</v>
      </c>
      <c r="M4" s="1">
        <v>1</v>
      </c>
      <c r="N4" s="1" t="s">
        <v>159</v>
      </c>
      <c r="O4" s="1" t="s">
        <v>160</v>
      </c>
      <c r="P4" s="1" t="s">
        <v>161</v>
      </c>
      <c r="Q4" s="1" t="s">
        <v>162</v>
      </c>
    </row>
    <row r="5" spans="1:17" x14ac:dyDescent="0.2">
      <c r="A5" s="1">
        <v>10</v>
      </c>
      <c r="B5" s="1" t="s">
        <v>156</v>
      </c>
      <c r="E5" s="1" t="s">
        <v>157</v>
      </c>
      <c r="F5" s="1">
        <v>-4.5519999999999996</v>
      </c>
      <c r="G5" s="1">
        <v>-4.5110000000000001</v>
      </c>
      <c r="H5" s="1">
        <v>0.01</v>
      </c>
      <c r="I5" s="1">
        <v>-22.155000000000001</v>
      </c>
      <c r="J5" s="1">
        <v>-21.952000000000002</v>
      </c>
      <c r="K5" s="1">
        <v>0.03</v>
      </c>
      <c r="L5" s="1" t="s">
        <v>158</v>
      </c>
      <c r="M5" s="1">
        <v>1</v>
      </c>
      <c r="N5" s="1" t="s">
        <v>159</v>
      </c>
      <c r="O5" s="1" t="s">
        <v>160</v>
      </c>
      <c r="P5" s="1" t="s">
        <v>161</v>
      </c>
      <c r="Q5" s="1" t="s">
        <v>162</v>
      </c>
    </row>
    <row r="6" spans="1:17" x14ac:dyDescent="0.2">
      <c r="A6" s="1">
        <v>10</v>
      </c>
      <c r="B6" s="1" t="s">
        <v>156</v>
      </c>
      <c r="E6" s="1" t="s">
        <v>157</v>
      </c>
      <c r="F6" s="1">
        <v>-4.5</v>
      </c>
      <c r="G6" s="1">
        <v>-4.5110000000000001</v>
      </c>
      <c r="H6" s="1">
        <v>0.01</v>
      </c>
      <c r="I6" s="1">
        <v>-14.05</v>
      </c>
      <c r="J6" s="1">
        <v>-21.952000000000002</v>
      </c>
      <c r="K6" s="1">
        <v>0.03</v>
      </c>
      <c r="L6" s="1" t="s">
        <v>158</v>
      </c>
      <c r="M6" s="1">
        <v>1</v>
      </c>
      <c r="N6" s="1" t="s">
        <v>159</v>
      </c>
      <c r="O6" s="1" t="s">
        <v>160</v>
      </c>
      <c r="P6" s="1" t="s">
        <v>161</v>
      </c>
      <c r="Q6" s="1" t="s">
        <v>162</v>
      </c>
    </row>
    <row r="7" spans="1:17" x14ac:dyDescent="0.2">
      <c r="A7" s="1">
        <v>10</v>
      </c>
      <c r="B7" s="1" t="s">
        <v>156</v>
      </c>
      <c r="E7" s="1" t="s">
        <v>157</v>
      </c>
      <c r="F7" s="1">
        <v>-4.5069999999999997</v>
      </c>
      <c r="G7" s="1">
        <v>-4.5110000000000001</v>
      </c>
      <c r="H7" s="1">
        <v>0.01</v>
      </c>
      <c r="I7" s="1">
        <v>-22.009</v>
      </c>
      <c r="J7" s="1">
        <v>-21.952000000000002</v>
      </c>
      <c r="K7" s="1">
        <v>0.03</v>
      </c>
      <c r="L7" s="1" t="s">
        <v>158</v>
      </c>
      <c r="M7" s="1">
        <v>1</v>
      </c>
      <c r="N7" s="1" t="s">
        <v>159</v>
      </c>
      <c r="O7" s="1" t="s">
        <v>160</v>
      </c>
      <c r="P7" s="1" t="s">
        <v>161</v>
      </c>
      <c r="Q7" s="1" t="s">
        <v>162</v>
      </c>
    </row>
    <row r="8" spans="1:17" x14ac:dyDescent="0.2">
      <c r="A8" s="1">
        <v>10</v>
      </c>
      <c r="B8" s="1" t="s">
        <v>156</v>
      </c>
      <c r="E8" s="1" t="s">
        <v>157</v>
      </c>
      <c r="F8" s="1">
        <v>-4.5</v>
      </c>
      <c r="G8" s="1">
        <v>-4.5110000000000001</v>
      </c>
      <c r="H8" s="1">
        <v>0.01</v>
      </c>
      <c r="I8" s="1">
        <v>-14.05</v>
      </c>
      <c r="J8" s="1">
        <v>-21.952000000000002</v>
      </c>
      <c r="K8" s="1">
        <v>0.03</v>
      </c>
      <c r="L8" s="1" t="s">
        <v>158</v>
      </c>
      <c r="M8" s="1">
        <v>1</v>
      </c>
      <c r="N8" s="1" t="s">
        <v>159</v>
      </c>
      <c r="O8" s="1" t="s">
        <v>160</v>
      </c>
      <c r="P8" s="1" t="s">
        <v>161</v>
      </c>
      <c r="Q8" s="1" t="s">
        <v>162</v>
      </c>
    </row>
    <row r="9" spans="1:17" x14ac:dyDescent="0.2">
      <c r="A9" s="1">
        <v>10</v>
      </c>
      <c r="B9" s="1" t="s">
        <v>156</v>
      </c>
      <c r="E9" s="1" t="s">
        <v>157</v>
      </c>
      <c r="F9" s="1">
        <v>-4.5049999999999999</v>
      </c>
      <c r="G9" s="1">
        <v>-4.5110000000000001</v>
      </c>
      <c r="H9" s="1">
        <v>0.01</v>
      </c>
      <c r="I9" s="1">
        <v>-21.940999999999999</v>
      </c>
      <c r="J9" s="1">
        <v>-21.952000000000002</v>
      </c>
      <c r="K9" s="1">
        <v>0.03</v>
      </c>
      <c r="L9" s="1" t="s">
        <v>158</v>
      </c>
      <c r="M9" s="1">
        <v>1</v>
      </c>
      <c r="N9" s="1" t="s">
        <v>159</v>
      </c>
      <c r="O9" s="1" t="s">
        <v>160</v>
      </c>
      <c r="P9" s="1" t="s">
        <v>161</v>
      </c>
      <c r="Q9" s="1" t="s">
        <v>162</v>
      </c>
    </row>
    <row r="10" spans="1:17" x14ac:dyDescent="0.2">
      <c r="A10" s="1">
        <v>10</v>
      </c>
      <c r="B10" s="1" t="s">
        <v>156</v>
      </c>
      <c r="E10" s="1" t="s">
        <v>157</v>
      </c>
      <c r="F10" s="1">
        <v>-4.5</v>
      </c>
      <c r="G10" s="1">
        <v>-4.5110000000000001</v>
      </c>
      <c r="H10" s="1">
        <v>0.01</v>
      </c>
      <c r="I10" s="1">
        <v>-14.05</v>
      </c>
      <c r="J10" s="1">
        <v>-21.952000000000002</v>
      </c>
      <c r="K10" s="1">
        <v>0.03</v>
      </c>
      <c r="L10" s="1" t="s">
        <v>158</v>
      </c>
      <c r="M10" s="1">
        <v>1</v>
      </c>
      <c r="N10" s="1" t="s">
        <v>159</v>
      </c>
      <c r="O10" s="1" t="s">
        <v>160</v>
      </c>
      <c r="P10" s="1" t="s">
        <v>161</v>
      </c>
      <c r="Q10" s="1" t="s">
        <v>162</v>
      </c>
    </row>
    <row r="11" spans="1:17" x14ac:dyDescent="0.2">
      <c r="A11" s="1">
        <v>10</v>
      </c>
      <c r="B11" s="1" t="s">
        <v>156</v>
      </c>
      <c r="E11" s="1" t="s">
        <v>157</v>
      </c>
      <c r="F11" s="1">
        <v>-4.5199999999999996</v>
      </c>
      <c r="G11" s="1">
        <v>-4.5110000000000001</v>
      </c>
      <c r="H11" s="1">
        <v>0.01</v>
      </c>
      <c r="I11" s="1">
        <v>-21.914000000000001</v>
      </c>
      <c r="J11" s="1">
        <v>-21.952000000000002</v>
      </c>
      <c r="K11" s="1">
        <v>0.03</v>
      </c>
      <c r="L11" s="1" t="s">
        <v>158</v>
      </c>
      <c r="M11" s="1">
        <v>1</v>
      </c>
      <c r="N11" s="1" t="s">
        <v>159</v>
      </c>
      <c r="O11" s="1" t="s">
        <v>160</v>
      </c>
      <c r="P11" s="1" t="s">
        <v>161</v>
      </c>
      <c r="Q11" s="1" t="s">
        <v>162</v>
      </c>
    </row>
    <row r="12" spans="1:17" x14ac:dyDescent="0.2">
      <c r="A12" s="1">
        <v>10</v>
      </c>
      <c r="B12" s="1" t="s">
        <v>156</v>
      </c>
      <c r="E12" s="1" t="s">
        <v>157</v>
      </c>
      <c r="F12" s="1">
        <v>-4.5</v>
      </c>
      <c r="G12" s="1">
        <v>-4.5110000000000001</v>
      </c>
      <c r="H12" s="1">
        <v>0.01</v>
      </c>
      <c r="I12" s="1">
        <v>-14.05</v>
      </c>
      <c r="J12" s="1">
        <v>-21.952000000000002</v>
      </c>
      <c r="K12" s="1">
        <v>0.03</v>
      </c>
      <c r="L12" s="1" t="s">
        <v>158</v>
      </c>
      <c r="M12" s="1">
        <v>1</v>
      </c>
      <c r="N12" s="1" t="s">
        <v>159</v>
      </c>
      <c r="O12" s="1" t="s">
        <v>160</v>
      </c>
      <c r="P12" s="1" t="s">
        <v>161</v>
      </c>
      <c r="Q12" s="1" t="s">
        <v>162</v>
      </c>
    </row>
    <row r="13" spans="1:17" x14ac:dyDescent="0.2">
      <c r="A13" s="1">
        <v>10</v>
      </c>
      <c r="B13" s="1" t="s">
        <v>156</v>
      </c>
      <c r="E13" s="1" t="s">
        <v>157</v>
      </c>
      <c r="F13" s="1">
        <v>-4.5030000000000001</v>
      </c>
      <c r="G13" s="1">
        <v>-4.5110000000000001</v>
      </c>
      <c r="H13" s="1">
        <v>0.01</v>
      </c>
      <c r="I13" s="1">
        <v>-21.946999999999999</v>
      </c>
      <c r="J13" s="1">
        <v>-21.952000000000002</v>
      </c>
      <c r="K13" s="1">
        <v>0.03</v>
      </c>
      <c r="L13" s="1" t="s">
        <v>158</v>
      </c>
      <c r="M13" s="1">
        <v>1</v>
      </c>
      <c r="N13" s="1" t="s">
        <v>159</v>
      </c>
      <c r="O13" s="1" t="s">
        <v>160</v>
      </c>
      <c r="P13" s="1" t="s">
        <v>161</v>
      </c>
      <c r="Q13" s="1" t="s">
        <v>162</v>
      </c>
    </row>
    <row r="14" spans="1:17" x14ac:dyDescent="0.2">
      <c r="A14" s="1">
        <v>10</v>
      </c>
      <c r="B14" s="1" t="s">
        <v>156</v>
      </c>
      <c r="E14" s="1" t="s">
        <v>157</v>
      </c>
      <c r="F14" s="1">
        <v>-4.5</v>
      </c>
      <c r="G14" s="1">
        <v>-4.5110000000000001</v>
      </c>
      <c r="H14" s="1">
        <v>0.01</v>
      </c>
      <c r="I14" s="1">
        <v>-14.05</v>
      </c>
      <c r="J14" s="1">
        <v>-21.952000000000002</v>
      </c>
      <c r="K14" s="1">
        <v>0.03</v>
      </c>
      <c r="L14" s="1" t="s">
        <v>158</v>
      </c>
      <c r="M14" s="1">
        <v>1</v>
      </c>
      <c r="N14" s="1" t="s">
        <v>159</v>
      </c>
      <c r="O14" s="1" t="s">
        <v>160</v>
      </c>
      <c r="P14" s="1" t="s">
        <v>161</v>
      </c>
      <c r="Q14" s="1" t="s">
        <v>162</v>
      </c>
    </row>
    <row r="15" spans="1:17" x14ac:dyDescent="0.2">
      <c r="A15" s="1">
        <v>10</v>
      </c>
      <c r="B15" s="1" t="s">
        <v>156</v>
      </c>
      <c r="E15" s="1" t="s">
        <v>157</v>
      </c>
      <c r="F15" s="1">
        <v>-4.51</v>
      </c>
      <c r="G15" s="1">
        <v>-4.5110000000000001</v>
      </c>
      <c r="H15" s="1">
        <v>0.01</v>
      </c>
      <c r="I15" s="1">
        <v>-21.922999999999998</v>
      </c>
      <c r="J15" s="1">
        <v>-21.952000000000002</v>
      </c>
      <c r="K15" s="1">
        <v>0.03</v>
      </c>
      <c r="L15" s="1" t="s">
        <v>158</v>
      </c>
      <c r="M15" s="1">
        <v>1</v>
      </c>
      <c r="N15" s="1" t="s">
        <v>159</v>
      </c>
      <c r="O15" s="1" t="s">
        <v>160</v>
      </c>
      <c r="P15" s="1" t="s">
        <v>161</v>
      </c>
      <c r="Q15" s="1" t="s">
        <v>162</v>
      </c>
    </row>
    <row r="16" spans="1:17" x14ac:dyDescent="0.2">
      <c r="A16" s="1">
        <v>10</v>
      </c>
      <c r="B16" s="1" t="s">
        <v>156</v>
      </c>
      <c r="E16" s="1" t="s">
        <v>157</v>
      </c>
      <c r="F16" s="1">
        <v>-4.5</v>
      </c>
      <c r="G16" s="1">
        <v>-4.5110000000000001</v>
      </c>
      <c r="H16" s="1">
        <v>0.01</v>
      </c>
      <c r="I16" s="1">
        <v>-14.05</v>
      </c>
      <c r="J16" s="1">
        <v>-21.952000000000002</v>
      </c>
      <c r="K16" s="1">
        <v>0.03</v>
      </c>
      <c r="L16" s="1" t="s">
        <v>158</v>
      </c>
      <c r="M16" s="1">
        <v>1</v>
      </c>
      <c r="N16" s="1" t="s">
        <v>159</v>
      </c>
      <c r="O16" s="1" t="s">
        <v>160</v>
      </c>
      <c r="P16" s="1" t="s">
        <v>161</v>
      </c>
      <c r="Q16" s="1" t="s">
        <v>162</v>
      </c>
    </row>
    <row r="17" spans="1:17" x14ac:dyDescent="0.2">
      <c r="A17" s="1">
        <v>10</v>
      </c>
      <c r="B17" s="1" t="s">
        <v>156</v>
      </c>
      <c r="E17" s="1" t="s">
        <v>157</v>
      </c>
      <c r="F17" s="1">
        <v>-4.5460000000000003</v>
      </c>
      <c r="G17" s="1">
        <v>-4.5110000000000001</v>
      </c>
      <c r="H17" s="1">
        <v>0.01</v>
      </c>
      <c r="I17" s="1">
        <v>-21.933</v>
      </c>
      <c r="J17" s="1">
        <v>-21.952000000000002</v>
      </c>
      <c r="K17" s="1">
        <v>0.03</v>
      </c>
      <c r="L17" s="1" t="s">
        <v>158</v>
      </c>
      <c r="M17" s="1">
        <v>1</v>
      </c>
      <c r="N17" s="1" t="s">
        <v>159</v>
      </c>
      <c r="O17" s="1" t="s">
        <v>160</v>
      </c>
      <c r="P17" s="1" t="s">
        <v>161</v>
      </c>
      <c r="Q17" s="1" t="s">
        <v>162</v>
      </c>
    </row>
    <row r="18" spans="1:17" x14ac:dyDescent="0.2">
      <c r="A18" s="1">
        <v>10</v>
      </c>
      <c r="B18" s="1" t="s">
        <v>156</v>
      </c>
      <c r="E18" s="1" t="s">
        <v>157</v>
      </c>
      <c r="F18" s="1">
        <v>-4.5</v>
      </c>
      <c r="G18" s="1">
        <v>-4.5110000000000001</v>
      </c>
      <c r="H18" s="1">
        <v>0.01</v>
      </c>
      <c r="I18" s="1">
        <v>-14.05</v>
      </c>
      <c r="J18" s="1">
        <v>-21.952000000000002</v>
      </c>
      <c r="K18" s="1">
        <v>0.03</v>
      </c>
      <c r="L18" s="1" t="s">
        <v>158</v>
      </c>
      <c r="M18" s="1">
        <v>1</v>
      </c>
      <c r="N18" s="1" t="s">
        <v>159</v>
      </c>
      <c r="O18" s="1" t="s">
        <v>160</v>
      </c>
      <c r="P18" s="1" t="s">
        <v>161</v>
      </c>
      <c r="Q18" s="1" t="s">
        <v>162</v>
      </c>
    </row>
    <row r="19" spans="1:17" x14ac:dyDescent="0.2">
      <c r="A19" s="1">
        <v>10</v>
      </c>
      <c r="B19" s="1" t="s">
        <v>156</v>
      </c>
      <c r="E19" s="1" t="s">
        <v>157</v>
      </c>
      <c r="F19" s="1">
        <v>-4.5279999999999996</v>
      </c>
      <c r="G19" s="1">
        <v>-4.5110000000000001</v>
      </c>
      <c r="H19" s="1">
        <v>0.01</v>
      </c>
      <c r="I19" s="1">
        <v>-21.952999999999999</v>
      </c>
      <c r="J19" s="1">
        <v>-21.952000000000002</v>
      </c>
      <c r="K19" s="1">
        <v>0.03</v>
      </c>
      <c r="L19" s="1" t="s">
        <v>158</v>
      </c>
      <c r="M19" s="1">
        <v>1</v>
      </c>
      <c r="N19" s="1" t="s">
        <v>159</v>
      </c>
      <c r="O19" s="1" t="s">
        <v>160</v>
      </c>
      <c r="P19" s="1" t="s">
        <v>161</v>
      </c>
      <c r="Q19" s="1" t="s">
        <v>162</v>
      </c>
    </row>
    <row r="20" spans="1:17" x14ac:dyDescent="0.2">
      <c r="A20" s="1">
        <v>10</v>
      </c>
      <c r="B20" s="1" t="s">
        <v>156</v>
      </c>
      <c r="E20" s="1" t="s">
        <v>157</v>
      </c>
      <c r="F20" s="1">
        <v>-4.5</v>
      </c>
      <c r="G20" s="1">
        <v>-4.5110000000000001</v>
      </c>
      <c r="H20" s="1">
        <v>0.01</v>
      </c>
      <c r="I20" s="1">
        <v>-14.05</v>
      </c>
      <c r="J20" s="1">
        <v>-21.952000000000002</v>
      </c>
      <c r="K20" s="1">
        <v>0.03</v>
      </c>
      <c r="L20" s="1" t="s">
        <v>158</v>
      </c>
      <c r="M20" s="1">
        <v>1</v>
      </c>
      <c r="N20" s="1" t="s">
        <v>159</v>
      </c>
      <c r="O20" s="1" t="s">
        <v>160</v>
      </c>
      <c r="P20" s="1" t="s">
        <v>161</v>
      </c>
      <c r="Q20" s="1" t="s">
        <v>162</v>
      </c>
    </row>
    <row r="21" spans="1:17" x14ac:dyDescent="0.2">
      <c r="A21" s="1">
        <v>10</v>
      </c>
      <c r="B21" s="1" t="s">
        <v>156</v>
      </c>
      <c r="E21" s="1" t="s">
        <v>157</v>
      </c>
      <c r="F21" s="1">
        <v>-4.5039999999999996</v>
      </c>
      <c r="G21" s="1">
        <v>-4.5110000000000001</v>
      </c>
      <c r="H21" s="1">
        <v>0.01</v>
      </c>
      <c r="I21" s="1">
        <v>-21.981000000000002</v>
      </c>
      <c r="J21" s="1">
        <v>-21.952000000000002</v>
      </c>
      <c r="K21" s="1">
        <v>0.03</v>
      </c>
      <c r="L21" s="1" t="s">
        <v>158</v>
      </c>
      <c r="M21" s="1">
        <v>1</v>
      </c>
      <c r="N21" s="1" t="s">
        <v>159</v>
      </c>
      <c r="O21" s="1" t="s">
        <v>160</v>
      </c>
      <c r="P21" s="1" t="s">
        <v>161</v>
      </c>
      <c r="Q21" s="1" t="s">
        <v>162</v>
      </c>
    </row>
    <row r="22" spans="1:17" x14ac:dyDescent="0.2">
      <c r="A22" s="1">
        <v>10</v>
      </c>
      <c r="B22" s="1" t="s">
        <v>156</v>
      </c>
      <c r="E22" s="1" t="s">
        <v>157</v>
      </c>
      <c r="F22" s="1">
        <v>-4.5</v>
      </c>
      <c r="G22" s="1">
        <v>-4.5110000000000001</v>
      </c>
      <c r="H22" s="1">
        <v>0.01</v>
      </c>
      <c r="I22" s="1">
        <v>-14.05</v>
      </c>
      <c r="J22" s="1">
        <v>-21.952000000000002</v>
      </c>
      <c r="K22" s="1">
        <v>0.03</v>
      </c>
      <c r="L22" s="1" t="s">
        <v>158</v>
      </c>
      <c r="M22" s="1">
        <v>1</v>
      </c>
      <c r="N22" s="1" t="s">
        <v>159</v>
      </c>
      <c r="O22" s="1" t="s">
        <v>160</v>
      </c>
      <c r="P22" s="1" t="s">
        <v>161</v>
      </c>
      <c r="Q22" s="1" t="s">
        <v>162</v>
      </c>
    </row>
    <row r="23" spans="1:17" x14ac:dyDescent="0.2">
      <c r="A23" s="1">
        <v>10</v>
      </c>
      <c r="B23" s="1" t="s">
        <v>156</v>
      </c>
      <c r="E23" s="1" t="s">
        <v>157</v>
      </c>
      <c r="F23" s="1">
        <v>-4.5449999999999999</v>
      </c>
      <c r="G23" s="1">
        <v>-4.5110000000000001</v>
      </c>
      <c r="H23" s="1">
        <v>0.01</v>
      </c>
      <c r="I23" s="1">
        <v>-21.966999999999999</v>
      </c>
      <c r="J23" s="1">
        <v>-21.952000000000002</v>
      </c>
      <c r="K23" s="1">
        <v>0.03</v>
      </c>
      <c r="L23" s="1" t="s">
        <v>158</v>
      </c>
      <c r="M23" s="1">
        <v>1</v>
      </c>
      <c r="N23" s="1" t="s">
        <v>159</v>
      </c>
      <c r="O23" s="1" t="s">
        <v>160</v>
      </c>
      <c r="P23" s="1" t="s">
        <v>161</v>
      </c>
      <c r="Q23" s="1" t="s">
        <v>162</v>
      </c>
    </row>
    <row r="24" spans="1:17" x14ac:dyDescent="0.2">
      <c r="A24" s="1">
        <v>10</v>
      </c>
      <c r="B24" s="1" t="s">
        <v>156</v>
      </c>
      <c r="E24" s="1" t="s">
        <v>157</v>
      </c>
      <c r="F24" s="1">
        <v>-4.5</v>
      </c>
      <c r="G24" s="1">
        <v>-4.5110000000000001</v>
      </c>
      <c r="H24" s="1">
        <v>0.01</v>
      </c>
      <c r="I24" s="1">
        <v>-14.05</v>
      </c>
      <c r="J24" s="1">
        <v>-21.952000000000002</v>
      </c>
      <c r="K24" s="1">
        <v>0.03</v>
      </c>
      <c r="L24" s="1" t="s">
        <v>158</v>
      </c>
      <c r="M24" s="1">
        <v>1</v>
      </c>
      <c r="N24" s="1" t="s">
        <v>159</v>
      </c>
      <c r="O24" s="1" t="s">
        <v>160</v>
      </c>
      <c r="P24" s="1" t="s">
        <v>161</v>
      </c>
      <c r="Q24" s="1" t="s">
        <v>162</v>
      </c>
    </row>
    <row r="25" spans="1:17" x14ac:dyDescent="0.2">
      <c r="A25" s="1">
        <v>13</v>
      </c>
      <c r="B25" s="1" t="s">
        <v>163</v>
      </c>
      <c r="D25" s="1" t="s">
        <v>164</v>
      </c>
      <c r="E25" s="1" t="s">
        <v>157</v>
      </c>
      <c r="F25" s="1">
        <v>-4.5</v>
      </c>
      <c r="G25" s="1">
        <v>-8.1890000000000001</v>
      </c>
      <c r="H25" s="1">
        <v>3.5999999999999997E-2</v>
      </c>
      <c r="I25" s="1">
        <v>-14.05</v>
      </c>
      <c r="J25" s="1">
        <v>-28.861000000000001</v>
      </c>
      <c r="K25" s="1">
        <v>1.4999999999999999E-2</v>
      </c>
      <c r="L25" s="1" t="s">
        <v>158</v>
      </c>
      <c r="M25" s="1">
        <v>1</v>
      </c>
      <c r="N25" s="1" t="s">
        <v>165</v>
      </c>
      <c r="O25" s="1" t="s">
        <v>166</v>
      </c>
      <c r="P25" s="1" t="s">
        <v>167</v>
      </c>
      <c r="Q25" s="1" t="s">
        <v>168</v>
      </c>
    </row>
    <row r="26" spans="1:17" x14ac:dyDescent="0.2">
      <c r="A26" s="1">
        <v>13</v>
      </c>
      <c r="B26" s="1" t="s">
        <v>163</v>
      </c>
      <c r="D26" s="1" t="s">
        <v>164</v>
      </c>
      <c r="E26" s="1" t="s">
        <v>157</v>
      </c>
      <c r="F26" s="1">
        <v>-8.2650000000000006</v>
      </c>
      <c r="G26" s="1">
        <v>-8.1890000000000001</v>
      </c>
      <c r="H26" s="1">
        <v>3.5999999999999997E-2</v>
      </c>
      <c r="I26" s="1">
        <v>-28.856000000000002</v>
      </c>
      <c r="J26" s="1">
        <v>-28.861000000000001</v>
      </c>
      <c r="K26" s="1">
        <v>1.4999999999999999E-2</v>
      </c>
      <c r="L26" s="1" t="s">
        <v>158</v>
      </c>
      <c r="M26" s="1">
        <v>1</v>
      </c>
      <c r="N26" s="1" t="s">
        <v>165</v>
      </c>
      <c r="O26" s="1" t="s">
        <v>166</v>
      </c>
      <c r="P26" s="1" t="s">
        <v>167</v>
      </c>
      <c r="Q26" s="1" t="s">
        <v>168</v>
      </c>
    </row>
    <row r="27" spans="1:17" x14ac:dyDescent="0.2">
      <c r="A27" s="1">
        <v>13</v>
      </c>
      <c r="B27" s="1" t="s">
        <v>163</v>
      </c>
      <c r="D27" s="1" t="s">
        <v>164</v>
      </c>
      <c r="E27" s="1" t="s">
        <v>157</v>
      </c>
      <c r="F27" s="1">
        <v>-4.5</v>
      </c>
      <c r="G27" s="1">
        <v>-8.1890000000000001</v>
      </c>
      <c r="H27" s="1">
        <v>3.5999999999999997E-2</v>
      </c>
      <c r="I27" s="1">
        <v>-14.05</v>
      </c>
      <c r="J27" s="1">
        <v>-28.861000000000001</v>
      </c>
      <c r="K27" s="1">
        <v>1.4999999999999999E-2</v>
      </c>
      <c r="L27" s="1" t="s">
        <v>158</v>
      </c>
      <c r="M27" s="1">
        <v>1</v>
      </c>
      <c r="N27" s="1" t="s">
        <v>165</v>
      </c>
      <c r="O27" s="1" t="s">
        <v>166</v>
      </c>
      <c r="P27" s="1" t="s">
        <v>167</v>
      </c>
      <c r="Q27" s="1" t="s">
        <v>168</v>
      </c>
    </row>
    <row r="28" spans="1:17" x14ac:dyDescent="0.2">
      <c r="A28" s="1">
        <v>13</v>
      </c>
      <c r="B28" s="1" t="s">
        <v>163</v>
      </c>
      <c r="D28" s="1" t="s">
        <v>164</v>
      </c>
      <c r="E28" s="1" t="s">
        <v>157</v>
      </c>
      <c r="F28" s="1">
        <v>-8.2100000000000009</v>
      </c>
      <c r="G28" s="1">
        <v>-8.1890000000000001</v>
      </c>
      <c r="H28" s="1">
        <v>3.5999999999999997E-2</v>
      </c>
      <c r="I28" s="1">
        <v>-28.762</v>
      </c>
      <c r="J28" s="1">
        <v>-28.861000000000001</v>
      </c>
      <c r="K28" s="1">
        <v>1.4999999999999999E-2</v>
      </c>
      <c r="L28" s="1" t="s">
        <v>158</v>
      </c>
      <c r="M28" s="1">
        <v>1</v>
      </c>
      <c r="N28" s="1" t="s">
        <v>165</v>
      </c>
      <c r="O28" s="1" t="s">
        <v>166</v>
      </c>
      <c r="P28" s="1" t="s">
        <v>167</v>
      </c>
      <c r="Q28" s="1" t="s">
        <v>168</v>
      </c>
    </row>
    <row r="29" spans="1:17" x14ac:dyDescent="0.2">
      <c r="A29" s="1">
        <v>13</v>
      </c>
      <c r="B29" s="1" t="s">
        <v>163</v>
      </c>
      <c r="D29" s="1" t="s">
        <v>164</v>
      </c>
      <c r="E29" s="1" t="s">
        <v>157</v>
      </c>
      <c r="F29" s="1">
        <v>-4.5</v>
      </c>
      <c r="G29" s="1">
        <v>-8.1890000000000001</v>
      </c>
      <c r="H29" s="1">
        <v>3.5999999999999997E-2</v>
      </c>
      <c r="I29" s="1">
        <v>-14.05</v>
      </c>
      <c r="J29" s="1">
        <v>-28.861000000000001</v>
      </c>
      <c r="K29" s="1">
        <v>1.4999999999999999E-2</v>
      </c>
      <c r="L29" s="1" t="s">
        <v>158</v>
      </c>
      <c r="M29" s="1">
        <v>1</v>
      </c>
      <c r="N29" s="1" t="s">
        <v>165</v>
      </c>
      <c r="O29" s="1" t="s">
        <v>166</v>
      </c>
      <c r="P29" s="1" t="s">
        <v>167</v>
      </c>
      <c r="Q29" s="1" t="s">
        <v>168</v>
      </c>
    </row>
    <row r="30" spans="1:17" x14ac:dyDescent="0.2">
      <c r="A30" s="1">
        <v>13</v>
      </c>
      <c r="B30" s="1" t="s">
        <v>163</v>
      </c>
      <c r="D30" s="1" t="s">
        <v>164</v>
      </c>
      <c r="E30" s="1" t="s">
        <v>157</v>
      </c>
      <c r="F30" s="1">
        <v>-8.2249999999999996</v>
      </c>
      <c r="G30" s="1">
        <v>-8.1890000000000001</v>
      </c>
      <c r="H30" s="1">
        <v>3.5999999999999997E-2</v>
      </c>
      <c r="I30" s="1">
        <v>-28.867000000000001</v>
      </c>
      <c r="J30" s="1">
        <v>-28.861000000000001</v>
      </c>
      <c r="K30" s="1">
        <v>1.4999999999999999E-2</v>
      </c>
      <c r="L30" s="1" t="s">
        <v>158</v>
      </c>
      <c r="M30" s="1">
        <v>1</v>
      </c>
      <c r="N30" s="1" t="s">
        <v>165</v>
      </c>
      <c r="O30" s="1" t="s">
        <v>166</v>
      </c>
      <c r="P30" s="1" t="s">
        <v>167</v>
      </c>
      <c r="Q30" s="1" t="s">
        <v>168</v>
      </c>
    </row>
    <row r="31" spans="1:17" x14ac:dyDescent="0.2">
      <c r="A31" s="1">
        <v>13</v>
      </c>
      <c r="B31" s="1" t="s">
        <v>163</v>
      </c>
      <c r="D31" s="1" t="s">
        <v>164</v>
      </c>
      <c r="E31" s="1" t="s">
        <v>157</v>
      </c>
      <c r="F31" s="1">
        <v>-4.5</v>
      </c>
      <c r="G31" s="1">
        <v>-8.1890000000000001</v>
      </c>
      <c r="H31" s="1">
        <v>3.5999999999999997E-2</v>
      </c>
      <c r="I31" s="1">
        <v>-14.05</v>
      </c>
      <c r="J31" s="1">
        <v>-28.861000000000001</v>
      </c>
      <c r="K31" s="1">
        <v>1.4999999999999999E-2</v>
      </c>
      <c r="L31" s="1" t="s">
        <v>158</v>
      </c>
      <c r="M31" s="1">
        <v>1</v>
      </c>
      <c r="N31" s="1" t="s">
        <v>165</v>
      </c>
      <c r="O31" s="1" t="s">
        <v>166</v>
      </c>
      <c r="P31" s="1" t="s">
        <v>167</v>
      </c>
      <c r="Q31" s="1" t="s">
        <v>168</v>
      </c>
    </row>
    <row r="32" spans="1:17" x14ac:dyDescent="0.2">
      <c r="A32" s="1">
        <v>13</v>
      </c>
      <c r="B32" s="1" t="s">
        <v>163</v>
      </c>
      <c r="D32" s="1" t="s">
        <v>164</v>
      </c>
      <c r="E32" s="1" t="s">
        <v>157</v>
      </c>
      <c r="F32" s="1">
        <v>-8.1539999999999999</v>
      </c>
      <c r="G32" s="1">
        <v>-8.1890000000000001</v>
      </c>
      <c r="H32" s="1">
        <v>3.5999999999999997E-2</v>
      </c>
      <c r="I32" s="1">
        <v>-28.803000000000001</v>
      </c>
      <c r="J32" s="1">
        <v>-28.861000000000001</v>
      </c>
      <c r="K32" s="1">
        <v>1.4999999999999999E-2</v>
      </c>
      <c r="L32" s="1" t="s">
        <v>158</v>
      </c>
      <c r="M32" s="1">
        <v>1</v>
      </c>
      <c r="N32" s="1" t="s">
        <v>165</v>
      </c>
      <c r="O32" s="1" t="s">
        <v>166</v>
      </c>
      <c r="P32" s="1" t="s">
        <v>167</v>
      </c>
      <c r="Q32" s="1" t="s">
        <v>168</v>
      </c>
    </row>
    <row r="33" spans="1:17" x14ac:dyDescent="0.2">
      <c r="A33" s="1">
        <v>13</v>
      </c>
      <c r="B33" s="1" t="s">
        <v>163</v>
      </c>
      <c r="D33" s="1" t="s">
        <v>164</v>
      </c>
      <c r="E33" s="1" t="s">
        <v>157</v>
      </c>
      <c r="F33" s="1">
        <v>-4.5</v>
      </c>
      <c r="G33" s="1">
        <v>-8.1890000000000001</v>
      </c>
      <c r="H33" s="1">
        <v>3.5999999999999997E-2</v>
      </c>
      <c r="I33" s="1">
        <v>-14.05</v>
      </c>
      <c r="J33" s="1">
        <v>-28.861000000000001</v>
      </c>
      <c r="K33" s="1">
        <v>1.4999999999999999E-2</v>
      </c>
      <c r="L33" s="1" t="s">
        <v>158</v>
      </c>
      <c r="M33" s="1">
        <v>1</v>
      </c>
      <c r="N33" s="1" t="s">
        <v>165</v>
      </c>
      <c r="O33" s="1" t="s">
        <v>166</v>
      </c>
      <c r="P33" s="1" t="s">
        <v>167</v>
      </c>
      <c r="Q33" s="1" t="s">
        <v>168</v>
      </c>
    </row>
    <row r="34" spans="1:17" x14ac:dyDescent="0.2">
      <c r="A34" s="1">
        <v>13</v>
      </c>
      <c r="B34" s="1" t="s">
        <v>163</v>
      </c>
      <c r="D34" s="1" t="s">
        <v>164</v>
      </c>
      <c r="E34" s="1" t="s">
        <v>157</v>
      </c>
      <c r="F34" s="1">
        <v>-8.1319999999999997</v>
      </c>
      <c r="G34" s="1">
        <v>-8.1890000000000001</v>
      </c>
      <c r="H34" s="1">
        <v>3.5999999999999997E-2</v>
      </c>
      <c r="I34" s="1">
        <v>-28.841000000000001</v>
      </c>
      <c r="J34" s="1">
        <v>-28.861000000000001</v>
      </c>
      <c r="K34" s="1">
        <v>1.4999999999999999E-2</v>
      </c>
      <c r="L34" s="1" t="s">
        <v>158</v>
      </c>
      <c r="M34" s="1">
        <v>1</v>
      </c>
      <c r="N34" s="1" t="s">
        <v>165</v>
      </c>
      <c r="O34" s="1" t="s">
        <v>166</v>
      </c>
      <c r="P34" s="1" t="s">
        <v>167</v>
      </c>
      <c r="Q34" s="1" t="s">
        <v>168</v>
      </c>
    </row>
    <row r="35" spans="1:17" x14ac:dyDescent="0.2">
      <c r="A35" s="1">
        <v>13</v>
      </c>
      <c r="B35" s="1" t="s">
        <v>163</v>
      </c>
      <c r="D35" s="1" t="s">
        <v>164</v>
      </c>
      <c r="E35" s="1" t="s">
        <v>157</v>
      </c>
      <c r="F35" s="1">
        <v>-4.5</v>
      </c>
      <c r="G35" s="1">
        <v>-8.1890000000000001</v>
      </c>
      <c r="H35" s="1">
        <v>3.5999999999999997E-2</v>
      </c>
      <c r="I35" s="1">
        <v>-14.05</v>
      </c>
      <c r="J35" s="1">
        <v>-28.861000000000001</v>
      </c>
      <c r="K35" s="1">
        <v>1.4999999999999999E-2</v>
      </c>
      <c r="L35" s="1" t="s">
        <v>158</v>
      </c>
      <c r="M35" s="1">
        <v>1</v>
      </c>
      <c r="N35" s="1" t="s">
        <v>165</v>
      </c>
      <c r="O35" s="1" t="s">
        <v>166</v>
      </c>
      <c r="P35" s="1" t="s">
        <v>167</v>
      </c>
      <c r="Q35" s="1" t="s">
        <v>168</v>
      </c>
    </row>
    <row r="36" spans="1:17" x14ac:dyDescent="0.2">
      <c r="A36" s="1">
        <v>13</v>
      </c>
      <c r="B36" s="1" t="s">
        <v>163</v>
      </c>
      <c r="D36" s="1" t="s">
        <v>164</v>
      </c>
      <c r="E36" s="1" t="s">
        <v>157</v>
      </c>
      <c r="F36" s="1">
        <v>-8.2420000000000009</v>
      </c>
      <c r="G36" s="1">
        <v>-8.1890000000000001</v>
      </c>
      <c r="H36" s="1">
        <v>3.5999999999999997E-2</v>
      </c>
      <c r="I36" s="1">
        <v>-28.956</v>
      </c>
      <c r="J36" s="1">
        <v>-28.861000000000001</v>
      </c>
      <c r="K36" s="1">
        <v>1.4999999999999999E-2</v>
      </c>
      <c r="L36" s="1" t="s">
        <v>158</v>
      </c>
      <c r="M36" s="1">
        <v>1</v>
      </c>
      <c r="N36" s="1" t="s">
        <v>165</v>
      </c>
      <c r="O36" s="1" t="s">
        <v>166</v>
      </c>
      <c r="P36" s="1" t="s">
        <v>167</v>
      </c>
      <c r="Q36" s="1" t="s">
        <v>168</v>
      </c>
    </row>
    <row r="37" spans="1:17" x14ac:dyDescent="0.2">
      <c r="A37" s="1">
        <v>13</v>
      </c>
      <c r="B37" s="1" t="s">
        <v>163</v>
      </c>
      <c r="D37" s="1" t="s">
        <v>164</v>
      </c>
      <c r="E37" s="1" t="s">
        <v>157</v>
      </c>
      <c r="F37" s="1">
        <v>-4.5</v>
      </c>
      <c r="G37" s="1">
        <v>-8.1890000000000001</v>
      </c>
      <c r="H37" s="1">
        <v>3.5999999999999997E-2</v>
      </c>
      <c r="I37" s="1">
        <v>-14.05</v>
      </c>
      <c r="J37" s="1">
        <v>-28.861000000000001</v>
      </c>
      <c r="K37" s="1">
        <v>1.4999999999999999E-2</v>
      </c>
      <c r="L37" s="1" t="s">
        <v>158</v>
      </c>
      <c r="M37" s="1">
        <v>1</v>
      </c>
      <c r="N37" s="1" t="s">
        <v>165</v>
      </c>
      <c r="O37" s="1" t="s">
        <v>166</v>
      </c>
      <c r="P37" s="1" t="s">
        <v>167</v>
      </c>
      <c r="Q37" s="1" t="s">
        <v>168</v>
      </c>
    </row>
    <row r="38" spans="1:17" x14ac:dyDescent="0.2">
      <c r="A38" s="1">
        <v>13</v>
      </c>
      <c r="B38" s="1" t="s">
        <v>163</v>
      </c>
      <c r="D38" s="1" t="s">
        <v>164</v>
      </c>
      <c r="E38" s="1" t="s">
        <v>157</v>
      </c>
      <c r="F38" s="1">
        <v>-8.1519999999999992</v>
      </c>
      <c r="G38" s="1">
        <v>-8.1890000000000001</v>
      </c>
      <c r="H38" s="1">
        <v>3.5999999999999997E-2</v>
      </c>
      <c r="I38" s="1">
        <v>-28.86</v>
      </c>
      <c r="J38" s="1">
        <v>-28.861000000000001</v>
      </c>
      <c r="K38" s="1">
        <v>1.4999999999999999E-2</v>
      </c>
      <c r="L38" s="1" t="s">
        <v>158</v>
      </c>
      <c r="M38" s="1">
        <v>1</v>
      </c>
      <c r="N38" s="1" t="s">
        <v>165</v>
      </c>
      <c r="O38" s="1" t="s">
        <v>166</v>
      </c>
      <c r="P38" s="1" t="s">
        <v>167</v>
      </c>
      <c r="Q38" s="1" t="s">
        <v>168</v>
      </c>
    </row>
    <row r="39" spans="1:17" x14ac:dyDescent="0.2">
      <c r="A39" s="1">
        <v>13</v>
      </c>
      <c r="B39" s="1" t="s">
        <v>163</v>
      </c>
      <c r="D39" s="1" t="s">
        <v>164</v>
      </c>
      <c r="E39" s="1" t="s">
        <v>157</v>
      </c>
      <c r="F39" s="1">
        <v>-4.5</v>
      </c>
      <c r="G39" s="1">
        <v>-8.1890000000000001</v>
      </c>
      <c r="H39" s="1">
        <v>3.5999999999999997E-2</v>
      </c>
      <c r="I39" s="1">
        <v>-14.05</v>
      </c>
      <c r="J39" s="1">
        <v>-28.861000000000001</v>
      </c>
      <c r="K39" s="1">
        <v>1.4999999999999999E-2</v>
      </c>
      <c r="L39" s="1" t="s">
        <v>158</v>
      </c>
      <c r="M39" s="1">
        <v>1</v>
      </c>
      <c r="N39" s="1" t="s">
        <v>165</v>
      </c>
      <c r="O39" s="1" t="s">
        <v>166</v>
      </c>
      <c r="P39" s="1" t="s">
        <v>167</v>
      </c>
      <c r="Q39" s="1" t="s">
        <v>168</v>
      </c>
    </row>
    <row r="40" spans="1:17" x14ac:dyDescent="0.2">
      <c r="A40" s="1">
        <v>13</v>
      </c>
      <c r="B40" s="1" t="s">
        <v>163</v>
      </c>
      <c r="D40" s="1" t="s">
        <v>164</v>
      </c>
      <c r="E40" s="1" t="s">
        <v>157</v>
      </c>
      <c r="F40" s="1">
        <v>-8.18</v>
      </c>
      <c r="G40" s="1">
        <v>-8.1890000000000001</v>
      </c>
      <c r="H40" s="1">
        <v>3.5999999999999997E-2</v>
      </c>
      <c r="I40" s="1">
        <v>-28.890999999999998</v>
      </c>
      <c r="J40" s="1">
        <v>-28.861000000000001</v>
      </c>
      <c r="K40" s="1">
        <v>1.4999999999999999E-2</v>
      </c>
      <c r="L40" s="1" t="s">
        <v>158</v>
      </c>
      <c r="M40" s="1">
        <v>1</v>
      </c>
      <c r="N40" s="1" t="s">
        <v>165</v>
      </c>
      <c r="O40" s="1" t="s">
        <v>166</v>
      </c>
      <c r="P40" s="1" t="s">
        <v>167</v>
      </c>
      <c r="Q40" s="1" t="s">
        <v>168</v>
      </c>
    </row>
    <row r="41" spans="1:17" x14ac:dyDescent="0.2">
      <c r="A41" s="1">
        <v>13</v>
      </c>
      <c r="B41" s="1" t="s">
        <v>163</v>
      </c>
      <c r="D41" s="1" t="s">
        <v>164</v>
      </c>
      <c r="E41" s="1" t="s">
        <v>157</v>
      </c>
      <c r="F41" s="1">
        <v>-4.5</v>
      </c>
      <c r="G41" s="1">
        <v>-8.1890000000000001</v>
      </c>
      <c r="H41" s="1">
        <v>3.5999999999999997E-2</v>
      </c>
      <c r="I41" s="1">
        <v>-14.05</v>
      </c>
      <c r="J41" s="1">
        <v>-28.861000000000001</v>
      </c>
      <c r="K41" s="1">
        <v>1.4999999999999999E-2</v>
      </c>
      <c r="L41" s="1" t="s">
        <v>158</v>
      </c>
      <c r="M41" s="1">
        <v>1</v>
      </c>
      <c r="N41" s="1" t="s">
        <v>165</v>
      </c>
      <c r="O41" s="1" t="s">
        <v>166</v>
      </c>
      <c r="P41" s="1" t="s">
        <v>167</v>
      </c>
      <c r="Q41" s="1" t="s">
        <v>168</v>
      </c>
    </row>
    <row r="42" spans="1:17" x14ac:dyDescent="0.2">
      <c r="A42" s="1">
        <v>13</v>
      </c>
      <c r="B42" s="1" t="s">
        <v>163</v>
      </c>
      <c r="D42" s="1" t="s">
        <v>164</v>
      </c>
      <c r="E42" s="1" t="s">
        <v>157</v>
      </c>
      <c r="F42" s="1">
        <v>-8.2469999999999999</v>
      </c>
      <c r="G42" s="1">
        <v>-8.1890000000000001</v>
      </c>
      <c r="H42" s="1">
        <v>3.5999999999999997E-2</v>
      </c>
      <c r="I42" s="1">
        <v>-28.858000000000001</v>
      </c>
      <c r="J42" s="1">
        <v>-28.861000000000001</v>
      </c>
      <c r="K42" s="1">
        <v>1.4999999999999999E-2</v>
      </c>
      <c r="L42" s="1" t="s">
        <v>158</v>
      </c>
      <c r="M42" s="1">
        <v>1</v>
      </c>
      <c r="N42" s="1" t="s">
        <v>165</v>
      </c>
      <c r="O42" s="1" t="s">
        <v>166</v>
      </c>
      <c r="P42" s="1" t="s">
        <v>167</v>
      </c>
      <c r="Q42" s="1" t="s">
        <v>168</v>
      </c>
    </row>
    <row r="43" spans="1:17" x14ac:dyDescent="0.2">
      <c r="A43" s="1">
        <v>13</v>
      </c>
      <c r="B43" s="1" t="s">
        <v>163</v>
      </c>
      <c r="D43" s="1" t="s">
        <v>164</v>
      </c>
      <c r="E43" s="1" t="s">
        <v>157</v>
      </c>
      <c r="F43" s="1">
        <v>-4.5</v>
      </c>
      <c r="G43" s="1">
        <v>-8.1890000000000001</v>
      </c>
      <c r="H43" s="1">
        <v>3.5999999999999997E-2</v>
      </c>
      <c r="I43" s="1">
        <v>-14.05</v>
      </c>
      <c r="J43" s="1">
        <v>-28.861000000000001</v>
      </c>
      <c r="K43" s="1">
        <v>1.4999999999999999E-2</v>
      </c>
      <c r="L43" s="1" t="s">
        <v>158</v>
      </c>
      <c r="M43" s="1">
        <v>1</v>
      </c>
      <c r="N43" s="1" t="s">
        <v>165</v>
      </c>
      <c r="O43" s="1" t="s">
        <v>166</v>
      </c>
      <c r="P43" s="1" t="s">
        <v>167</v>
      </c>
      <c r="Q43" s="1" t="s">
        <v>168</v>
      </c>
    </row>
    <row r="44" spans="1:17" x14ac:dyDescent="0.2">
      <c r="A44" s="1">
        <v>13</v>
      </c>
      <c r="B44" s="1" t="s">
        <v>163</v>
      </c>
      <c r="D44" s="1" t="s">
        <v>164</v>
      </c>
      <c r="E44" s="1" t="s">
        <v>157</v>
      </c>
      <c r="F44" s="1">
        <v>-8.1630000000000003</v>
      </c>
      <c r="G44" s="1">
        <v>-8.1890000000000001</v>
      </c>
      <c r="H44" s="1">
        <v>3.5999999999999997E-2</v>
      </c>
      <c r="I44" s="1">
        <v>-28.856999999999999</v>
      </c>
      <c r="J44" s="1">
        <v>-28.861000000000001</v>
      </c>
      <c r="K44" s="1">
        <v>1.4999999999999999E-2</v>
      </c>
      <c r="L44" s="1" t="s">
        <v>158</v>
      </c>
      <c r="M44" s="1">
        <v>1</v>
      </c>
      <c r="N44" s="1" t="s">
        <v>165</v>
      </c>
      <c r="O44" s="1" t="s">
        <v>166</v>
      </c>
      <c r="P44" s="1" t="s">
        <v>167</v>
      </c>
      <c r="Q44" s="1" t="s">
        <v>168</v>
      </c>
    </row>
    <row r="45" spans="1:17" x14ac:dyDescent="0.2">
      <c r="A45" s="1">
        <v>13</v>
      </c>
      <c r="B45" s="1" t="s">
        <v>163</v>
      </c>
      <c r="D45" s="1" t="s">
        <v>164</v>
      </c>
      <c r="E45" s="1" t="s">
        <v>157</v>
      </c>
      <c r="F45" s="1">
        <v>-4.5</v>
      </c>
      <c r="G45" s="1">
        <v>-8.1890000000000001</v>
      </c>
      <c r="H45" s="1">
        <v>3.5999999999999997E-2</v>
      </c>
      <c r="I45" s="1">
        <v>-14.05</v>
      </c>
      <c r="J45" s="1">
        <v>-28.861000000000001</v>
      </c>
      <c r="K45" s="1">
        <v>1.4999999999999999E-2</v>
      </c>
      <c r="L45" s="1" t="s">
        <v>158</v>
      </c>
      <c r="M45" s="1">
        <v>1</v>
      </c>
      <c r="N45" s="1" t="s">
        <v>165</v>
      </c>
      <c r="O45" s="1" t="s">
        <v>166</v>
      </c>
      <c r="P45" s="1" t="s">
        <v>167</v>
      </c>
      <c r="Q45" s="1" t="s">
        <v>168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workbookViewId="0">
      <selection activeCell="M34" sqref="M34"/>
    </sheetView>
  </sheetViews>
  <sheetFormatPr defaultRowHeight="12.75" x14ac:dyDescent="0.2"/>
  <sheetData>
    <row r="1" spans="1:26" x14ac:dyDescent="0.2">
      <c r="Y1" t="s">
        <v>842</v>
      </c>
    </row>
    <row r="2" spans="1:26" x14ac:dyDescent="0.2">
      <c r="A2" t="s">
        <v>345</v>
      </c>
      <c r="B2" t="s">
        <v>346</v>
      </c>
      <c r="C2" s="25" t="s">
        <v>347</v>
      </c>
      <c r="D2" s="25" t="s">
        <v>348</v>
      </c>
      <c r="O2" t="s">
        <v>348</v>
      </c>
      <c r="P2" t="s">
        <v>345</v>
      </c>
      <c r="Y2" t="s">
        <v>345</v>
      </c>
      <c r="Z2" t="s">
        <v>841</v>
      </c>
    </row>
    <row r="3" spans="1:26" x14ac:dyDescent="0.2">
      <c r="A3" s="42">
        <v>25.3</v>
      </c>
      <c r="B3" s="42">
        <v>3083</v>
      </c>
      <c r="C3" s="42">
        <v>27</v>
      </c>
      <c r="D3" s="42">
        <v>30</v>
      </c>
      <c r="E3" s="43">
        <v>42156</v>
      </c>
      <c r="O3">
        <v>20</v>
      </c>
      <c r="P3">
        <v>4.7</v>
      </c>
      <c r="Y3">
        <v>30.4</v>
      </c>
      <c r="Z3">
        <v>100</v>
      </c>
    </row>
    <row r="4" spans="1:26" x14ac:dyDescent="0.2">
      <c r="A4" s="42">
        <v>33.299999999999997</v>
      </c>
      <c r="B4" s="42">
        <v>4120</v>
      </c>
      <c r="C4" s="42">
        <v>19</v>
      </c>
      <c r="D4" s="42">
        <v>30</v>
      </c>
      <c r="E4" s="43">
        <v>42156</v>
      </c>
      <c r="O4">
        <v>25</v>
      </c>
      <c r="P4">
        <v>5.8</v>
      </c>
      <c r="Y4">
        <v>216</v>
      </c>
      <c r="Z4">
        <v>10</v>
      </c>
    </row>
    <row r="5" spans="1:26" x14ac:dyDescent="0.2">
      <c r="A5" s="42">
        <v>21.3</v>
      </c>
      <c r="B5" s="42">
        <v>2749</v>
      </c>
      <c r="C5" s="42">
        <v>33</v>
      </c>
      <c r="D5" s="42">
        <v>30</v>
      </c>
      <c r="E5" s="43">
        <v>42156</v>
      </c>
      <c r="O5">
        <v>25</v>
      </c>
      <c r="P5">
        <v>5.9</v>
      </c>
      <c r="Y5">
        <v>36.1</v>
      </c>
      <c r="Z5">
        <v>85</v>
      </c>
    </row>
    <row r="6" spans="1:26" x14ac:dyDescent="0.2">
      <c r="A6" s="42">
        <v>30.7</v>
      </c>
      <c r="B6" s="42">
        <v>3764</v>
      </c>
      <c r="C6" s="42">
        <v>23</v>
      </c>
      <c r="D6" s="42">
        <v>30</v>
      </c>
      <c r="E6" s="43">
        <v>42156</v>
      </c>
      <c r="O6">
        <v>30</v>
      </c>
      <c r="P6">
        <v>7.1</v>
      </c>
      <c r="Y6">
        <v>38.200000000000003</v>
      </c>
      <c r="Z6">
        <v>80</v>
      </c>
    </row>
    <row r="7" spans="1:26" x14ac:dyDescent="0.2">
      <c r="A7" s="42">
        <v>33.6</v>
      </c>
      <c r="B7" s="42">
        <v>4137</v>
      </c>
      <c r="C7" s="42">
        <v>19</v>
      </c>
      <c r="D7" s="42">
        <v>30</v>
      </c>
      <c r="E7" s="43">
        <v>42156</v>
      </c>
      <c r="O7">
        <v>35</v>
      </c>
      <c r="P7">
        <v>8.3000000000000007</v>
      </c>
      <c r="Y7">
        <v>43.5</v>
      </c>
      <c r="Z7">
        <v>70</v>
      </c>
    </row>
    <row r="8" spans="1:26" x14ac:dyDescent="0.2">
      <c r="A8" s="42">
        <v>34</v>
      </c>
      <c r="B8" s="42">
        <v>4146</v>
      </c>
      <c r="C8" s="42">
        <v>18</v>
      </c>
      <c r="D8" s="42">
        <v>30</v>
      </c>
      <c r="E8" s="43">
        <v>42156</v>
      </c>
      <c r="O8">
        <v>35</v>
      </c>
      <c r="P8">
        <v>8.1999999999999993</v>
      </c>
      <c r="Y8">
        <v>51.2</v>
      </c>
      <c r="Z8">
        <v>60</v>
      </c>
    </row>
    <row r="9" spans="1:26" x14ac:dyDescent="0.2">
      <c r="A9" s="42">
        <v>20.8</v>
      </c>
      <c r="B9" s="42">
        <v>2562</v>
      </c>
      <c r="C9" s="42">
        <v>41</v>
      </c>
      <c r="D9" s="42">
        <v>35</v>
      </c>
      <c r="E9" s="43">
        <v>42163</v>
      </c>
      <c r="O9">
        <v>40</v>
      </c>
      <c r="P9">
        <v>9.3000000000000007</v>
      </c>
      <c r="Y9">
        <v>56.5</v>
      </c>
      <c r="Z9">
        <v>55</v>
      </c>
    </row>
    <row r="10" spans="1:26" x14ac:dyDescent="0.2">
      <c r="A10" s="42">
        <v>21.8</v>
      </c>
      <c r="B10" s="42">
        <v>2848</v>
      </c>
      <c r="C10" s="42">
        <v>36</v>
      </c>
      <c r="D10" s="42">
        <v>35</v>
      </c>
      <c r="E10" s="43">
        <v>42163</v>
      </c>
      <c r="O10">
        <v>40</v>
      </c>
      <c r="P10">
        <v>9.4</v>
      </c>
      <c r="Y10">
        <v>80.099999999999994</v>
      </c>
      <c r="Z10">
        <v>40</v>
      </c>
    </row>
    <row r="11" spans="1:26" x14ac:dyDescent="0.2">
      <c r="A11" s="42">
        <v>5.5</v>
      </c>
      <c r="B11" s="42">
        <v>626</v>
      </c>
      <c r="C11" s="42">
        <v>100</v>
      </c>
      <c r="D11" s="42">
        <v>35</v>
      </c>
      <c r="E11" s="43">
        <v>42164</v>
      </c>
      <c r="Y11">
        <v>166.5</v>
      </c>
      <c r="Z11">
        <v>20</v>
      </c>
    </row>
    <row r="12" spans="1:26" x14ac:dyDescent="0.2">
      <c r="A12" s="42">
        <v>11.2</v>
      </c>
      <c r="B12" s="42">
        <v>1365</v>
      </c>
      <c r="C12" s="42">
        <v>50</v>
      </c>
      <c r="D12" s="42">
        <v>35</v>
      </c>
      <c r="E12" s="43">
        <v>42164</v>
      </c>
      <c r="Y12">
        <v>216</v>
      </c>
      <c r="Z12">
        <v>10</v>
      </c>
    </row>
    <row r="13" spans="1:26" x14ac:dyDescent="0.2">
      <c r="A13" s="42">
        <v>40.6</v>
      </c>
      <c r="B13" s="42">
        <v>5960</v>
      </c>
      <c r="C13" s="42">
        <v>10</v>
      </c>
      <c r="D13" s="42">
        <v>35</v>
      </c>
      <c r="E13" s="43">
        <v>42164</v>
      </c>
    </row>
    <row r="15" spans="1:26" x14ac:dyDescent="0.2">
      <c r="A15" s="40">
        <v>8.8000000000000007</v>
      </c>
      <c r="B15" s="40">
        <v>1650</v>
      </c>
      <c r="C15" s="40"/>
      <c r="D15" s="40"/>
      <c r="E15" s="41">
        <v>42184</v>
      </c>
    </row>
    <row r="16" spans="1:26" x14ac:dyDescent="0.2">
      <c r="A16" s="40">
        <v>8.4</v>
      </c>
      <c r="B16" s="40">
        <v>1548</v>
      </c>
      <c r="C16" s="40"/>
      <c r="D16" s="40"/>
      <c r="E16" s="41">
        <v>42184</v>
      </c>
    </row>
    <row r="17" spans="1:5" x14ac:dyDescent="0.2">
      <c r="A17" s="40">
        <v>5.9</v>
      </c>
      <c r="B17" s="40">
        <v>1028</v>
      </c>
      <c r="C17" s="40"/>
      <c r="D17" s="40"/>
      <c r="E17" s="41">
        <v>42184</v>
      </c>
    </row>
    <row r="18" spans="1:5" x14ac:dyDescent="0.2">
      <c r="A18" s="40">
        <v>11.1</v>
      </c>
      <c r="B18" s="40">
        <v>2006</v>
      </c>
      <c r="C18" s="40"/>
      <c r="D18" s="40"/>
      <c r="E18" s="41">
        <v>42184</v>
      </c>
    </row>
    <row r="19" spans="1:5" x14ac:dyDescent="0.2">
      <c r="A19" s="40">
        <v>28.8</v>
      </c>
      <c r="B19" s="40">
        <v>5381</v>
      </c>
      <c r="C19" s="40"/>
      <c r="D19" s="40"/>
      <c r="E19" s="41">
        <v>42185</v>
      </c>
    </row>
    <row r="20" spans="1:5" x14ac:dyDescent="0.2">
      <c r="A20" s="40">
        <v>16.399999999999999</v>
      </c>
      <c r="B20" s="40">
        <v>3098</v>
      </c>
      <c r="C20" s="40"/>
      <c r="D20" s="40"/>
      <c r="E20" s="41">
        <v>42185</v>
      </c>
    </row>
    <row r="21" spans="1:5" x14ac:dyDescent="0.2">
      <c r="A21" s="40">
        <v>27.6</v>
      </c>
      <c r="B21" s="40">
        <v>5416</v>
      </c>
      <c r="C21" s="40"/>
      <c r="D21" s="40"/>
      <c r="E21" s="41">
        <v>42185</v>
      </c>
    </row>
    <row r="22" spans="1:5" x14ac:dyDescent="0.2">
      <c r="A22" s="40">
        <v>29.3</v>
      </c>
      <c r="B22" s="40">
        <v>6243</v>
      </c>
      <c r="C22" s="40"/>
      <c r="D22" s="40"/>
      <c r="E22" s="41">
        <v>42185</v>
      </c>
    </row>
    <row r="23" spans="1:5" x14ac:dyDescent="0.2">
      <c r="A23" s="40">
        <v>6.9</v>
      </c>
      <c r="B23" s="40">
        <v>1171</v>
      </c>
      <c r="C23" s="40"/>
      <c r="D23" s="40"/>
      <c r="E23" s="41">
        <v>42185</v>
      </c>
    </row>
    <row r="24" spans="1:5" x14ac:dyDescent="0.2">
      <c r="C24" s="25"/>
      <c r="D24" s="25"/>
      <c r="E24" s="4"/>
    </row>
  </sheetData>
  <sortState ref="O3:P10">
    <sortCondition ref="O3"/>
  </sortState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0"/>
  <sheetViews>
    <sheetView workbookViewId="0">
      <selection activeCell="F15" sqref="F15"/>
    </sheetView>
  </sheetViews>
  <sheetFormatPr defaultRowHeight="12.75" x14ac:dyDescent="0.2"/>
  <sheetData>
    <row r="2" spans="1:3" ht="14.25" x14ac:dyDescent="0.2">
      <c r="A2" s="100" t="s">
        <v>899</v>
      </c>
    </row>
    <row r="3" spans="1:3" ht="14.25" x14ac:dyDescent="0.2">
      <c r="A3" s="100"/>
    </row>
    <row r="4" spans="1:3" ht="18" x14ac:dyDescent="0.2">
      <c r="A4" s="101" t="s">
        <v>900</v>
      </c>
    </row>
    <row r="5" spans="1:3" ht="15.75" x14ac:dyDescent="0.2">
      <c r="A5" s="102"/>
    </row>
    <row r="6" spans="1:3" ht="15.75" x14ac:dyDescent="0.2">
      <c r="A6" s="103" t="s">
        <v>902</v>
      </c>
      <c r="C6" s="11" t="s">
        <v>903</v>
      </c>
    </row>
    <row r="7" spans="1:3" ht="15.75" x14ac:dyDescent="0.2">
      <c r="A7" s="102"/>
    </row>
    <row r="8" spans="1:3" ht="15.75" x14ac:dyDescent="0.2">
      <c r="A8" s="103" t="s">
        <v>904</v>
      </c>
      <c r="C8" s="11" t="s">
        <v>905</v>
      </c>
    </row>
    <row r="9" spans="1:3" x14ac:dyDescent="0.2">
      <c r="A9" s="104"/>
    </row>
    <row r="10" spans="1:3" ht="18" x14ac:dyDescent="0.2">
      <c r="A10" s="100" t="s">
        <v>901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After instal</vt:lpstr>
      <vt:lpstr>After software 19May</vt:lpstr>
      <vt:lpstr>After Oring 29May</vt:lpstr>
      <vt:lpstr>After capilar 19Jun</vt:lpstr>
      <vt:lpstr>After adjust 15Jul</vt:lpstr>
      <vt:lpstr>NBS18</vt:lpstr>
      <vt:lpstr>CO2 Refil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Thermo</dc:creator>
  <cp:lastModifiedBy>Adriana</cp:lastModifiedBy>
  <dcterms:created xsi:type="dcterms:W3CDTF">2015-05-08T11:47:54Z</dcterms:created>
  <dcterms:modified xsi:type="dcterms:W3CDTF">2015-07-23T18:38:25Z</dcterms:modified>
</cp:coreProperties>
</file>