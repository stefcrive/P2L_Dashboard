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no\Desktop\"/>
    </mc:Choice>
  </mc:AlternateContent>
  <xr:revisionPtr revIDLastSave="0" documentId="13_ncr:1_{ABDDC81C-C1D1-486A-A1BC-7D4E7DCF3F64}" xr6:coauthVersionLast="47" xr6:coauthVersionMax="47" xr10:uidLastSave="{00000000-0000-0000-0000-000000000000}"/>
  <bookViews>
    <workbookView xWindow="-19200" yWindow="800" windowWidth="33320" windowHeight="17680" xr2:uid="{9FBD188D-2E32-4393-A287-A7CE754456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C17" i="1"/>
  <c r="D8" i="1"/>
  <c r="D9" i="1"/>
  <c r="D10" i="1"/>
  <c r="D12" i="1"/>
  <c r="D11" i="1"/>
  <c r="D5" i="1"/>
  <c r="F5" i="1" s="1"/>
  <c r="D6" i="1"/>
  <c r="F6" i="1" s="1"/>
  <c r="D7" i="1"/>
  <c r="F7" i="1" s="1"/>
  <c r="D4" i="1"/>
  <c r="F4" i="1" s="1"/>
  <c r="F17" i="1" s="1"/>
  <c r="D17" i="1" l="1"/>
</calcChain>
</file>

<file path=xl/sharedStrings.xml><?xml version="1.0" encoding="utf-8"?>
<sst xmlns="http://schemas.openxmlformats.org/spreadsheetml/2006/main" count="41" uniqueCount="21">
  <si>
    <t>Item</t>
  </si>
  <si>
    <t>DELTA Q Mass Spectrometer</t>
  </si>
  <si>
    <t>Qtegra ISDS 2.15 Software</t>
  </si>
  <si>
    <t>ConFlo IV Interface</t>
  </si>
  <si>
    <t>GC IsoLink II CH+TraceGC1310</t>
  </si>
  <si>
    <t>Spare Parts Kit GC IsoLink II CH</t>
  </si>
  <si>
    <t>Not Listed</t>
  </si>
  <si>
    <t>N/A</t>
  </si>
  <si>
    <t>TriPlus RSH SMART Standard</t>
  </si>
  <si>
    <t>Differential Pump Module</t>
  </si>
  <si>
    <t>Difference (USD)</t>
  </si>
  <si>
    <t>IsoDat Win 10 (32 &amp; 64 Bit) auf USB</t>
  </si>
  <si>
    <t>DEL-PCI CONTROLLER</t>
  </si>
  <si>
    <t>Lichtleiter /SIMP.BL-GR/DUPLEX/6.0M</t>
  </si>
  <si>
    <t>STD LABOR HOURLY RATE IOMS</t>
  </si>
  <si>
    <t>PLUG AND MEASURE ADAPTER</t>
  </si>
  <si>
    <t>Spare Parts Delta V (HiPace)</t>
  </si>
  <si>
    <t>TOTAL</t>
  </si>
  <si>
    <t>Prices quotation from Thermo (EUR, included inflation surcharge adjustment when mentioned)</t>
  </si>
  <si>
    <t>Prices quotation from Thermo (USD)</t>
  </si>
  <si>
    <t>Price quotation from SENS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</si>
</sst>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0" fontId="0" fillId="0" borderId="0" xfId="0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320C1-7C05-44B0-BA0F-F71DE84CF057}">
  <dimension ref="B2:F17"/>
  <sheetViews>
    <sheetView tabSelected="1" zoomScale="145" zoomScaleNormal="145" workbookViewId="0">
      <selection activeCell="K14" sqref="K14"/>
    </sheetView>
  </sheetViews>
  <sheetFormatPr defaultRowHeight="14.5" x14ac:dyDescent="0.35"/>
  <cols>
    <col min="2" max="2" width="32.54296875" customWidth="1"/>
    <col min="3" max="3" width="23.453125" customWidth="1"/>
    <col min="4" max="4" width="15" customWidth="1"/>
    <col min="5" max="5" width="14.453125" customWidth="1"/>
    <col min="6" max="6" width="13.08984375" customWidth="1"/>
  </cols>
  <sheetData>
    <row r="2" spans="2:6" ht="5.5" customHeight="1" x14ac:dyDescent="0.35"/>
    <row r="3" spans="2:6" ht="72" customHeight="1" x14ac:dyDescent="0.35">
      <c r="B3" s="1" t="s">
        <v>0</v>
      </c>
      <c r="C3" s="1" t="s">
        <v>18</v>
      </c>
      <c r="D3" s="1" t="s">
        <v>19</v>
      </c>
      <c r="E3" s="1" t="s">
        <v>20</v>
      </c>
      <c r="F3" s="1" t="s">
        <v>10</v>
      </c>
    </row>
    <row r="4" spans="2:6" x14ac:dyDescent="0.35">
      <c r="B4" s="2" t="s">
        <v>1</v>
      </c>
      <c r="C4" s="5">
        <v>138536.20000000001</v>
      </c>
      <c r="D4" s="5">
        <f>C4*1.06</f>
        <v>146848.37200000003</v>
      </c>
      <c r="E4" s="5">
        <v>201705</v>
      </c>
      <c r="F4" s="6">
        <f>E4-D4</f>
        <v>54856.627999999968</v>
      </c>
    </row>
    <row r="5" spans="2:6" ht="14" customHeight="1" x14ac:dyDescent="0.35">
      <c r="B5" s="2" t="s">
        <v>2</v>
      </c>
      <c r="C5" s="5">
        <v>8670</v>
      </c>
      <c r="D5" s="5">
        <f t="shared" ref="D5:D12" si="0">C5*1.06</f>
        <v>9190.2000000000007</v>
      </c>
      <c r="E5" s="5">
        <v>13125</v>
      </c>
      <c r="F5" s="6">
        <f t="shared" ref="F5:F7" si="1">E5-D5</f>
        <v>3934.7999999999993</v>
      </c>
    </row>
    <row r="6" spans="2:6" x14ac:dyDescent="0.35">
      <c r="B6" s="2" t="s">
        <v>3</v>
      </c>
      <c r="C6" s="5">
        <v>19234.57</v>
      </c>
      <c r="D6" s="5">
        <f t="shared" si="0"/>
        <v>20388.644200000002</v>
      </c>
      <c r="E6" s="5">
        <v>28695.64</v>
      </c>
      <c r="F6" s="6">
        <f t="shared" si="1"/>
        <v>8306.995799999997</v>
      </c>
    </row>
    <row r="7" spans="2:6" x14ac:dyDescent="0.35">
      <c r="B7" s="2" t="s">
        <v>4</v>
      </c>
      <c r="C7" s="5">
        <v>75086.8</v>
      </c>
      <c r="D7" s="5">
        <f t="shared" si="0"/>
        <v>79592.008000000002</v>
      </c>
      <c r="E7" s="5">
        <v>83265</v>
      </c>
      <c r="F7" s="6">
        <f t="shared" si="1"/>
        <v>3672.9919999999984</v>
      </c>
    </row>
    <row r="8" spans="2:6" x14ac:dyDescent="0.35">
      <c r="B8" t="s">
        <v>11</v>
      </c>
      <c r="C8" s="5">
        <v>128</v>
      </c>
      <c r="D8" s="5">
        <f t="shared" si="0"/>
        <v>135.68</v>
      </c>
      <c r="E8" s="4" t="s">
        <v>6</v>
      </c>
      <c r="F8" s="4" t="s">
        <v>7</v>
      </c>
    </row>
    <row r="9" spans="2:6" x14ac:dyDescent="0.35">
      <c r="B9" t="s">
        <v>12</v>
      </c>
      <c r="C9" s="5">
        <v>3220</v>
      </c>
      <c r="D9" s="5">
        <f t="shared" si="0"/>
        <v>3413.2000000000003</v>
      </c>
      <c r="E9" s="4" t="s">
        <v>6</v>
      </c>
      <c r="F9" s="4" t="s">
        <v>7</v>
      </c>
    </row>
    <row r="10" spans="2:6" x14ac:dyDescent="0.35">
      <c r="B10" t="s">
        <v>13</v>
      </c>
      <c r="C10" s="5">
        <v>338</v>
      </c>
      <c r="D10" s="5">
        <f t="shared" si="0"/>
        <v>358.28000000000003</v>
      </c>
      <c r="E10" s="4" t="s">
        <v>6</v>
      </c>
      <c r="F10" s="4" t="s">
        <v>7</v>
      </c>
    </row>
    <row r="11" spans="2:6" x14ac:dyDescent="0.35">
      <c r="B11" t="s">
        <v>15</v>
      </c>
      <c r="C11" s="5">
        <v>334</v>
      </c>
      <c r="D11" s="5">
        <f>C11*1.06</f>
        <v>354.04</v>
      </c>
      <c r="E11" s="4" t="s">
        <v>6</v>
      </c>
      <c r="F11" s="4" t="s">
        <v>7</v>
      </c>
    </row>
    <row r="12" spans="2:6" x14ac:dyDescent="0.35">
      <c r="B12" t="s">
        <v>14</v>
      </c>
      <c r="C12" s="5">
        <v>2496</v>
      </c>
      <c r="D12" s="5">
        <f t="shared" si="0"/>
        <v>2645.76</v>
      </c>
      <c r="E12" s="4" t="s">
        <v>6</v>
      </c>
      <c r="F12" s="4" t="s">
        <v>7</v>
      </c>
    </row>
    <row r="13" spans="2:6" x14ac:dyDescent="0.35">
      <c r="B13" s="2" t="s">
        <v>5</v>
      </c>
      <c r="C13" s="4" t="s">
        <v>6</v>
      </c>
      <c r="D13" s="4" t="s">
        <v>6</v>
      </c>
      <c r="E13" s="5">
        <v>6016.5</v>
      </c>
      <c r="F13" s="4" t="s">
        <v>7</v>
      </c>
    </row>
    <row r="14" spans="2:6" x14ac:dyDescent="0.35">
      <c r="B14" s="2" t="s">
        <v>8</v>
      </c>
      <c r="C14" s="4" t="s">
        <v>6</v>
      </c>
      <c r="D14" s="4" t="s">
        <v>6</v>
      </c>
      <c r="E14" s="5">
        <v>29295</v>
      </c>
      <c r="F14" s="4" t="s">
        <v>7</v>
      </c>
    </row>
    <row r="15" spans="2:6" x14ac:dyDescent="0.35">
      <c r="B15" s="2" t="s">
        <v>9</v>
      </c>
      <c r="C15" s="4" t="s">
        <v>6</v>
      </c>
      <c r="D15" s="4" t="s">
        <v>6</v>
      </c>
      <c r="E15" s="5">
        <v>12075</v>
      </c>
      <c r="F15" s="4" t="s">
        <v>7</v>
      </c>
    </row>
    <row r="16" spans="2:6" x14ac:dyDescent="0.35">
      <c r="B16" s="2" t="s">
        <v>16</v>
      </c>
      <c r="C16" s="4" t="s">
        <v>6</v>
      </c>
      <c r="D16" s="4" t="s">
        <v>6</v>
      </c>
      <c r="E16" s="5">
        <v>3685.5</v>
      </c>
      <c r="F16" s="4" t="s">
        <v>7</v>
      </c>
    </row>
    <row r="17" spans="2:6" x14ac:dyDescent="0.35">
      <c r="B17" s="7" t="s">
        <v>17</v>
      </c>
      <c r="C17" s="3">
        <f>SUM(C4:C16)</f>
        <v>248043.57</v>
      </c>
      <c r="D17" s="3">
        <f>SUM(D4:D16)</f>
        <v>262926.18420000008</v>
      </c>
      <c r="E17" s="3">
        <f>SUM(E4:E16)</f>
        <v>377862.64</v>
      </c>
      <c r="F17" s="3">
        <f>SUM(F4:F16)</f>
        <v>70771.415799999959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Crivellari</dc:creator>
  <cp:lastModifiedBy>Stefano Crivellari</cp:lastModifiedBy>
  <dcterms:created xsi:type="dcterms:W3CDTF">2023-09-14T20:33:56Z</dcterms:created>
  <dcterms:modified xsi:type="dcterms:W3CDTF">2023-09-14T21:09:49Z</dcterms:modified>
</cp:coreProperties>
</file>